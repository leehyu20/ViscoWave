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lee\Documents\Projects\FHWA BAA Market Readiness\2019\Proposal\Github\"/>
    </mc:Choice>
  </mc:AlternateContent>
  <xr:revisionPtr revIDLastSave="0" documentId="13_ncr:1_{40FA55CA-8435-4DD9-9D8A-AC289BAEFEAB}" xr6:coauthVersionLast="45" xr6:coauthVersionMax="45" xr10:uidLastSave="{00000000-0000-0000-0000-000000000000}"/>
  <bookViews>
    <workbookView xWindow="20370" yWindow="-120" windowWidth="20730" windowHeight="11160" xr2:uid="{00000000-000D-0000-FFFF-FFFF00000000}"/>
  </bookViews>
  <sheets>
    <sheet name="VW" sheetId="1" r:id="rId1"/>
    <sheet name="Default Inputs" sheetId="6" r:id="rId2"/>
    <sheet name="Dynamic_Modulus_Calc" sheetId="8" r:id="rId3"/>
    <sheet name="AGPL License V3" sheetId="9" r:id="rId4"/>
    <sheet name="SyntheticLoad" sheetId="7" state="hidden" r:id="rId5"/>
  </sheets>
  <functionGroups builtInGroupCount="19"/>
  <definedNames>
    <definedName name="Individual_Basin_Backcalculation_Modulus" localSheetId="2">#REF!</definedName>
    <definedName name="Individual_Basin_Backcalculation_Modulus">#REF!</definedName>
    <definedName name="Num_VE_Layers">COUNTIF(VW!$E$12:$E$17,"=0")</definedName>
    <definedName name="_xlnm.Print_Area" localSheetId="0">VW!$A$1:$AF$379</definedName>
    <definedName name="solver_adj" localSheetId="2" hidden="1">Dynamic_Modulus_Calc!$F$14</definedName>
    <definedName name="solver_adj" localSheetId="0" hidden="1">VW!$E$25:$H$25,VW!$E$13:$E$14,VW!$H$14</definedName>
    <definedName name="solver_cvg" localSheetId="2" hidden="1">0.0001</definedName>
    <definedName name="solver_cvg" localSheetId="0" hidden="1">0.000001</definedName>
    <definedName name="solver_drv" localSheetId="2" hidden="1">1</definedName>
    <definedName name="solver_drv" localSheetId="0" hidden="1">1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0.075</definedName>
    <definedName name="solver_mrt" localSheetId="0" hidden="1">0.075</definedName>
    <definedName name="solver_msl" localSheetId="2" hidden="1">2</definedName>
    <definedName name="solver_msl" localSheetId="0" hidden="1">2</definedName>
    <definedName name="solver_neg" localSheetId="2" hidden="1">2</definedName>
    <definedName name="solver_neg" localSheetId="0" hidden="1">2</definedName>
    <definedName name="solver_nod" localSheetId="2" hidden="1">2147483647</definedName>
    <definedName name="solver_nod" localSheetId="0" hidden="1">2147483647</definedName>
    <definedName name="solver_num" localSheetId="2" hidden="1">0</definedName>
    <definedName name="solver_num" localSheetId="0" hidden="1">0</definedName>
    <definedName name="solver_nwt" localSheetId="2" hidden="1">1</definedName>
    <definedName name="solver_nwt" localSheetId="0" hidden="1">1</definedName>
    <definedName name="solver_opt" localSheetId="2" hidden="1">Dynamic_Modulus_Calc!$M$26</definedName>
    <definedName name="solver_opt" localSheetId="0" hidden="1">VW!$L$48</definedName>
    <definedName name="solver_pre" localSheetId="2" hidden="1">0.000001</definedName>
    <definedName name="solver_pre" localSheetId="0" hidden="1">0.00000001</definedName>
    <definedName name="solver_rbv" localSheetId="2" hidden="1">1</definedName>
    <definedName name="solver_rbv" localSheetId="0" hidden="1">1</definedName>
    <definedName name="solver_rlx" localSheetId="2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scl" localSheetId="2" hidden="1">1</definedName>
    <definedName name="solver_scl" localSheetId="0" hidden="1">1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2</definedName>
    <definedName name="solver_typ" localSheetId="0" hidden="1">2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  <definedName name="Total_Num_Layers">COUNTA(VW!$E$12:$E$17)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3" i="8" l="1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Q572" i="8"/>
  <c r="Q573" i="8"/>
  <c r="Q574" i="8"/>
  <c r="Q575" i="8"/>
  <c r="Q576" i="8"/>
  <c r="Q577" i="8"/>
  <c r="Q578" i="8"/>
  <c r="Q579" i="8"/>
  <c r="Q580" i="8"/>
  <c r="Q581" i="8"/>
  <c r="Q582" i="8"/>
  <c r="Q583" i="8"/>
  <c r="Q584" i="8"/>
  <c r="Q585" i="8"/>
  <c r="Q586" i="8"/>
  <c r="Q587" i="8"/>
  <c r="Q588" i="8"/>
  <c r="Q589" i="8"/>
  <c r="Q590" i="8"/>
  <c r="Q591" i="8"/>
  <c r="Q592" i="8"/>
  <c r="Q593" i="8"/>
  <c r="Q594" i="8"/>
  <c r="Q595" i="8"/>
  <c r="Q596" i="8"/>
  <c r="Q597" i="8"/>
  <c r="Q598" i="8"/>
  <c r="Q599" i="8"/>
  <c r="Q600" i="8"/>
  <c r="Q601" i="8"/>
  <c r="Q602" i="8"/>
  <c r="Q603" i="8"/>
  <c r="Q604" i="8"/>
  <c r="Q605" i="8"/>
  <c r="Q606" i="8"/>
  <c r="Q607" i="8"/>
  <c r="Q608" i="8"/>
  <c r="Q609" i="8"/>
  <c r="Q610" i="8"/>
  <c r="Q611" i="8"/>
  <c r="Q612" i="8"/>
  <c r="Q613" i="8"/>
  <c r="Q614" i="8"/>
  <c r="Q615" i="8"/>
  <c r="Q616" i="8"/>
  <c r="Q617" i="8"/>
  <c r="Q618" i="8"/>
  <c r="Q619" i="8"/>
  <c r="Q620" i="8"/>
  <c r="Q621" i="8"/>
  <c r="Q622" i="8"/>
  <c r="Q623" i="8"/>
  <c r="Q624" i="8"/>
  <c r="Q625" i="8"/>
  <c r="Q626" i="8"/>
  <c r="Q627" i="8"/>
  <c r="Q628" i="8"/>
  <c r="Q629" i="8"/>
  <c r="Q630" i="8"/>
  <c r="Q631" i="8"/>
  <c r="Q632" i="8"/>
  <c r="Q633" i="8"/>
  <c r="Q634" i="8"/>
  <c r="Q635" i="8"/>
  <c r="Q636" i="8"/>
  <c r="Q637" i="8"/>
  <c r="Q638" i="8"/>
  <c r="Q639" i="8"/>
  <c r="Q640" i="8"/>
  <c r="Q641" i="8"/>
  <c r="Q642" i="8"/>
  <c r="Q643" i="8"/>
  <c r="Q644" i="8"/>
  <c r="Q645" i="8"/>
  <c r="Q646" i="8"/>
  <c r="Q647" i="8"/>
  <c r="Q648" i="8"/>
  <c r="Q649" i="8"/>
  <c r="Q650" i="8"/>
  <c r="Q651" i="8"/>
  <c r="Q652" i="8"/>
  <c r="Q653" i="8"/>
  <c r="Q654" i="8"/>
  <c r="Q655" i="8"/>
  <c r="Q656" i="8"/>
  <c r="Q657" i="8"/>
  <c r="Q658" i="8"/>
  <c r="Q659" i="8"/>
  <c r="Q660" i="8"/>
  <c r="Q661" i="8"/>
  <c r="Q662" i="8"/>
  <c r="Q663" i="8"/>
  <c r="Q664" i="8"/>
  <c r="Q665" i="8"/>
  <c r="Q666" i="8"/>
  <c r="Q667" i="8"/>
  <c r="Q668" i="8"/>
  <c r="Q669" i="8"/>
  <c r="Q670" i="8"/>
  <c r="Q671" i="8"/>
  <c r="Q672" i="8"/>
  <c r="Q673" i="8"/>
  <c r="Q674" i="8"/>
  <c r="Q675" i="8"/>
  <c r="Q676" i="8"/>
  <c r="Q677" i="8"/>
  <c r="Q678" i="8"/>
  <c r="Q679" i="8"/>
  <c r="Q680" i="8"/>
  <c r="Q681" i="8"/>
  <c r="Q682" i="8"/>
  <c r="Q683" i="8"/>
  <c r="Q684" i="8"/>
  <c r="Q685" i="8"/>
  <c r="Q686" i="8"/>
  <c r="Q687" i="8"/>
  <c r="Q688" i="8"/>
  <c r="Q689" i="8"/>
  <c r="Q690" i="8"/>
  <c r="Q691" i="8"/>
  <c r="Q692" i="8"/>
  <c r="Q693" i="8"/>
  <c r="Q694" i="8"/>
  <c r="Q695" i="8"/>
  <c r="Q696" i="8"/>
  <c r="Q697" i="8"/>
  <c r="Q698" i="8"/>
  <c r="Q699" i="8"/>
  <c r="Q700" i="8"/>
  <c r="Q701" i="8"/>
  <c r="Q702" i="8"/>
  <c r="Q703" i="8"/>
  <c r="Q704" i="8"/>
  <c r="Q705" i="8"/>
  <c r="Q706" i="8"/>
  <c r="Q707" i="8"/>
  <c r="Q708" i="8"/>
  <c r="Q709" i="8"/>
  <c r="Q710" i="8"/>
  <c r="Q711" i="8"/>
  <c r="Q712" i="8"/>
  <c r="Q713" i="8"/>
  <c r="Q714" i="8"/>
  <c r="Q715" i="8"/>
  <c r="Q716" i="8"/>
  <c r="Q717" i="8"/>
  <c r="Q718" i="8"/>
  <c r="Q719" i="8"/>
  <c r="Q720" i="8"/>
  <c r="Q721" i="8"/>
  <c r="Q722" i="8"/>
  <c r="Q723" i="8"/>
  <c r="Q724" i="8"/>
  <c r="Q725" i="8"/>
  <c r="Q726" i="8"/>
  <c r="Q727" i="8"/>
  <c r="Q728" i="8"/>
  <c r="Q729" i="8"/>
  <c r="Q730" i="8"/>
  <c r="Q731" i="8"/>
  <c r="Q732" i="8"/>
  <c r="Q733" i="8"/>
  <c r="Q734" i="8"/>
  <c r="Q735" i="8"/>
  <c r="Q736" i="8"/>
  <c r="Q737" i="8"/>
  <c r="Q738" i="8"/>
  <c r="Q739" i="8"/>
  <c r="Q740" i="8"/>
  <c r="Q741" i="8"/>
  <c r="Q742" i="8"/>
  <c r="Q743" i="8"/>
  <c r="Q744" i="8"/>
  <c r="Q745" i="8"/>
  <c r="Q746" i="8"/>
  <c r="Q747" i="8"/>
  <c r="Q748" i="8"/>
  <c r="Q749" i="8"/>
  <c r="Q750" i="8"/>
  <c r="Q751" i="8"/>
  <c r="Q752" i="8"/>
  <c r="Q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P386" i="8"/>
  <c r="P387" i="8"/>
  <c r="P388" i="8"/>
  <c r="P389" i="8"/>
  <c r="P390" i="8"/>
  <c r="P391" i="8"/>
  <c r="P392" i="8"/>
  <c r="P393" i="8"/>
  <c r="P394" i="8"/>
  <c r="P395" i="8"/>
  <c r="P396" i="8"/>
  <c r="P397" i="8"/>
  <c r="P398" i="8"/>
  <c r="P399" i="8"/>
  <c r="P400" i="8"/>
  <c r="P401" i="8"/>
  <c r="P402" i="8"/>
  <c r="P403" i="8"/>
  <c r="P404" i="8"/>
  <c r="P405" i="8"/>
  <c r="P406" i="8"/>
  <c r="P407" i="8"/>
  <c r="P408" i="8"/>
  <c r="P409" i="8"/>
  <c r="P410" i="8"/>
  <c r="P411" i="8"/>
  <c r="P412" i="8"/>
  <c r="P413" i="8"/>
  <c r="P414" i="8"/>
  <c r="P415" i="8"/>
  <c r="P416" i="8"/>
  <c r="P417" i="8"/>
  <c r="P418" i="8"/>
  <c r="P419" i="8"/>
  <c r="P420" i="8"/>
  <c r="P421" i="8"/>
  <c r="P422" i="8"/>
  <c r="P423" i="8"/>
  <c r="P424" i="8"/>
  <c r="P425" i="8"/>
  <c r="P426" i="8"/>
  <c r="P427" i="8"/>
  <c r="P428" i="8"/>
  <c r="P429" i="8"/>
  <c r="P430" i="8"/>
  <c r="P431" i="8"/>
  <c r="P432" i="8"/>
  <c r="P433" i="8"/>
  <c r="P434" i="8"/>
  <c r="P435" i="8"/>
  <c r="P436" i="8"/>
  <c r="P437" i="8"/>
  <c r="P438" i="8"/>
  <c r="P439" i="8"/>
  <c r="P440" i="8"/>
  <c r="P441" i="8"/>
  <c r="P442" i="8"/>
  <c r="P443" i="8"/>
  <c r="P444" i="8"/>
  <c r="P445" i="8"/>
  <c r="P446" i="8"/>
  <c r="P447" i="8"/>
  <c r="P448" i="8"/>
  <c r="P449" i="8"/>
  <c r="P450" i="8"/>
  <c r="P451" i="8"/>
  <c r="P452" i="8"/>
  <c r="P453" i="8"/>
  <c r="P454" i="8"/>
  <c r="P455" i="8"/>
  <c r="P456" i="8"/>
  <c r="P457" i="8"/>
  <c r="P458" i="8"/>
  <c r="P459" i="8"/>
  <c r="P460" i="8"/>
  <c r="P461" i="8"/>
  <c r="P462" i="8"/>
  <c r="P463" i="8"/>
  <c r="P464" i="8"/>
  <c r="P465" i="8"/>
  <c r="P466" i="8"/>
  <c r="P467" i="8"/>
  <c r="P468" i="8"/>
  <c r="P469" i="8"/>
  <c r="P470" i="8"/>
  <c r="P471" i="8"/>
  <c r="P472" i="8"/>
  <c r="P473" i="8"/>
  <c r="P474" i="8"/>
  <c r="P475" i="8"/>
  <c r="P476" i="8"/>
  <c r="P477" i="8"/>
  <c r="P478" i="8"/>
  <c r="P479" i="8"/>
  <c r="P480" i="8"/>
  <c r="P481" i="8"/>
  <c r="P482" i="8"/>
  <c r="P483" i="8"/>
  <c r="P484" i="8"/>
  <c r="P485" i="8"/>
  <c r="P486" i="8"/>
  <c r="P487" i="8"/>
  <c r="P488" i="8"/>
  <c r="P489" i="8"/>
  <c r="P490" i="8"/>
  <c r="P491" i="8"/>
  <c r="P492" i="8"/>
  <c r="P493" i="8"/>
  <c r="P494" i="8"/>
  <c r="P495" i="8"/>
  <c r="P496" i="8"/>
  <c r="P497" i="8"/>
  <c r="P498" i="8"/>
  <c r="P499" i="8"/>
  <c r="P500" i="8"/>
  <c r="P501" i="8"/>
  <c r="P502" i="8"/>
  <c r="P503" i="8"/>
  <c r="P504" i="8"/>
  <c r="P505" i="8"/>
  <c r="P506" i="8"/>
  <c r="P507" i="8"/>
  <c r="P508" i="8"/>
  <c r="P509" i="8"/>
  <c r="P510" i="8"/>
  <c r="P511" i="8"/>
  <c r="P512" i="8"/>
  <c r="P513" i="8"/>
  <c r="P514" i="8"/>
  <c r="P515" i="8"/>
  <c r="P516" i="8"/>
  <c r="P517" i="8"/>
  <c r="P518" i="8"/>
  <c r="P519" i="8"/>
  <c r="P520" i="8"/>
  <c r="P521" i="8"/>
  <c r="P522" i="8"/>
  <c r="P523" i="8"/>
  <c r="P524" i="8"/>
  <c r="P525" i="8"/>
  <c r="P526" i="8"/>
  <c r="P527" i="8"/>
  <c r="P528" i="8"/>
  <c r="P529" i="8"/>
  <c r="P530" i="8"/>
  <c r="P531" i="8"/>
  <c r="P532" i="8"/>
  <c r="P533" i="8"/>
  <c r="P534" i="8"/>
  <c r="P535" i="8"/>
  <c r="P536" i="8"/>
  <c r="P537" i="8"/>
  <c r="P538" i="8"/>
  <c r="P539" i="8"/>
  <c r="P540" i="8"/>
  <c r="P541" i="8"/>
  <c r="P542" i="8"/>
  <c r="P543" i="8"/>
  <c r="P544" i="8"/>
  <c r="P545" i="8"/>
  <c r="P546" i="8"/>
  <c r="P547" i="8"/>
  <c r="P548" i="8"/>
  <c r="P549" i="8"/>
  <c r="P550" i="8"/>
  <c r="P551" i="8"/>
  <c r="P552" i="8"/>
  <c r="P553" i="8"/>
  <c r="P554" i="8"/>
  <c r="P555" i="8"/>
  <c r="P556" i="8"/>
  <c r="P557" i="8"/>
  <c r="P558" i="8"/>
  <c r="P559" i="8"/>
  <c r="P560" i="8"/>
  <c r="P561" i="8"/>
  <c r="P562" i="8"/>
  <c r="P563" i="8"/>
  <c r="P564" i="8"/>
  <c r="P565" i="8"/>
  <c r="P566" i="8"/>
  <c r="P567" i="8"/>
  <c r="P568" i="8"/>
  <c r="P569" i="8"/>
  <c r="P570" i="8"/>
  <c r="P571" i="8"/>
  <c r="P572" i="8"/>
  <c r="P573" i="8"/>
  <c r="P574" i="8"/>
  <c r="P575" i="8"/>
  <c r="P576" i="8"/>
  <c r="P577" i="8"/>
  <c r="P578" i="8"/>
  <c r="P579" i="8"/>
  <c r="P580" i="8"/>
  <c r="P581" i="8"/>
  <c r="P582" i="8"/>
  <c r="P583" i="8"/>
  <c r="P584" i="8"/>
  <c r="P585" i="8"/>
  <c r="P586" i="8"/>
  <c r="P587" i="8"/>
  <c r="P588" i="8"/>
  <c r="P589" i="8"/>
  <c r="P590" i="8"/>
  <c r="P591" i="8"/>
  <c r="P592" i="8"/>
  <c r="P593" i="8"/>
  <c r="P594" i="8"/>
  <c r="P595" i="8"/>
  <c r="P596" i="8"/>
  <c r="P597" i="8"/>
  <c r="P598" i="8"/>
  <c r="P599" i="8"/>
  <c r="P600" i="8"/>
  <c r="P601" i="8"/>
  <c r="P602" i="8"/>
  <c r="P603" i="8"/>
  <c r="P604" i="8"/>
  <c r="P605" i="8"/>
  <c r="P606" i="8"/>
  <c r="P607" i="8"/>
  <c r="P608" i="8"/>
  <c r="P609" i="8"/>
  <c r="P610" i="8"/>
  <c r="P611" i="8"/>
  <c r="P612" i="8"/>
  <c r="P613" i="8"/>
  <c r="P614" i="8"/>
  <c r="P615" i="8"/>
  <c r="P616" i="8"/>
  <c r="P617" i="8"/>
  <c r="P618" i="8"/>
  <c r="P619" i="8"/>
  <c r="P620" i="8"/>
  <c r="P621" i="8"/>
  <c r="P622" i="8"/>
  <c r="P623" i="8"/>
  <c r="P624" i="8"/>
  <c r="P625" i="8"/>
  <c r="P626" i="8"/>
  <c r="P627" i="8"/>
  <c r="P628" i="8"/>
  <c r="P629" i="8"/>
  <c r="P630" i="8"/>
  <c r="P631" i="8"/>
  <c r="P632" i="8"/>
  <c r="P633" i="8"/>
  <c r="P634" i="8"/>
  <c r="P635" i="8"/>
  <c r="P636" i="8"/>
  <c r="P637" i="8"/>
  <c r="P638" i="8"/>
  <c r="P639" i="8"/>
  <c r="P640" i="8"/>
  <c r="P641" i="8"/>
  <c r="P642" i="8"/>
  <c r="P643" i="8"/>
  <c r="P644" i="8"/>
  <c r="P645" i="8"/>
  <c r="P646" i="8"/>
  <c r="P647" i="8"/>
  <c r="P648" i="8"/>
  <c r="P649" i="8"/>
  <c r="P650" i="8"/>
  <c r="P651" i="8"/>
  <c r="P652" i="8"/>
  <c r="P653" i="8"/>
  <c r="P654" i="8"/>
  <c r="P655" i="8"/>
  <c r="P656" i="8"/>
  <c r="P657" i="8"/>
  <c r="P658" i="8"/>
  <c r="P659" i="8"/>
  <c r="P660" i="8"/>
  <c r="P661" i="8"/>
  <c r="P662" i="8"/>
  <c r="P663" i="8"/>
  <c r="P664" i="8"/>
  <c r="P665" i="8"/>
  <c r="P666" i="8"/>
  <c r="P667" i="8"/>
  <c r="P668" i="8"/>
  <c r="P669" i="8"/>
  <c r="P670" i="8"/>
  <c r="P671" i="8"/>
  <c r="P672" i="8"/>
  <c r="P673" i="8"/>
  <c r="P674" i="8"/>
  <c r="P675" i="8"/>
  <c r="P676" i="8"/>
  <c r="P677" i="8"/>
  <c r="P678" i="8"/>
  <c r="P679" i="8"/>
  <c r="P680" i="8"/>
  <c r="P681" i="8"/>
  <c r="P682" i="8"/>
  <c r="P683" i="8"/>
  <c r="P684" i="8"/>
  <c r="P685" i="8"/>
  <c r="P686" i="8"/>
  <c r="P687" i="8"/>
  <c r="P688" i="8"/>
  <c r="P689" i="8"/>
  <c r="P690" i="8"/>
  <c r="P691" i="8"/>
  <c r="P692" i="8"/>
  <c r="P693" i="8"/>
  <c r="P694" i="8"/>
  <c r="P695" i="8"/>
  <c r="P696" i="8"/>
  <c r="P697" i="8"/>
  <c r="P698" i="8"/>
  <c r="P699" i="8"/>
  <c r="P700" i="8"/>
  <c r="P701" i="8"/>
  <c r="P702" i="8"/>
  <c r="P703" i="8"/>
  <c r="P704" i="8"/>
  <c r="P705" i="8"/>
  <c r="P706" i="8"/>
  <c r="P707" i="8"/>
  <c r="P708" i="8"/>
  <c r="P709" i="8"/>
  <c r="P710" i="8"/>
  <c r="P711" i="8"/>
  <c r="P712" i="8"/>
  <c r="P713" i="8"/>
  <c r="P714" i="8"/>
  <c r="P715" i="8"/>
  <c r="P716" i="8"/>
  <c r="P717" i="8"/>
  <c r="P718" i="8"/>
  <c r="P719" i="8"/>
  <c r="P720" i="8"/>
  <c r="P721" i="8"/>
  <c r="P722" i="8"/>
  <c r="P723" i="8"/>
  <c r="P724" i="8"/>
  <c r="P725" i="8"/>
  <c r="P726" i="8"/>
  <c r="P727" i="8"/>
  <c r="P728" i="8"/>
  <c r="P729" i="8"/>
  <c r="P730" i="8"/>
  <c r="P731" i="8"/>
  <c r="P732" i="8"/>
  <c r="P733" i="8"/>
  <c r="P734" i="8"/>
  <c r="P735" i="8"/>
  <c r="P736" i="8"/>
  <c r="P737" i="8"/>
  <c r="P738" i="8"/>
  <c r="P739" i="8"/>
  <c r="P740" i="8"/>
  <c r="P741" i="8"/>
  <c r="P742" i="8"/>
  <c r="P743" i="8"/>
  <c r="P744" i="8"/>
  <c r="P745" i="8"/>
  <c r="P746" i="8"/>
  <c r="P747" i="8"/>
  <c r="P748" i="8"/>
  <c r="P749" i="8"/>
  <c r="P750" i="8"/>
  <c r="P751" i="8"/>
  <c r="P752" i="8"/>
  <c r="P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248" i="8"/>
  <c r="O249" i="8"/>
  <c r="O250" i="8"/>
  <c r="O251" i="8"/>
  <c r="O252" i="8"/>
  <c r="O253" i="8"/>
  <c r="O254" i="8"/>
  <c r="O255" i="8"/>
  <c r="O256" i="8"/>
  <c r="O257" i="8"/>
  <c r="O258" i="8"/>
  <c r="O259" i="8"/>
  <c r="O260" i="8"/>
  <c r="O261" i="8"/>
  <c r="O262" i="8"/>
  <c r="O263" i="8"/>
  <c r="O264" i="8"/>
  <c r="O265" i="8"/>
  <c r="O266" i="8"/>
  <c r="O267" i="8"/>
  <c r="O268" i="8"/>
  <c r="O269" i="8"/>
  <c r="O270" i="8"/>
  <c r="O271" i="8"/>
  <c r="O272" i="8"/>
  <c r="O273" i="8"/>
  <c r="O274" i="8"/>
  <c r="O275" i="8"/>
  <c r="O276" i="8"/>
  <c r="O277" i="8"/>
  <c r="O278" i="8"/>
  <c r="O279" i="8"/>
  <c r="O280" i="8"/>
  <c r="O281" i="8"/>
  <c r="O282" i="8"/>
  <c r="O283" i="8"/>
  <c r="O284" i="8"/>
  <c r="O285" i="8"/>
  <c r="O286" i="8"/>
  <c r="O287" i="8"/>
  <c r="O288" i="8"/>
  <c r="O289" i="8"/>
  <c r="O290" i="8"/>
  <c r="O291" i="8"/>
  <c r="O292" i="8"/>
  <c r="O293" i="8"/>
  <c r="O294" i="8"/>
  <c r="O295" i="8"/>
  <c r="O296" i="8"/>
  <c r="O297" i="8"/>
  <c r="O298" i="8"/>
  <c r="O299" i="8"/>
  <c r="O300" i="8"/>
  <c r="O301" i="8"/>
  <c r="O302" i="8"/>
  <c r="O303" i="8"/>
  <c r="O304" i="8"/>
  <c r="O305" i="8"/>
  <c r="O306" i="8"/>
  <c r="O307" i="8"/>
  <c r="O308" i="8"/>
  <c r="O309" i="8"/>
  <c r="O310" i="8"/>
  <c r="O311" i="8"/>
  <c r="O312" i="8"/>
  <c r="O313" i="8"/>
  <c r="O314" i="8"/>
  <c r="O315" i="8"/>
  <c r="O316" i="8"/>
  <c r="O317" i="8"/>
  <c r="O318" i="8"/>
  <c r="O319" i="8"/>
  <c r="O320" i="8"/>
  <c r="O321" i="8"/>
  <c r="O322" i="8"/>
  <c r="O323" i="8"/>
  <c r="O324" i="8"/>
  <c r="O325" i="8"/>
  <c r="O326" i="8"/>
  <c r="O327" i="8"/>
  <c r="O328" i="8"/>
  <c r="O329" i="8"/>
  <c r="O330" i="8"/>
  <c r="O331" i="8"/>
  <c r="O332" i="8"/>
  <c r="O333" i="8"/>
  <c r="O334" i="8"/>
  <c r="O335" i="8"/>
  <c r="O336" i="8"/>
  <c r="O337" i="8"/>
  <c r="O338" i="8"/>
  <c r="O339" i="8"/>
  <c r="O340" i="8"/>
  <c r="O341" i="8"/>
  <c r="O342" i="8"/>
  <c r="O343" i="8"/>
  <c r="O344" i="8"/>
  <c r="O345" i="8"/>
  <c r="O346" i="8"/>
  <c r="O347" i="8"/>
  <c r="O348" i="8"/>
  <c r="O349" i="8"/>
  <c r="O350" i="8"/>
  <c r="O351" i="8"/>
  <c r="O352" i="8"/>
  <c r="O353" i="8"/>
  <c r="O354" i="8"/>
  <c r="O355" i="8"/>
  <c r="O356" i="8"/>
  <c r="O357" i="8"/>
  <c r="O358" i="8"/>
  <c r="O359" i="8"/>
  <c r="O360" i="8"/>
  <c r="O361" i="8"/>
  <c r="O362" i="8"/>
  <c r="O363" i="8"/>
  <c r="O364" i="8"/>
  <c r="O365" i="8"/>
  <c r="O366" i="8"/>
  <c r="O367" i="8"/>
  <c r="O368" i="8"/>
  <c r="O369" i="8"/>
  <c r="O370" i="8"/>
  <c r="O371" i="8"/>
  <c r="O372" i="8"/>
  <c r="O373" i="8"/>
  <c r="O374" i="8"/>
  <c r="O375" i="8"/>
  <c r="O376" i="8"/>
  <c r="O377" i="8"/>
  <c r="O378" i="8"/>
  <c r="O379" i="8"/>
  <c r="O380" i="8"/>
  <c r="O381" i="8"/>
  <c r="O382" i="8"/>
  <c r="O383" i="8"/>
  <c r="O384" i="8"/>
  <c r="O385" i="8"/>
  <c r="O386" i="8"/>
  <c r="O387" i="8"/>
  <c r="O388" i="8"/>
  <c r="O389" i="8"/>
  <c r="O390" i="8"/>
  <c r="O391" i="8"/>
  <c r="O392" i="8"/>
  <c r="O393" i="8"/>
  <c r="O394" i="8"/>
  <c r="O395" i="8"/>
  <c r="O396" i="8"/>
  <c r="O397" i="8"/>
  <c r="O398" i="8"/>
  <c r="O399" i="8"/>
  <c r="O400" i="8"/>
  <c r="O401" i="8"/>
  <c r="O402" i="8"/>
  <c r="O403" i="8"/>
  <c r="O404" i="8"/>
  <c r="O405" i="8"/>
  <c r="O406" i="8"/>
  <c r="O407" i="8"/>
  <c r="O408" i="8"/>
  <c r="O409" i="8"/>
  <c r="O410" i="8"/>
  <c r="O411" i="8"/>
  <c r="O412" i="8"/>
  <c r="O413" i="8"/>
  <c r="O414" i="8"/>
  <c r="O415" i="8"/>
  <c r="O416" i="8"/>
  <c r="O417" i="8"/>
  <c r="O418" i="8"/>
  <c r="O419" i="8"/>
  <c r="O420" i="8"/>
  <c r="O421" i="8"/>
  <c r="O422" i="8"/>
  <c r="O423" i="8"/>
  <c r="O424" i="8"/>
  <c r="O425" i="8"/>
  <c r="O426" i="8"/>
  <c r="O427" i="8"/>
  <c r="O428" i="8"/>
  <c r="O429" i="8"/>
  <c r="O430" i="8"/>
  <c r="O431" i="8"/>
  <c r="O432" i="8"/>
  <c r="O433" i="8"/>
  <c r="O434" i="8"/>
  <c r="O435" i="8"/>
  <c r="O436" i="8"/>
  <c r="O437" i="8"/>
  <c r="O438" i="8"/>
  <c r="O439" i="8"/>
  <c r="O440" i="8"/>
  <c r="O441" i="8"/>
  <c r="O442" i="8"/>
  <c r="O443" i="8"/>
  <c r="O444" i="8"/>
  <c r="O445" i="8"/>
  <c r="O446" i="8"/>
  <c r="O447" i="8"/>
  <c r="O448" i="8"/>
  <c r="O449" i="8"/>
  <c r="O450" i="8"/>
  <c r="O451" i="8"/>
  <c r="O452" i="8"/>
  <c r="O453" i="8"/>
  <c r="O454" i="8"/>
  <c r="O455" i="8"/>
  <c r="O456" i="8"/>
  <c r="O457" i="8"/>
  <c r="O458" i="8"/>
  <c r="O459" i="8"/>
  <c r="O460" i="8"/>
  <c r="O461" i="8"/>
  <c r="O462" i="8"/>
  <c r="O463" i="8"/>
  <c r="O464" i="8"/>
  <c r="O465" i="8"/>
  <c r="O466" i="8"/>
  <c r="O467" i="8"/>
  <c r="O468" i="8"/>
  <c r="O469" i="8"/>
  <c r="O470" i="8"/>
  <c r="O471" i="8"/>
  <c r="O472" i="8"/>
  <c r="O473" i="8"/>
  <c r="O474" i="8"/>
  <c r="O475" i="8"/>
  <c r="O476" i="8"/>
  <c r="O477" i="8"/>
  <c r="O478" i="8"/>
  <c r="O479" i="8"/>
  <c r="O480" i="8"/>
  <c r="O481" i="8"/>
  <c r="O482" i="8"/>
  <c r="O483" i="8"/>
  <c r="O484" i="8"/>
  <c r="O485" i="8"/>
  <c r="O486" i="8"/>
  <c r="O487" i="8"/>
  <c r="O488" i="8"/>
  <c r="O489" i="8"/>
  <c r="O490" i="8"/>
  <c r="O491" i="8"/>
  <c r="O492" i="8"/>
  <c r="O493" i="8"/>
  <c r="O494" i="8"/>
  <c r="O495" i="8"/>
  <c r="O496" i="8"/>
  <c r="O497" i="8"/>
  <c r="O498" i="8"/>
  <c r="O499" i="8"/>
  <c r="O500" i="8"/>
  <c r="O501" i="8"/>
  <c r="O502" i="8"/>
  <c r="O503" i="8"/>
  <c r="O504" i="8"/>
  <c r="O505" i="8"/>
  <c r="O506" i="8"/>
  <c r="O507" i="8"/>
  <c r="O508" i="8"/>
  <c r="O509" i="8"/>
  <c r="O510" i="8"/>
  <c r="O511" i="8"/>
  <c r="O512" i="8"/>
  <c r="O513" i="8"/>
  <c r="O514" i="8"/>
  <c r="O515" i="8"/>
  <c r="O516" i="8"/>
  <c r="O517" i="8"/>
  <c r="O518" i="8"/>
  <c r="O519" i="8"/>
  <c r="O520" i="8"/>
  <c r="O521" i="8"/>
  <c r="O522" i="8"/>
  <c r="O523" i="8"/>
  <c r="O524" i="8"/>
  <c r="O525" i="8"/>
  <c r="O526" i="8"/>
  <c r="O527" i="8"/>
  <c r="O528" i="8"/>
  <c r="O529" i="8"/>
  <c r="O530" i="8"/>
  <c r="O531" i="8"/>
  <c r="O532" i="8"/>
  <c r="O533" i="8"/>
  <c r="O534" i="8"/>
  <c r="O535" i="8"/>
  <c r="O536" i="8"/>
  <c r="O537" i="8"/>
  <c r="O538" i="8"/>
  <c r="O539" i="8"/>
  <c r="O540" i="8"/>
  <c r="O541" i="8"/>
  <c r="O542" i="8"/>
  <c r="O543" i="8"/>
  <c r="O544" i="8"/>
  <c r="O545" i="8"/>
  <c r="O546" i="8"/>
  <c r="O547" i="8"/>
  <c r="O548" i="8"/>
  <c r="O549" i="8"/>
  <c r="O550" i="8"/>
  <c r="O551" i="8"/>
  <c r="O552" i="8"/>
  <c r="O553" i="8"/>
  <c r="O554" i="8"/>
  <c r="O555" i="8"/>
  <c r="O556" i="8"/>
  <c r="O557" i="8"/>
  <c r="O558" i="8"/>
  <c r="O559" i="8"/>
  <c r="O560" i="8"/>
  <c r="O561" i="8"/>
  <c r="O562" i="8"/>
  <c r="O563" i="8"/>
  <c r="O564" i="8"/>
  <c r="O565" i="8"/>
  <c r="O566" i="8"/>
  <c r="O567" i="8"/>
  <c r="O568" i="8"/>
  <c r="O569" i="8"/>
  <c r="O570" i="8"/>
  <c r="O571" i="8"/>
  <c r="O572" i="8"/>
  <c r="O573" i="8"/>
  <c r="O574" i="8"/>
  <c r="O575" i="8"/>
  <c r="O576" i="8"/>
  <c r="O577" i="8"/>
  <c r="O578" i="8"/>
  <c r="O579" i="8"/>
  <c r="O580" i="8"/>
  <c r="O581" i="8"/>
  <c r="O582" i="8"/>
  <c r="O583" i="8"/>
  <c r="O584" i="8"/>
  <c r="O585" i="8"/>
  <c r="O586" i="8"/>
  <c r="O587" i="8"/>
  <c r="O588" i="8"/>
  <c r="O589" i="8"/>
  <c r="O590" i="8"/>
  <c r="O591" i="8"/>
  <c r="O592" i="8"/>
  <c r="O593" i="8"/>
  <c r="O594" i="8"/>
  <c r="O595" i="8"/>
  <c r="O596" i="8"/>
  <c r="O597" i="8"/>
  <c r="O598" i="8"/>
  <c r="O599" i="8"/>
  <c r="O600" i="8"/>
  <c r="O601" i="8"/>
  <c r="O602" i="8"/>
  <c r="O603" i="8"/>
  <c r="O604" i="8"/>
  <c r="O605" i="8"/>
  <c r="O606" i="8"/>
  <c r="O607" i="8"/>
  <c r="O608" i="8"/>
  <c r="O609" i="8"/>
  <c r="O610" i="8"/>
  <c r="O611" i="8"/>
  <c r="O612" i="8"/>
  <c r="O613" i="8"/>
  <c r="O614" i="8"/>
  <c r="O615" i="8"/>
  <c r="O616" i="8"/>
  <c r="O617" i="8"/>
  <c r="O618" i="8"/>
  <c r="O619" i="8"/>
  <c r="O620" i="8"/>
  <c r="O621" i="8"/>
  <c r="O622" i="8"/>
  <c r="O623" i="8"/>
  <c r="O624" i="8"/>
  <c r="O625" i="8"/>
  <c r="O626" i="8"/>
  <c r="O627" i="8"/>
  <c r="O628" i="8"/>
  <c r="O629" i="8"/>
  <c r="O630" i="8"/>
  <c r="O631" i="8"/>
  <c r="O632" i="8"/>
  <c r="O633" i="8"/>
  <c r="O634" i="8"/>
  <c r="O635" i="8"/>
  <c r="O636" i="8"/>
  <c r="O637" i="8"/>
  <c r="O638" i="8"/>
  <c r="O639" i="8"/>
  <c r="O640" i="8"/>
  <c r="O641" i="8"/>
  <c r="O642" i="8"/>
  <c r="O643" i="8"/>
  <c r="O644" i="8"/>
  <c r="O645" i="8"/>
  <c r="O646" i="8"/>
  <c r="O647" i="8"/>
  <c r="O648" i="8"/>
  <c r="O649" i="8"/>
  <c r="O650" i="8"/>
  <c r="O651" i="8"/>
  <c r="O652" i="8"/>
  <c r="O653" i="8"/>
  <c r="O654" i="8"/>
  <c r="O655" i="8"/>
  <c r="O656" i="8"/>
  <c r="O657" i="8"/>
  <c r="O658" i="8"/>
  <c r="O659" i="8"/>
  <c r="O660" i="8"/>
  <c r="O661" i="8"/>
  <c r="O662" i="8"/>
  <c r="O663" i="8"/>
  <c r="O664" i="8"/>
  <c r="O665" i="8"/>
  <c r="O666" i="8"/>
  <c r="O667" i="8"/>
  <c r="O668" i="8"/>
  <c r="O669" i="8"/>
  <c r="O670" i="8"/>
  <c r="O671" i="8"/>
  <c r="O672" i="8"/>
  <c r="O673" i="8"/>
  <c r="O674" i="8"/>
  <c r="O675" i="8"/>
  <c r="O676" i="8"/>
  <c r="O677" i="8"/>
  <c r="O678" i="8"/>
  <c r="O679" i="8"/>
  <c r="O680" i="8"/>
  <c r="O681" i="8"/>
  <c r="O682" i="8"/>
  <c r="O683" i="8"/>
  <c r="O684" i="8"/>
  <c r="O685" i="8"/>
  <c r="O686" i="8"/>
  <c r="O687" i="8"/>
  <c r="O688" i="8"/>
  <c r="O689" i="8"/>
  <c r="O690" i="8"/>
  <c r="O691" i="8"/>
  <c r="O692" i="8"/>
  <c r="O693" i="8"/>
  <c r="O694" i="8"/>
  <c r="O695" i="8"/>
  <c r="O696" i="8"/>
  <c r="O697" i="8"/>
  <c r="O698" i="8"/>
  <c r="O699" i="8"/>
  <c r="O700" i="8"/>
  <c r="O701" i="8"/>
  <c r="O702" i="8"/>
  <c r="O703" i="8"/>
  <c r="O704" i="8"/>
  <c r="O705" i="8"/>
  <c r="O706" i="8"/>
  <c r="O707" i="8"/>
  <c r="O708" i="8"/>
  <c r="O709" i="8"/>
  <c r="O710" i="8"/>
  <c r="O711" i="8"/>
  <c r="O712" i="8"/>
  <c r="O713" i="8"/>
  <c r="O714" i="8"/>
  <c r="O715" i="8"/>
  <c r="O716" i="8"/>
  <c r="O717" i="8"/>
  <c r="O718" i="8"/>
  <c r="O719" i="8"/>
  <c r="O720" i="8"/>
  <c r="O721" i="8"/>
  <c r="O722" i="8"/>
  <c r="O723" i="8"/>
  <c r="O724" i="8"/>
  <c r="O725" i="8"/>
  <c r="O726" i="8"/>
  <c r="O727" i="8"/>
  <c r="O728" i="8"/>
  <c r="O729" i="8"/>
  <c r="O730" i="8"/>
  <c r="O731" i="8"/>
  <c r="O732" i="8"/>
  <c r="O733" i="8"/>
  <c r="O734" i="8"/>
  <c r="O735" i="8"/>
  <c r="O736" i="8"/>
  <c r="O737" i="8"/>
  <c r="O738" i="8"/>
  <c r="O739" i="8"/>
  <c r="O740" i="8"/>
  <c r="O741" i="8"/>
  <c r="O742" i="8"/>
  <c r="O743" i="8"/>
  <c r="O744" i="8"/>
  <c r="O745" i="8"/>
  <c r="O746" i="8"/>
  <c r="O747" i="8"/>
  <c r="O748" i="8"/>
  <c r="O749" i="8"/>
  <c r="O750" i="8"/>
  <c r="O751" i="8"/>
  <c r="O752" i="8"/>
  <c r="O52" i="8"/>
  <c r="C28" i="8" a="1"/>
  <c r="T80" i="1" a="1"/>
  <c r="T80" i="1" l="1"/>
  <c r="AB80" i="1"/>
  <c r="AA81" i="1"/>
  <c r="Z82" i="1"/>
  <c r="Y83" i="1"/>
  <c r="X84" i="1"/>
  <c r="W85" i="1"/>
  <c r="V86" i="1"/>
  <c r="U87" i="1"/>
  <c r="T88" i="1"/>
  <c r="AB88" i="1"/>
  <c r="AA89" i="1"/>
  <c r="Z90" i="1"/>
  <c r="Y91" i="1"/>
  <c r="X92" i="1"/>
  <c r="W93" i="1"/>
  <c r="V94" i="1"/>
  <c r="U95" i="1"/>
  <c r="T96" i="1"/>
  <c r="AB96" i="1"/>
  <c r="AA97" i="1"/>
  <c r="Z98" i="1"/>
  <c r="Y99" i="1"/>
  <c r="X100" i="1"/>
  <c r="W101" i="1"/>
  <c r="V102" i="1"/>
  <c r="U103" i="1"/>
  <c r="T104" i="1"/>
  <c r="AB104" i="1"/>
  <c r="AA105" i="1"/>
  <c r="Z106" i="1"/>
  <c r="Y107" i="1"/>
  <c r="X108" i="1"/>
  <c r="W109" i="1"/>
  <c r="V110" i="1"/>
  <c r="U111" i="1"/>
  <c r="T112" i="1"/>
  <c r="AB112" i="1"/>
  <c r="AA113" i="1"/>
  <c r="Z114" i="1"/>
  <c r="Y115" i="1"/>
  <c r="X116" i="1"/>
  <c r="W117" i="1"/>
  <c r="V118" i="1"/>
  <c r="U119" i="1"/>
  <c r="X80" i="1"/>
  <c r="W81" i="1"/>
  <c r="V82" i="1"/>
  <c r="U83" i="1"/>
  <c r="T84" i="1"/>
  <c r="AB84" i="1"/>
  <c r="AA85" i="1"/>
  <c r="Z86" i="1"/>
  <c r="Y87" i="1"/>
  <c r="X88" i="1"/>
  <c r="W89" i="1"/>
  <c r="V90" i="1"/>
  <c r="U91" i="1"/>
  <c r="T92" i="1"/>
  <c r="AB92" i="1"/>
  <c r="AA93" i="1"/>
  <c r="Z94" i="1"/>
  <c r="Y95" i="1"/>
  <c r="X96" i="1"/>
  <c r="W97" i="1"/>
  <c r="V98" i="1"/>
  <c r="U99" i="1"/>
  <c r="T100" i="1"/>
  <c r="AB100" i="1"/>
  <c r="AA101" i="1"/>
  <c r="Z102" i="1"/>
  <c r="Y103" i="1"/>
  <c r="X104" i="1"/>
  <c r="W105" i="1"/>
  <c r="V106" i="1"/>
  <c r="U107" i="1"/>
  <c r="T108" i="1"/>
  <c r="AB108" i="1"/>
  <c r="AA109" i="1"/>
  <c r="Z110" i="1"/>
  <c r="Y111" i="1"/>
  <c r="X112" i="1"/>
  <c r="W113" i="1"/>
  <c r="V114" i="1"/>
  <c r="U115" i="1"/>
  <c r="T116" i="1"/>
  <c r="AB116" i="1"/>
  <c r="AA117" i="1"/>
  <c r="Z118" i="1"/>
  <c r="Y119" i="1"/>
  <c r="X120" i="1"/>
  <c r="W121" i="1"/>
  <c r="V122" i="1"/>
  <c r="U123" i="1"/>
  <c r="T124" i="1"/>
  <c r="AB124" i="1"/>
  <c r="AA125" i="1"/>
  <c r="Z126" i="1"/>
  <c r="Y127" i="1"/>
  <c r="X128" i="1"/>
  <c r="W129" i="1"/>
  <c r="V130" i="1"/>
  <c r="U131" i="1"/>
  <c r="T132" i="1"/>
  <c r="AB132" i="1"/>
  <c r="AA133" i="1"/>
  <c r="Z134" i="1"/>
  <c r="Y135" i="1"/>
  <c r="X136" i="1"/>
  <c r="W137" i="1"/>
  <c r="V138" i="1"/>
  <c r="U139" i="1"/>
  <c r="T140" i="1"/>
  <c r="AB140" i="1"/>
  <c r="AA141" i="1"/>
  <c r="Z142" i="1"/>
  <c r="Y143" i="1"/>
  <c r="X144" i="1"/>
  <c r="W145" i="1"/>
  <c r="V146" i="1"/>
  <c r="U147" i="1"/>
  <c r="T148" i="1"/>
  <c r="AB148" i="1"/>
  <c r="AA149" i="1"/>
  <c r="Z150" i="1"/>
  <c r="Y151" i="1"/>
  <c r="X152" i="1"/>
  <c r="W153" i="1"/>
  <c r="V154" i="1"/>
  <c r="U155" i="1"/>
  <c r="Y80" i="1"/>
  <c r="X81" i="1"/>
  <c r="W82" i="1"/>
  <c r="V83" i="1"/>
  <c r="U84" i="1"/>
  <c r="T85" i="1"/>
  <c r="AB85" i="1"/>
  <c r="AA86" i="1"/>
  <c r="Z87" i="1"/>
  <c r="Y88" i="1"/>
  <c r="X89" i="1"/>
  <c r="W90" i="1"/>
  <c r="V91" i="1"/>
  <c r="U92" i="1"/>
  <c r="T93" i="1"/>
  <c r="AB93" i="1"/>
  <c r="AA94" i="1"/>
  <c r="Z95" i="1"/>
  <c r="Y96" i="1"/>
  <c r="X97" i="1"/>
  <c r="W98" i="1"/>
  <c r="V99" i="1"/>
  <c r="U100" i="1"/>
  <c r="T101" i="1"/>
  <c r="AB101" i="1"/>
  <c r="AA102" i="1"/>
  <c r="Z103" i="1"/>
  <c r="Y104" i="1"/>
  <c r="X105" i="1"/>
  <c r="W106" i="1"/>
  <c r="V107" i="1"/>
  <c r="U108" i="1"/>
  <c r="T109" i="1"/>
  <c r="AB109" i="1"/>
  <c r="AA110" i="1"/>
  <c r="Z111" i="1"/>
  <c r="Y112" i="1"/>
  <c r="X113" i="1"/>
  <c r="W114" i="1"/>
  <c r="V115" i="1"/>
  <c r="U116" i="1"/>
  <c r="T117" i="1"/>
  <c r="AB117" i="1"/>
  <c r="AA118" i="1"/>
  <c r="Z119" i="1"/>
  <c r="Y120" i="1"/>
  <c r="X121" i="1"/>
  <c r="W122" i="1"/>
  <c r="V123" i="1"/>
  <c r="U124" i="1"/>
  <c r="T125" i="1"/>
  <c r="AB125" i="1"/>
  <c r="AA126" i="1"/>
  <c r="Z127" i="1"/>
  <c r="Y128" i="1"/>
  <c r="X129" i="1"/>
  <c r="W130" i="1"/>
  <c r="V131" i="1"/>
  <c r="U132" i="1"/>
  <c r="T133" i="1"/>
  <c r="AB133" i="1"/>
  <c r="AA134" i="1"/>
  <c r="Z135" i="1"/>
  <c r="Y136" i="1"/>
  <c r="X137" i="1"/>
  <c r="W138" i="1"/>
  <c r="V139" i="1"/>
  <c r="U140" i="1"/>
  <c r="T141" i="1"/>
  <c r="AB141" i="1"/>
  <c r="AA142" i="1"/>
  <c r="Z143" i="1"/>
  <c r="Y144" i="1"/>
  <c r="X145" i="1"/>
  <c r="W146" i="1"/>
  <c r="V147" i="1"/>
  <c r="U148" i="1"/>
  <c r="T149" i="1"/>
  <c r="AB149" i="1"/>
  <c r="AA150" i="1"/>
  <c r="Z151" i="1"/>
  <c r="Y152" i="1"/>
  <c r="X153" i="1"/>
  <c r="W154" i="1"/>
  <c r="V155" i="1"/>
  <c r="Z80" i="1"/>
  <c r="Y81" i="1"/>
  <c r="X82" i="1"/>
  <c r="W83" i="1"/>
  <c r="V84" i="1"/>
  <c r="U85" i="1"/>
  <c r="T86" i="1"/>
  <c r="AB86" i="1"/>
  <c r="AA87" i="1"/>
  <c r="Z88" i="1"/>
  <c r="Y89" i="1"/>
  <c r="X90" i="1"/>
  <c r="W91" i="1"/>
  <c r="V92" i="1"/>
  <c r="U93" i="1"/>
  <c r="T94" i="1"/>
  <c r="AB94" i="1"/>
  <c r="AA95" i="1"/>
  <c r="Z96" i="1"/>
  <c r="Y97" i="1"/>
  <c r="X98" i="1"/>
  <c r="W99" i="1"/>
  <c r="V100" i="1"/>
  <c r="U101" i="1"/>
  <c r="T102" i="1"/>
  <c r="AB102" i="1"/>
  <c r="AA103" i="1"/>
  <c r="Z104" i="1"/>
  <c r="Y105" i="1"/>
  <c r="X106" i="1"/>
  <c r="W107" i="1"/>
  <c r="V108" i="1"/>
  <c r="U109" i="1"/>
  <c r="T110" i="1"/>
  <c r="AB110" i="1"/>
  <c r="AA111" i="1"/>
  <c r="Z112" i="1"/>
  <c r="Y113" i="1"/>
  <c r="X114" i="1"/>
  <c r="W115" i="1"/>
  <c r="V116" i="1"/>
  <c r="U117" i="1"/>
  <c r="T118" i="1"/>
  <c r="AB118" i="1"/>
  <c r="AA119" i="1"/>
  <c r="Z120" i="1"/>
  <c r="Y121" i="1"/>
  <c r="X122" i="1"/>
  <c r="W123" i="1"/>
  <c r="V124" i="1"/>
  <c r="U125" i="1"/>
  <c r="T126" i="1"/>
  <c r="AB126" i="1"/>
  <c r="AA127" i="1"/>
  <c r="Z128" i="1"/>
  <c r="Y129" i="1"/>
  <c r="X130" i="1"/>
  <c r="W131" i="1"/>
  <c r="V132" i="1"/>
  <c r="U133" i="1"/>
  <c r="T134" i="1"/>
  <c r="AB134" i="1"/>
  <c r="AA135" i="1"/>
  <c r="Z136" i="1"/>
  <c r="Y137" i="1"/>
  <c r="X138" i="1"/>
  <c r="W139" i="1"/>
  <c r="V140" i="1"/>
  <c r="U141" i="1"/>
  <c r="T142" i="1"/>
  <c r="AB142" i="1"/>
  <c r="AA143" i="1"/>
  <c r="Z144" i="1"/>
  <c r="Y145" i="1"/>
  <c r="X146" i="1"/>
  <c r="W147" i="1"/>
  <c r="V148" i="1"/>
  <c r="U149" i="1"/>
  <c r="T150" i="1"/>
  <c r="AB150" i="1"/>
  <c r="AA151" i="1"/>
  <c r="Z152" i="1"/>
  <c r="Y153" i="1"/>
  <c r="X154" i="1"/>
  <c r="W155" i="1"/>
  <c r="U81" i="1"/>
  <c r="AB82" i="1"/>
  <c r="Z84" i="1"/>
  <c r="X86" i="1"/>
  <c r="V88" i="1"/>
  <c r="T90" i="1"/>
  <c r="AA91" i="1"/>
  <c r="Y93" i="1"/>
  <c r="W95" i="1"/>
  <c r="U97" i="1"/>
  <c r="AB98" i="1"/>
  <c r="Z100" i="1"/>
  <c r="X102" i="1"/>
  <c r="V104" i="1"/>
  <c r="T106" i="1"/>
  <c r="AA107" i="1"/>
  <c r="Y109" i="1"/>
  <c r="W111" i="1"/>
  <c r="U113" i="1"/>
  <c r="AB114" i="1"/>
  <c r="Z116" i="1"/>
  <c r="X118" i="1"/>
  <c r="U120" i="1"/>
  <c r="Z121" i="1"/>
  <c r="AB122" i="1"/>
  <c r="X124" i="1"/>
  <c r="Z125" i="1"/>
  <c r="V127" i="1"/>
  <c r="AA128" i="1"/>
  <c r="T130" i="1"/>
  <c r="Y131" i="1"/>
  <c r="AA132" i="1"/>
  <c r="W134" i="1"/>
  <c r="AB135" i="1"/>
  <c r="U137" i="1"/>
  <c r="Z138" i="1"/>
  <c r="AB139" i="1"/>
  <c r="X141" i="1"/>
  <c r="T143" i="1"/>
  <c r="V144" i="1"/>
  <c r="AA145" i="1"/>
  <c r="T147" i="1"/>
  <c r="Y148" i="1"/>
  <c r="U150" i="1"/>
  <c r="W151" i="1"/>
  <c r="AB152" i="1"/>
  <c r="U154" i="1"/>
  <c r="Z155" i="1"/>
  <c r="Y156" i="1"/>
  <c r="X157" i="1"/>
  <c r="W158" i="1"/>
  <c r="V159" i="1"/>
  <c r="U160" i="1"/>
  <c r="T161" i="1"/>
  <c r="AB161" i="1"/>
  <c r="AA162" i="1"/>
  <c r="Z163" i="1"/>
  <c r="Y164" i="1"/>
  <c r="X165" i="1"/>
  <c r="W166" i="1"/>
  <c r="V167" i="1"/>
  <c r="U168" i="1"/>
  <c r="T169" i="1"/>
  <c r="AB169" i="1"/>
  <c r="AA170" i="1"/>
  <c r="Z171" i="1"/>
  <c r="Y172" i="1"/>
  <c r="X173" i="1"/>
  <c r="W174" i="1"/>
  <c r="V175" i="1"/>
  <c r="U176" i="1"/>
  <c r="T177" i="1"/>
  <c r="AB177" i="1"/>
  <c r="AA178" i="1"/>
  <c r="Z179" i="1"/>
  <c r="Y180" i="1"/>
  <c r="X181" i="1"/>
  <c r="W182" i="1"/>
  <c r="V183" i="1"/>
  <c r="U184" i="1"/>
  <c r="T185" i="1"/>
  <c r="AB185" i="1"/>
  <c r="AA186" i="1"/>
  <c r="Z187" i="1"/>
  <c r="Y188" i="1"/>
  <c r="V81" i="1"/>
  <c r="T83" i="1"/>
  <c r="AA84" i="1"/>
  <c r="Y86" i="1"/>
  <c r="W88" i="1"/>
  <c r="U90" i="1"/>
  <c r="AB91" i="1"/>
  <c r="Z93" i="1"/>
  <c r="X95" i="1"/>
  <c r="V97" i="1"/>
  <c r="T99" i="1"/>
  <c r="AA100" i="1"/>
  <c r="Y102" i="1"/>
  <c r="W104" i="1"/>
  <c r="U106" i="1"/>
  <c r="AB107" i="1"/>
  <c r="Z109" i="1"/>
  <c r="X111" i="1"/>
  <c r="V113" i="1"/>
  <c r="T115" i="1"/>
  <c r="AA116" i="1"/>
  <c r="Y118" i="1"/>
  <c r="V120" i="1"/>
  <c r="AA121" i="1"/>
  <c r="T123" i="1"/>
  <c r="Y124" i="1"/>
  <c r="U126" i="1"/>
  <c r="W127" i="1"/>
  <c r="AB128" i="1"/>
  <c r="U130" i="1"/>
  <c r="Z131" i="1"/>
  <c r="V133" i="1"/>
  <c r="X134" i="1"/>
  <c r="T136" i="1"/>
  <c r="V137" i="1"/>
  <c r="AA138" i="1"/>
  <c r="W140" i="1"/>
  <c r="Y141" i="1"/>
  <c r="U143" i="1"/>
  <c r="W144" i="1"/>
  <c r="AB145" i="1"/>
  <c r="X147" i="1"/>
  <c r="Z148" i="1"/>
  <c r="V150" i="1"/>
  <c r="X151" i="1"/>
  <c r="T153" i="1"/>
  <c r="Y154" i="1"/>
  <c r="AA155" i="1"/>
  <c r="Z156" i="1"/>
  <c r="Y157" i="1"/>
  <c r="X158" i="1"/>
  <c r="W159" i="1"/>
  <c r="V160" i="1"/>
  <c r="U161" i="1"/>
  <c r="T162" i="1"/>
  <c r="AB162" i="1"/>
  <c r="AA163" i="1"/>
  <c r="Z164" i="1"/>
  <c r="Y165" i="1"/>
  <c r="X166" i="1"/>
  <c r="W167" i="1"/>
  <c r="V168" i="1"/>
  <c r="U169" i="1"/>
  <c r="T170" i="1"/>
  <c r="AB170" i="1"/>
  <c r="AA171" i="1"/>
  <c r="Z172" i="1"/>
  <c r="Y173" i="1"/>
  <c r="X174" i="1"/>
  <c r="W175" i="1"/>
  <c r="V176" i="1"/>
  <c r="U177" i="1"/>
  <c r="T178" i="1"/>
  <c r="AB178" i="1"/>
  <c r="AA179" i="1"/>
  <c r="Z180" i="1"/>
  <c r="Y181" i="1"/>
  <c r="X182" i="1"/>
  <c r="W183" i="1"/>
  <c r="V184" i="1"/>
  <c r="U185" i="1"/>
  <c r="T186" i="1"/>
  <c r="AB186" i="1"/>
  <c r="AA187" i="1"/>
  <c r="Z188" i="1"/>
  <c r="Z81" i="1"/>
  <c r="AA83" i="1"/>
  <c r="U86" i="1"/>
  <c r="AA88" i="1"/>
  <c r="AB90" i="1"/>
  <c r="V93" i="1"/>
  <c r="AB95" i="1"/>
  <c r="T98" i="1"/>
  <c r="W100" i="1"/>
  <c r="T103" i="1"/>
  <c r="U105" i="1"/>
  <c r="X107" i="1"/>
  <c r="U110" i="1"/>
  <c r="V112" i="1"/>
  <c r="Y114" i="1"/>
  <c r="V117" i="1"/>
  <c r="W119" i="1"/>
  <c r="U121" i="1"/>
  <c r="X123" i="1"/>
  <c r="V125" i="1"/>
  <c r="T127" i="1"/>
  <c r="T129" i="1"/>
  <c r="AA130" i="1"/>
  <c r="Y132" i="1"/>
  <c r="Y134" i="1"/>
  <c r="W136" i="1"/>
  <c r="U138" i="1"/>
  <c r="X140" i="1"/>
  <c r="V142" i="1"/>
  <c r="T144" i="1"/>
  <c r="T146" i="1"/>
  <c r="AA147" i="1"/>
  <c r="Y149" i="1"/>
  <c r="AB151" i="1"/>
  <c r="Z153" i="1"/>
  <c r="X155" i="1"/>
  <c r="AA156" i="1"/>
  <c r="AB157" i="1"/>
  <c r="T159" i="1"/>
  <c r="W160" i="1"/>
  <c r="X161" i="1"/>
  <c r="Y162" i="1"/>
  <c r="AB163" i="1"/>
  <c r="T165" i="1"/>
  <c r="U166" i="1"/>
  <c r="X167" i="1"/>
  <c r="Y168" i="1"/>
  <c r="Z169" i="1"/>
  <c r="T171" i="1"/>
  <c r="U172" i="1"/>
  <c r="V173" i="1"/>
  <c r="Y174" i="1"/>
  <c r="Z175" i="1"/>
  <c r="AA176" i="1"/>
  <c r="U178" i="1"/>
  <c r="V179" i="1"/>
  <c r="W180" i="1"/>
  <c r="Z181" i="1"/>
  <c r="AA182" i="1"/>
  <c r="AB183" i="1"/>
  <c r="V185" i="1"/>
  <c r="W186" i="1"/>
  <c r="X187" i="1"/>
  <c r="AA188" i="1"/>
  <c r="Z189" i="1"/>
  <c r="Y190" i="1"/>
  <c r="X191" i="1"/>
  <c r="W192" i="1"/>
  <c r="V193" i="1"/>
  <c r="U194" i="1"/>
  <c r="T195" i="1"/>
  <c r="AB195" i="1"/>
  <c r="AA196" i="1"/>
  <c r="Z197" i="1"/>
  <c r="Y198" i="1"/>
  <c r="X199" i="1"/>
  <c r="W200" i="1"/>
  <c r="V201" i="1"/>
  <c r="U202" i="1"/>
  <c r="T203" i="1"/>
  <c r="AB203" i="1"/>
  <c r="AA204" i="1"/>
  <c r="Z205" i="1"/>
  <c r="Y206" i="1"/>
  <c r="X207" i="1"/>
  <c r="W208" i="1"/>
  <c r="V209" i="1"/>
  <c r="U210" i="1"/>
  <c r="T211" i="1"/>
  <c r="AB211" i="1"/>
  <c r="AA212" i="1"/>
  <c r="Z213" i="1"/>
  <c r="Y214" i="1"/>
  <c r="X215" i="1"/>
  <c r="W216" i="1"/>
  <c r="V217" i="1"/>
  <c r="U218" i="1"/>
  <c r="T219" i="1"/>
  <c r="AB219" i="1"/>
  <c r="AA220" i="1"/>
  <c r="Z221" i="1"/>
  <c r="Y222" i="1"/>
  <c r="X223" i="1"/>
  <c r="W224" i="1"/>
  <c r="V225" i="1"/>
  <c r="U226" i="1"/>
  <c r="T227" i="1"/>
  <c r="AB227" i="1"/>
  <c r="AA228" i="1"/>
  <c r="Z229" i="1"/>
  <c r="Y230" i="1"/>
  <c r="X231" i="1"/>
  <c r="W232" i="1"/>
  <c r="V233" i="1"/>
  <c r="U234" i="1"/>
  <c r="T235" i="1"/>
  <c r="AB235" i="1"/>
  <c r="AA236" i="1"/>
  <c r="Z237" i="1"/>
  <c r="Y238" i="1"/>
  <c r="X239" i="1"/>
  <c r="W240" i="1"/>
  <c r="V241" i="1"/>
  <c r="U242" i="1"/>
  <c r="T243" i="1"/>
  <c r="AB243" i="1"/>
  <c r="AA244" i="1"/>
  <c r="Z245" i="1"/>
  <c r="Y246" i="1"/>
  <c r="X247" i="1"/>
  <c r="W248" i="1"/>
  <c r="V249" i="1"/>
  <c r="U250" i="1"/>
  <c r="T251" i="1"/>
  <c r="AB251" i="1"/>
  <c r="AA252" i="1"/>
  <c r="Z253" i="1"/>
  <c r="Y254" i="1"/>
  <c r="X255" i="1"/>
  <c r="W256" i="1"/>
  <c r="V257" i="1"/>
  <c r="U258" i="1"/>
  <c r="T259" i="1"/>
  <c r="AB259" i="1"/>
  <c r="AA260" i="1"/>
  <c r="Z261" i="1"/>
  <c r="Y262" i="1"/>
  <c r="X263" i="1"/>
  <c r="W264" i="1"/>
  <c r="V265" i="1"/>
  <c r="U266" i="1"/>
  <c r="T267" i="1"/>
  <c r="AB267" i="1"/>
  <c r="AA268" i="1"/>
  <c r="Z269" i="1"/>
  <c r="Y270" i="1"/>
  <c r="X271" i="1"/>
  <c r="W272" i="1"/>
  <c r="V273" i="1"/>
  <c r="U274" i="1"/>
  <c r="T275" i="1"/>
  <c r="AB275" i="1"/>
  <c r="AA276" i="1"/>
  <c r="Z277" i="1"/>
  <c r="Y278" i="1"/>
  <c r="X279" i="1"/>
  <c r="W280" i="1"/>
  <c r="V281" i="1"/>
  <c r="U282" i="1"/>
  <c r="T283" i="1"/>
  <c r="AB81" i="1"/>
  <c r="AB83" i="1"/>
  <c r="W86" i="1"/>
  <c r="T89" i="1"/>
  <c r="T91" i="1"/>
  <c r="X93" i="1"/>
  <c r="U96" i="1"/>
  <c r="U98" i="1"/>
  <c r="Y100" i="1"/>
  <c r="V103" i="1"/>
  <c r="V105" i="1"/>
  <c r="Z107" i="1"/>
  <c r="W110" i="1"/>
  <c r="W112" i="1"/>
  <c r="AA114" i="1"/>
  <c r="X117" i="1"/>
  <c r="X119" i="1"/>
  <c r="V121" i="1"/>
  <c r="Y123" i="1"/>
  <c r="W125" i="1"/>
  <c r="U127" i="1"/>
  <c r="U129" i="1"/>
  <c r="AB130" i="1"/>
  <c r="Z132" i="1"/>
  <c r="T135" i="1"/>
  <c r="AA136" i="1"/>
  <c r="Y138" i="1"/>
  <c r="Y140" i="1"/>
  <c r="W142" i="1"/>
  <c r="U144" i="1"/>
  <c r="U146" i="1"/>
  <c r="AB147" i="1"/>
  <c r="Z149" i="1"/>
  <c r="T152" i="1"/>
  <c r="AA153" i="1"/>
  <c r="Y155" i="1"/>
  <c r="AB156" i="1"/>
  <c r="T158" i="1"/>
  <c r="U159" i="1"/>
  <c r="X160" i="1"/>
  <c r="Y161" i="1"/>
  <c r="Z162" i="1"/>
  <c r="T164" i="1"/>
  <c r="U165" i="1"/>
  <c r="V166" i="1"/>
  <c r="Y167" i="1"/>
  <c r="Z168" i="1"/>
  <c r="AA169" i="1"/>
  <c r="U171" i="1"/>
  <c r="V172" i="1"/>
  <c r="W173" i="1"/>
  <c r="Z174" i="1"/>
  <c r="AA175" i="1"/>
  <c r="AB176" i="1"/>
  <c r="V178" i="1"/>
  <c r="W179" i="1"/>
  <c r="X180" i="1"/>
  <c r="AA181" i="1"/>
  <c r="AB182" i="1"/>
  <c r="T184" i="1"/>
  <c r="W185" i="1"/>
  <c r="X186" i="1"/>
  <c r="Y187" i="1"/>
  <c r="AB188" i="1"/>
  <c r="AA189" i="1"/>
  <c r="Z190" i="1"/>
  <c r="Y191" i="1"/>
  <c r="X192" i="1"/>
  <c r="W193" i="1"/>
  <c r="V194" i="1"/>
  <c r="U195" i="1"/>
  <c r="T196" i="1"/>
  <c r="AB196" i="1"/>
  <c r="AA197" i="1"/>
  <c r="Z198" i="1"/>
  <c r="Y199" i="1"/>
  <c r="X200" i="1"/>
  <c r="W201" i="1"/>
  <c r="V202" i="1"/>
  <c r="U203" i="1"/>
  <c r="T204" i="1"/>
  <c r="AB204" i="1"/>
  <c r="AA205" i="1"/>
  <c r="Z206" i="1"/>
  <c r="Y207" i="1"/>
  <c r="X208" i="1"/>
  <c r="W209" i="1"/>
  <c r="V210" i="1"/>
  <c r="U211" i="1"/>
  <c r="T212" i="1"/>
  <c r="AB212" i="1"/>
  <c r="AA213" i="1"/>
  <c r="Z214" i="1"/>
  <c r="Y215" i="1"/>
  <c r="X216" i="1"/>
  <c r="W217" i="1"/>
  <c r="V218" i="1"/>
  <c r="U219" i="1"/>
  <c r="T220" i="1"/>
  <c r="AB220" i="1"/>
  <c r="AA221" i="1"/>
  <c r="Z222" i="1"/>
  <c r="Y223" i="1"/>
  <c r="X224" i="1"/>
  <c r="W225" i="1"/>
  <c r="V226" i="1"/>
  <c r="U227" i="1"/>
  <c r="T228" i="1"/>
  <c r="AB228" i="1"/>
  <c r="AA229" i="1"/>
  <c r="Z230" i="1"/>
  <c r="Y231" i="1"/>
  <c r="X232" i="1"/>
  <c r="W233" i="1"/>
  <c r="V234" i="1"/>
  <c r="U235" i="1"/>
  <c r="T236" i="1"/>
  <c r="AB236" i="1"/>
  <c r="AA237" i="1"/>
  <c r="Z238" i="1"/>
  <c r="Y239" i="1"/>
  <c r="X240" i="1"/>
  <c r="W241" i="1"/>
  <c r="V242" i="1"/>
  <c r="U243" i="1"/>
  <c r="T244" i="1"/>
  <c r="AB244" i="1"/>
  <c r="AA245" i="1"/>
  <c r="Z246" i="1"/>
  <c r="Y247" i="1"/>
  <c r="X248" i="1"/>
  <c r="W249" i="1"/>
  <c r="V250" i="1"/>
  <c r="U251" i="1"/>
  <c r="T252" i="1"/>
  <c r="AB252" i="1"/>
  <c r="AA253" i="1"/>
  <c r="Z254" i="1"/>
  <c r="Y255" i="1"/>
  <c r="X256" i="1"/>
  <c r="W257" i="1"/>
  <c r="V258" i="1"/>
  <c r="U259" i="1"/>
  <c r="T260" i="1"/>
  <c r="AB260" i="1"/>
  <c r="AA261" i="1"/>
  <c r="Z262" i="1"/>
  <c r="Y263" i="1"/>
  <c r="X264" i="1"/>
  <c r="W265" i="1"/>
  <c r="V266" i="1"/>
  <c r="U267" i="1"/>
  <c r="T268" i="1"/>
  <c r="AB268" i="1"/>
  <c r="AA269" i="1"/>
  <c r="Z270" i="1"/>
  <c r="Y271" i="1"/>
  <c r="X272" i="1"/>
  <c r="W273" i="1"/>
  <c r="V274" i="1"/>
  <c r="U275" i="1"/>
  <c r="T276" i="1"/>
  <c r="AB276" i="1"/>
  <c r="AA277" i="1"/>
  <c r="Z278" i="1"/>
  <c r="Y279" i="1"/>
  <c r="X280" i="1"/>
  <c r="W281" i="1"/>
  <c r="V282" i="1"/>
  <c r="U283" i="1"/>
  <c r="T82" i="1"/>
  <c r="V85" i="1"/>
  <c r="AB87" i="1"/>
  <c r="X91" i="1"/>
  <c r="X94" i="1"/>
  <c r="Z97" i="1"/>
  <c r="V101" i="1"/>
  <c r="AB103" i="1"/>
  <c r="AB106" i="1"/>
  <c r="X110" i="1"/>
  <c r="Z113" i="1"/>
  <c r="W116" i="1"/>
  <c r="AB119" i="1"/>
  <c r="U122" i="1"/>
  <c r="Z124" i="1"/>
  <c r="X127" i="1"/>
  <c r="AA129" i="1"/>
  <c r="W132" i="1"/>
  <c r="U135" i="1"/>
  <c r="Z137" i="1"/>
  <c r="Z139" i="1"/>
  <c r="X142" i="1"/>
  <c r="T145" i="1"/>
  <c r="Y147" i="1"/>
  <c r="W150" i="1"/>
  <c r="W152" i="1"/>
  <c r="AB154" i="1"/>
  <c r="T157" i="1"/>
  <c r="Y158" i="1"/>
  <c r="AB159" i="1"/>
  <c r="Z161" i="1"/>
  <c r="V163" i="1"/>
  <c r="AA164" i="1"/>
  <c r="Y166" i="1"/>
  <c r="AB167" i="1"/>
  <c r="X169" i="1"/>
  <c r="V171" i="1"/>
  <c r="AA172" i="1"/>
  <c r="U174" i="1"/>
  <c r="AB175" i="1"/>
  <c r="X177" i="1"/>
  <c r="T179" i="1"/>
  <c r="AA180" i="1"/>
  <c r="U182" i="1"/>
  <c r="Z183" i="1"/>
  <c r="X185" i="1"/>
  <c r="T187" i="1"/>
  <c r="W188" i="1"/>
  <c r="AB189" i="1"/>
  <c r="T191" i="1"/>
  <c r="U192" i="1"/>
  <c r="X193" i="1"/>
  <c r="Y194" i="1"/>
  <c r="Z195" i="1"/>
  <c r="T197" i="1"/>
  <c r="U198" i="1"/>
  <c r="V199" i="1"/>
  <c r="Y200" i="1"/>
  <c r="Z201" i="1"/>
  <c r="AA202" i="1"/>
  <c r="U204" i="1"/>
  <c r="V205" i="1"/>
  <c r="W206" i="1"/>
  <c r="Z207" i="1"/>
  <c r="AA208" i="1"/>
  <c r="AB209" i="1"/>
  <c r="V211" i="1"/>
  <c r="W212" i="1"/>
  <c r="X213" i="1"/>
  <c r="AA214" i="1"/>
  <c r="AB215" i="1"/>
  <c r="T217" i="1"/>
  <c r="W218" i="1"/>
  <c r="X219" i="1"/>
  <c r="Y220" i="1"/>
  <c r="AB221" i="1"/>
  <c r="T223" i="1"/>
  <c r="U224" i="1"/>
  <c r="X225" i="1"/>
  <c r="Y226" i="1"/>
  <c r="Z227" i="1"/>
  <c r="T229" i="1"/>
  <c r="U230" i="1"/>
  <c r="V231" i="1"/>
  <c r="Y232" i="1"/>
  <c r="Z233" i="1"/>
  <c r="AA234" i="1"/>
  <c r="U236" i="1"/>
  <c r="V237" i="1"/>
  <c r="W238" i="1"/>
  <c r="Z239" i="1"/>
  <c r="AA240" i="1"/>
  <c r="AB241" i="1"/>
  <c r="V243" i="1"/>
  <c r="W244" i="1"/>
  <c r="X245" i="1"/>
  <c r="AA246" i="1"/>
  <c r="AB247" i="1"/>
  <c r="T249" i="1"/>
  <c r="W250" i="1"/>
  <c r="X251" i="1"/>
  <c r="Y252" i="1"/>
  <c r="AB253" i="1"/>
  <c r="T255" i="1"/>
  <c r="U256" i="1"/>
  <c r="X257" i="1"/>
  <c r="Y258" i="1"/>
  <c r="Z259" i="1"/>
  <c r="T261" i="1"/>
  <c r="U262" i="1"/>
  <c r="V263" i="1"/>
  <c r="Y264" i="1"/>
  <c r="Z265" i="1"/>
  <c r="AA266" i="1"/>
  <c r="U268" i="1"/>
  <c r="V269" i="1"/>
  <c r="W270" i="1"/>
  <c r="Z271" i="1"/>
  <c r="AA272" i="1"/>
  <c r="AB273" i="1"/>
  <c r="V275" i="1"/>
  <c r="W276" i="1"/>
  <c r="X277" i="1"/>
  <c r="AA278" i="1"/>
  <c r="AB279" i="1"/>
  <c r="T281" i="1"/>
  <c r="W282" i="1"/>
  <c r="X283" i="1"/>
  <c r="W284" i="1"/>
  <c r="V285" i="1"/>
  <c r="U286" i="1"/>
  <c r="T287" i="1"/>
  <c r="AB287" i="1"/>
  <c r="AA288" i="1"/>
  <c r="Z289" i="1"/>
  <c r="Y290" i="1"/>
  <c r="X291" i="1"/>
  <c r="W292" i="1"/>
  <c r="V293" i="1"/>
  <c r="U294" i="1"/>
  <c r="T295" i="1"/>
  <c r="AB295" i="1"/>
  <c r="AA296" i="1"/>
  <c r="Z297" i="1"/>
  <c r="Y298" i="1"/>
  <c r="X299" i="1"/>
  <c r="W300" i="1"/>
  <c r="V301" i="1"/>
  <c r="U302" i="1"/>
  <c r="T303" i="1"/>
  <c r="AB303" i="1"/>
  <c r="AA304" i="1"/>
  <c r="Z305" i="1"/>
  <c r="Y306" i="1"/>
  <c r="X307" i="1"/>
  <c r="W308" i="1"/>
  <c r="V309" i="1"/>
  <c r="U310" i="1"/>
  <c r="T311" i="1"/>
  <c r="AB311" i="1"/>
  <c r="AA312" i="1"/>
  <c r="Z313" i="1"/>
  <c r="Y314" i="1"/>
  <c r="X315" i="1"/>
  <c r="W316" i="1"/>
  <c r="V317" i="1"/>
  <c r="U318" i="1"/>
  <c r="T319" i="1"/>
  <c r="AB319" i="1"/>
  <c r="AA320" i="1"/>
  <c r="Z321" i="1"/>
  <c r="U82" i="1"/>
  <c r="X85" i="1"/>
  <c r="U88" i="1"/>
  <c r="Z91" i="1"/>
  <c r="Y94" i="1"/>
  <c r="AB97" i="1"/>
  <c r="X101" i="1"/>
  <c r="U104" i="1"/>
  <c r="T107" i="1"/>
  <c r="Y110" i="1"/>
  <c r="AB113" i="1"/>
  <c r="Y116" i="1"/>
  <c r="T120" i="1"/>
  <c r="Y122" i="1"/>
  <c r="AA124" i="1"/>
  <c r="AB127" i="1"/>
  <c r="AB129" i="1"/>
  <c r="X132" i="1"/>
  <c r="V135" i="1"/>
  <c r="AA137" i="1"/>
  <c r="AA139" i="1"/>
  <c r="Y142" i="1"/>
  <c r="U145" i="1"/>
  <c r="Z147" i="1"/>
  <c r="X150" i="1"/>
  <c r="AA152" i="1"/>
  <c r="T155" i="1"/>
  <c r="U157" i="1"/>
  <c r="Z158" i="1"/>
  <c r="T160" i="1"/>
  <c r="AA161" i="1"/>
  <c r="W163" i="1"/>
  <c r="AB164" i="1"/>
  <c r="Z166" i="1"/>
  <c r="T168" i="1"/>
  <c r="Y169" i="1"/>
  <c r="W171" i="1"/>
  <c r="AB172" i="1"/>
  <c r="V174" i="1"/>
  <c r="T176" i="1"/>
  <c r="Y177" i="1"/>
  <c r="U179" i="1"/>
  <c r="AB180" i="1"/>
  <c r="V182" i="1"/>
  <c r="AA183" i="1"/>
  <c r="Y185" i="1"/>
  <c r="U187" i="1"/>
  <c r="X188" i="1"/>
  <c r="T190" i="1"/>
  <c r="U191" i="1"/>
  <c r="V192" i="1"/>
  <c r="Y193" i="1"/>
  <c r="Z194" i="1"/>
  <c r="AA195" i="1"/>
  <c r="U197" i="1"/>
  <c r="V198" i="1"/>
  <c r="W199" i="1"/>
  <c r="Z200" i="1"/>
  <c r="AA201" i="1"/>
  <c r="AB202" i="1"/>
  <c r="V204" i="1"/>
  <c r="W205" i="1"/>
  <c r="X206" i="1"/>
  <c r="AA207" i="1"/>
  <c r="AB208" i="1"/>
  <c r="T210" i="1"/>
  <c r="W211" i="1"/>
  <c r="X212" i="1"/>
  <c r="Y213" i="1"/>
  <c r="AB214" i="1"/>
  <c r="T216" i="1"/>
  <c r="U217" i="1"/>
  <c r="X218" i="1"/>
  <c r="Y219" i="1"/>
  <c r="Z220" i="1"/>
  <c r="T222" i="1"/>
  <c r="U223" i="1"/>
  <c r="V224" i="1"/>
  <c r="Y225" i="1"/>
  <c r="Z226" i="1"/>
  <c r="AA227" i="1"/>
  <c r="U229" i="1"/>
  <c r="V230" i="1"/>
  <c r="W231" i="1"/>
  <c r="Z232" i="1"/>
  <c r="AA233" i="1"/>
  <c r="AB234" i="1"/>
  <c r="V236" i="1"/>
  <c r="W237" i="1"/>
  <c r="X238" i="1"/>
  <c r="AA239" i="1"/>
  <c r="AB240" i="1"/>
  <c r="T242" i="1"/>
  <c r="W243" i="1"/>
  <c r="X244" i="1"/>
  <c r="Y245" i="1"/>
  <c r="AB246" i="1"/>
  <c r="T248" i="1"/>
  <c r="U249" i="1"/>
  <c r="X250" i="1"/>
  <c r="Y251" i="1"/>
  <c r="Z252" i="1"/>
  <c r="T254" i="1"/>
  <c r="U255" i="1"/>
  <c r="V256" i="1"/>
  <c r="Y257" i="1"/>
  <c r="Z258" i="1"/>
  <c r="AA259" i="1"/>
  <c r="U261" i="1"/>
  <c r="V262" i="1"/>
  <c r="W263" i="1"/>
  <c r="Z264" i="1"/>
  <c r="AA265" i="1"/>
  <c r="AB266" i="1"/>
  <c r="V268" i="1"/>
  <c r="W269" i="1"/>
  <c r="X270" i="1"/>
  <c r="AA271" i="1"/>
  <c r="AB272" i="1"/>
  <c r="T274" i="1"/>
  <c r="W275" i="1"/>
  <c r="X276" i="1"/>
  <c r="Y277" i="1"/>
  <c r="AB278" i="1"/>
  <c r="T280" i="1"/>
  <c r="U281" i="1"/>
  <c r="X282" i="1"/>
  <c r="Y283" i="1"/>
  <c r="X284" i="1"/>
  <c r="W285" i="1"/>
  <c r="V286" i="1"/>
  <c r="U287" i="1"/>
  <c r="T288" i="1"/>
  <c r="AB288" i="1"/>
  <c r="AA289" i="1"/>
  <c r="Z290" i="1"/>
  <c r="Y291" i="1"/>
  <c r="X292" i="1"/>
  <c r="W293" i="1"/>
  <c r="V294" i="1"/>
  <c r="U295" i="1"/>
  <c r="T296" i="1"/>
  <c r="AB296" i="1"/>
  <c r="AA297" i="1"/>
  <c r="Z298" i="1"/>
  <c r="Y299" i="1"/>
  <c r="X300" i="1"/>
  <c r="W301" i="1"/>
  <c r="V302" i="1"/>
  <c r="U303" i="1"/>
  <c r="T304" i="1"/>
  <c r="AB304" i="1"/>
  <c r="AA305" i="1"/>
  <c r="Z306" i="1"/>
  <c r="Y307" i="1"/>
  <c r="X308" i="1"/>
  <c r="W309" i="1"/>
  <c r="V310" i="1"/>
  <c r="U311" i="1"/>
  <c r="T312" i="1"/>
  <c r="AB312" i="1"/>
  <c r="AA313" i="1"/>
  <c r="Z314" i="1"/>
  <c r="Y315" i="1"/>
  <c r="X316" i="1"/>
  <c r="W317" i="1"/>
  <c r="V318" i="1"/>
  <c r="U319" i="1"/>
  <c r="T320" i="1"/>
  <c r="AB320" i="1"/>
  <c r="V80" i="1"/>
  <c r="W84" i="1"/>
  <c r="U89" i="1"/>
  <c r="Z92" i="1"/>
  <c r="AA96" i="1"/>
  <c r="Y101" i="1"/>
  <c r="Z105" i="1"/>
  <c r="V109" i="1"/>
  <c r="T114" i="1"/>
  <c r="U118" i="1"/>
  <c r="AB121" i="1"/>
  <c r="X125" i="1"/>
  <c r="V128" i="1"/>
  <c r="AA131" i="1"/>
  <c r="W135" i="1"/>
  <c r="AB138" i="1"/>
  <c r="Z141" i="1"/>
  <c r="V145" i="1"/>
  <c r="AA148" i="1"/>
  <c r="U152" i="1"/>
  <c r="AB155" i="1"/>
  <c r="Z157" i="1"/>
  <c r="Z159" i="1"/>
  <c r="U162" i="1"/>
  <c r="U164" i="1"/>
  <c r="AB165" i="1"/>
  <c r="W168" i="1"/>
  <c r="W170" i="1"/>
  <c r="W172" i="1"/>
  <c r="AA174" i="1"/>
  <c r="Y176" i="1"/>
  <c r="Y178" i="1"/>
  <c r="T181" i="1"/>
  <c r="T183" i="1"/>
  <c r="AA184" i="1"/>
  <c r="V187" i="1"/>
  <c r="V189" i="1"/>
  <c r="AA190" i="1"/>
  <c r="Y192" i="1"/>
  <c r="AB193" i="1"/>
  <c r="X195" i="1"/>
  <c r="V197" i="1"/>
  <c r="AA198" i="1"/>
  <c r="U200" i="1"/>
  <c r="AB201" i="1"/>
  <c r="X203" i="1"/>
  <c r="T205" i="1"/>
  <c r="AA206" i="1"/>
  <c r="U208" i="1"/>
  <c r="Z209" i="1"/>
  <c r="X211" i="1"/>
  <c r="T213" i="1"/>
  <c r="W214" i="1"/>
  <c r="U216" i="1"/>
  <c r="Z217" i="1"/>
  <c r="V219" i="1"/>
  <c r="T221" i="1"/>
  <c r="W222" i="1"/>
  <c r="AB223" i="1"/>
  <c r="Z225" i="1"/>
  <c r="V227" i="1"/>
  <c r="Y228" i="1"/>
  <c r="W230" i="1"/>
  <c r="AB231" i="1"/>
  <c r="X233" i="1"/>
  <c r="V235" i="1"/>
  <c r="Y236" i="1"/>
  <c r="U238" i="1"/>
  <c r="AB239" i="1"/>
  <c r="X241" i="1"/>
  <c r="AA242" i="1"/>
  <c r="Y244" i="1"/>
  <c r="U246" i="1"/>
  <c r="Z247" i="1"/>
  <c r="X249" i="1"/>
  <c r="AA250" i="1"/>
  <c r="W252" i="1"/>
  <c r="U254" i="1"/>
  <c r="Z255" i="1"/>
  <c r="T257" i="1"/>
  <c r="AA258" i="1"/>
  <c r="W260" i="1"/>
  <c r="AB261" i="1"/>
  <c r="Z263" i="1"/>
  <c r="T265" i="1"/>
  <c r="W80" i="1"/>
  <c r="Y84" i="1"/>
  <c r="V89" i="1"/>
  <c r="AA92" i="1"/>
  <c r="T97" i="1"/>
  <c r="Z101" i="1"/>
  <c r="AB105" i="1"/>
  <c r="X109" i="1"/>
  <c r="U114" i="1"/>
  <c r="W118" i="1"/>
  <c r="T122" i="1"/>
  <c r="Y125" i="1"/>
  <c r="W128" i="1"/>
  <c r="AB131" i="1"/>
  <c r="X135" i="1"/>
  <c r="T139" i="1"/>
  <c r="U142" i="1"/>
  <c r="Z145" i="1"/>
  <c r="V149" i="1"/>
  <c r="V152" i="1"/>
  <c r="T156" i="1"/>
  <c r="AA157" i="1"/>
  <c r="AA159" i="1"/>
  <c r="V162" i="1"/>
  <c r="V164" i="1"/>
  <c r="T166" i="1"/>
  <c r="X168" i="1"/>
  <c r="X170" i="1"/>
  <c r="X172" i="1"/>
  <c r="AB174" i="1"/>
  <c r="Z176" i="1"/>
  <c r="Z178" i="1"/>
  <c r="U181" i="1"/>
  <c r="U183" i="1"/>
  <c r="AB184" i="1"/>
  <c r="W187" i="1"/>
  <c r="W189" i="1"/>
  <c r="AB190" i="1"/>
  <c r="Z192" i="1"/>
  <c r="T194" i="1"/>
  <c r="Y195" i="1"/>
  <c r="W197" i="1"/>
  <c r="AB198" i="1"/>
  <c r="V200" i="1"/>
  <c r="T202" i="1"/>
  <c r="Y203" i="1"/>
  <c r="U205" i="1"/>
  <c r="AB206" i="1"/>
  <c r="V208" i="1"/>
  <c r="AA209" i="1"/>
  <c r="Y211" i="1"/>
  <c r="U213" i="1"/>
  <c r="X214" i="1"/>
  <c r="V216" i="1"/>
  <c r="AA217" i="1"/>
  <c r="W219" i="1"/>
  <c r="U221" i="1"/>
  <c r="X222" i="1"/>
  <c r="T224" i="1"/>
  <c r="AA225" i="1"/>
  <c r="W227" i="1"/>
  <c r="Z228" i="1"/>
  <c r="X230" i="1"/>
  <c r="T232" i="1"/>
  <c r="Y233" i="1"/>
  <c r="W235" i="1"/>
  <c r="Z236" i="1"/>
  <c r="V238" i="1"/>
  <c r="T240" i="1"/>
  <c r="Y241" i="1"/>
  <c r="AB242" i="1"/>
  <c r="Z244" i="1"/>
  <c r="V246" i="1"/>
  <c r="AA247" i="1"/>
  <c r="Y249" i="1"/>
  <c r="AB250" i="1"/>
  <c r="X252" i="1"/>
  <c r="V254" i="1"/>
  <c r="AA255" i="1"/>
  <c r="U257" i="1"/>
  <c r="AB258" i="1"/>
  <c r="X260" i="1"/>
  <c r="T262" i="1"/>
  <c r="AA263" i="1"/>
  <c r="U265" i="1"/>
  <c r="AA80" i="1"/>
  <c r="Y85" i="1"/>
  <c r="Z89" i="1"/>
  <c r="U94" i="1"/>
  <c r="Y98" i="1"/>
  <c r="U102" i="1"/>
  <c r="Y106" i="1"/>
  <c r="T111" i="1"/>
  <c r="X115" i="1"/>
  <c r="T119" i="1"/>
  <c r="Z122" i="1"/>
  <c r="V126" i="1"/>
  <c r="V129" i="1"/>
  <c r="W133" i="1"/>
  <c r="U136" i="1"/>
  <c r="X139" i="1"/>
  <c r="V143" i="1"/>
  <c r="Y146" i="1"/>
  <c r="W149" i="1"/>
  <c r="U153" i="1"/>
  <c r="U156" i="1"/>
  <c r="U158" i="1"/>
  <c r="Y160" i="1"/>
  <c r="W162" i="1"/>
  <c r="W164" i="1"/>
  <c r="AA166" i="1"/>
  <c r="AA168" i="1"/>
  <c r="Y170" i="1"/>
  <c r="T173" i="1"/>
  <c r="T175" i="1"/>
  <c r="V177" i="1"/>
  <c r="X179" i="1"/>
  <c r="V181" i="1"/>
  <c r="X183" i="1"/>
  <c r="Z185" i="1"/>
  <c r="AB187" i="1"/>
  <c r="X189" i="1"/>
  <c r="V191" i="1"/>
  <c r="AA192" i="1"/>
  <c r="W194" i="1"/>
  <c r="U196" i="1"/>
  <c r="X197" i="1"/>
  <c r="T199" i="1"/>
  <c r="AA200" i="1"/>
  <c r="W202" i="1"/>
  <c r="Z203" i="1"/>
  <c r="X205" i="1"/>
  <c r="T207" i="1"/>
  <c r="Y208" i="1"/>
  <c r="W210" i="1"/>
  <c r="Z211" i="1"/>
  <c r="V213" i="1"/>
  <c r="T215" i="1"/>
  <c r="Y216" i="1"/>
  <c r="AB217" i="1"/>
  <c r="Z219" i="1"/>
  <c r="V221" i="1"/>
  <c r="AA222" i="1"/>
  <c r="Y224" i="1"/>
  <c r="AB225" i="1"/>
  <c r="X227" i="1"/>
  <c r="V229" i="1"/>
  <c r="AA230" i="1"/>
  <c r="U232" i="1"/>
  <c r="AB233" i="1"/>
  <c r="X235" i="1"/>
  <c r="T237" i="1"/>
  <c r="AA238" i="1"/>
  <c r="U240" i="1"/>
  <c r="Z241" i="1"/>
  <c r="X243" i="1"/>
  <c r="T245" i="1"/>
  <c r="W246" i="1"/>
  <c r="U248" i="1"/>
  <c r="Z249" i="1"/>
  <c r="V251" i="1"/>
  <c r="T253" i="1"/>
  <c r="W254" i="1"/>
  <c r="AB255" i="1"/>
  <c r="Z257" i="1"/>
  <c r="V259" i="1"/>
  <c r="Y260" i="1"/>
  <c r="W262" i="1"/>
  <c r="Y82" i="1"/>
  <c r="T87" i="1"/>
  <c r="Y90" i="1"/>
  <c r="T95" i="1"/>
  <c r="X99" i="1"/>
  <c r="W103" i="1"/>
  <c r="W108" i="1"/>
  <c r="AB111" i="1"/>
  <c r="AA115" i="1"/>
  <c r="W120" i="1"/>
  <c r="Z123" i="1"/>
  <c r="X126" i="1"/>
  <c r="Y130" i="1"/>
  <c r="Y133" i="1"/>
  <c r="AB136" i="1"/>
  <c r="Z140" i="1"/>
  <c r="X143" i="1"/>
  <c r="AA146" i="1"/>
  <c r="Y150" i="1"/>
  <c r="AB153" i="1"/>
  <c r="W156" i="1"/>
  <c r="AA158" i="1"/>
  <c r="AA160" i="1"/>
  <c r="T163" i="1"/>
  <c r="V165" i="1"/>
  <c r="T167" i="1"/>
  <c r="V169" i="1"/>
  <c r="X171" i="1"/>
  <c r="Z173" i="1"/>
  <c r="X175" i="1"/>
  <c r="Z177" i="1"/>
  <c r="AB179" i="1"/>
  <c r="AB181" i="1"/>
  <c r="W184" i="1"/>
  <c r="U186" i="1"/>
  <c r="U188" i="1"/>
  <c r="U190" i="1"/>
  <c r="Z191" i="1"/>
  <c r="T193" i="1"/>
  <c r="AA194" i="1"/>
  <c r="W196" i="1"/>
  <c r="AB197" i="1"/>
  <c r="Z199" i="1"/>
  <c r="T201" i="1"/>
  <c r="Y202" i="1"/>
  <c r="W204" i="1"/>
  <c r="AB205" i="1"/>
  <c r="V207" i="1"/>
  <c r="T209" i="1"/>
  <c r="Y210" i="1"/>
  <c r="U212" i="1"/>
  <c r="AB213" i="1"/>
  <c r="V215" i="1"/>
  <c r="AA216" i="1"/>
  <c r="Y218" i="1"/>
  <c r="U220" i="1"/>
  <c r="X221" i="1"/>
  <c r="V223" i="1"/>
  <c r="AA224" i="1"/>
  <c r="W226" i="1"/>
  <c r="U228" i="1"/>
  <c r="X229" i="1"/>
  <c r="T231" i="1"/>
  <c r="AA232" i="1"/>
  <c r="W234" i="1"/>
  <c r="Z235" i="1"/>
  <c r="X237" i="1"/>
  <c r="T239" i="1"/>
  <c r="Y240" i="1"/>
  <c r="W242" i="1"/>
  <c r="Z243" i="1"/>
  <c r="V245" i="1"/>
  <c r="AA82" i="1"/>
  <c r="V87" i="1"/>
  <c r="AA90" i="1"/>
  <c r="V95" i="1"/>
  <c r="Z99" i="1"/>
  <c r="X103" i="1"/>
  <c r="Y108" i="1"/>
  <c r="U112" i="1"/>
  <c r="AB115" i="1"/>
  <c r="AA120" i="1"/>
  <c r="AA123" i="1"/>
  <c r="Y126" i="1"/>
  <c r="Z130" i="1"/>
  <c r="Z133" i="1"/>
  <c r="T137" i="1"/>
  <c r="AA140" i="1"/>
  <c r="AB143" i="1"/>
  <c r="AB146" i="1"/>
  <c r="T151" i="1"/>
  <c r="T154" i="1"/>
  <c r="X156" i="1"/>
  <c r="AB158" i="1"/>
  <c r="AB160" i="1"/>
  <c r="U163" i="1"/>
  <c r="W165" i="1"/>
  <c r="U167" i="1"/>
  <c r="W169" i="1"/>
  <c r="Y171" i="1"/>
  <c r="AA173" i="1"/>
  <c r="Y175" i="1"/>
  <c r="AA177" i="1"/>
  <c r="T180" i="1"/>
  <c r="T182" i="1"/>
  <c r="X184" i="1"/>
  <c r="V186" i="1"/>
  <c r="V188" i="1"/>
  <c r="V190" i="1"/>
  <c r="AA191" i="1"/>
  <c r="U193" i="1"/>
  <c r="AB194" i="1"/>
  <c r="X196" i="1"/>
  <c r="T198" i="1"/>
  <c r="AA199" i="1"/>
  <c r="U201" i="1"/>
  <c r="Z202" i="1"/>
  <c r="X204" i="1"/>
  <c r="T206" i="1"/>
  <c r="W207" i="1"/>
  <c r="U209" i="1"/>
  <c r="Z210" i="1"/>
  <c r="V212" i="1"/>
  <c r="T214" i="1"/>
  <c r="W215" i="1"/>
  <c r="AB216" i="1"/>
  <c r="Z218" i="1"/>
  <c r="V220" i="1"/>
  <c r="Y221" i="1"/>
  <c r="W223" i="1"/>
  <c r="AB224" i="1"/>
  <c r="X226" i="1"/>
  <c r="V228" i="1"/>
  <c r="Y229" i="1"/>
  <c r="U231" i="1"/>
  <c r="AB232" i="1"/>
  <c r="X234" i="1"/>
  <c r="AA235" i="1"/>
  <c r="Y237" i="1"/>
  <c r="U239" i="1"/>
  <c r="Z240" i="1"/>
  <c r="X242" i="1"/>
  <c r="AA243" i="1"/>
  <c r="W245" i="1"/>
  <c r="U80" i="1"/>
  <c r="W92" i="1"/>
  <c r="W102" i="1"/>
  <c r="T113" i="1"/>
  <c r="AB123" i="1"/>
  <c r="X133" i="1"/>
  <c r="W141" i="1"/>
  <c r="U151" i="1"/>
  <c r="V158" i="1"/>
  <c r="Y163" i="1"/>
  <c r="U170" i="1"/>
  <c r="U175" i="1"/>
  <c r="V180" i="1"/>
  <c r="Y186" i="1"/>
  <c r="W191" i="1"/>
  <c r="W195" i="1"/>
  <c r="AB199" i="1"/>
  <c r="AA203" i="1"/>
  <c r="T208" i="1"/>
  <c r="Y212" i="1"/>
  <c r="Z216" i="1"/>
  <c r="X220" i="1"/>
  <c r="T225" i="1"/>
  <c r="W229" i="1"/>
  <c r="U233" i="1"/>
  <c r="AB237" i="1"/>
  <c r="AA241" i="1"/>
  <c r="T246" i="1"/>
  <c r="Z248" i="1"/>
  <c r="W251" i="1"/>
  <c r="X253" i="1"/>
  <c r="Y256" i="1"/>
  <c r="X258" i="1"/>
  <c r="W261" i="1"/>
  <c r="AB263" i="1"/>
  <c r="AB265" i="1"/>
  <c r="X267" i="1"/>
  <c r="T269" i="1"/>
  <c r="AA270" i="1"/>
  <c r="U272" i="1"/>
  <c r="Z273" i="1"/>
  <c r="X275" i="1"/>
  <c r="T277" i="1"/>
  <c r="W278" i="1"/>
  <c r="U280" i="1"/>
  <c r="Z281" i="1"/>
  <c r="V283" i="1"/>
  <c r="Y284" i="1"/>
  <c r="Z285" i="1"/>
  <c r="AA286" i="1"/>
  <c r="U288" i="1"/>
  <c r="V289" i="1"/>
  <c r="W290" i="1"/>
  <c r="Z291" i="1"/>
  <c r="AA292" i="1"/>
  <c r="AB293" i="1"/>
  <c r="V295" i="1"/>
  <c r="W296" i="1"/>
  <c r="X297" i="1"/>
  <c r="AA298" i="1"/>
  <c r="AB299" i="1"/>
  <c r="T301" i="1"/>
  <c r="W302" i="1"/>
  <c r="X303" i="1"/>
  <c r="Y304" i="1"/>
  <c r="AB305" i="1"/>
  <c r="T307" i="1"/>
  <c r="U308" i="1"/>
  <c r="X309" i="1"/>
  <c r="Y310" i="1"/>
  <c r="Z311" i="1"/>
  <c r="T313" i="1"/>
  <c r="U314" i="1"/>
  <c r="V315" i="1"/>
  <c r="Y316" i="1"/>
  <c r="Z317" i="1"/>
  <c r="AA318" i="1"/>
  <c r="U320" i="1"/>
  <c r="V321" i="1"/>
  <c r="V322" i="1"/>
  <c r="U323" i="1"/>
  <c r="T324" i="1"/>
  <c r="AB324" i="1"/>
  <c r="AA325" i="1"/>
  <c r="Z326" i="1"/>
  <c r="X83" i="1"/>
  <c r="W94" i="1"/>
  <c r="T105" i="1"/>
  <c r="Y117" i="1"/>
  <c r="W126" i="1"/>
  <c r="V134" i="1"/>
  <c r="AA144" i="1"/>
  <c r="V153" i="1"/>
  <c r="Y159" i="1"/>
  <c r="Z165" i="1"/>
  <c r="Z170" i="1"/>
  <c r="X176" i="1"/>
  <c r="Y182" i="1"/>
  <c r="T188" i="1"/>
  <c r="T192" i="1"/>
  <c r="Y196" i="1"/>
  <c r="AB200" i="1"/>
  <c r="Z204" i="1"/>
  <c r="X209" i="1"/>
  <c r="W213" i="1"/>
  <c r="Y217" i="1"/>
  <c r="U222" i="1"/>
  <c r="T226" i="1"/>
  <c r="T230" i="1"/>
  <c r="Y234" i="1"/>
  <c r="AB238" i="1"/>
  <c r="Z242" i="1"/>
  <c r="T247" i="1"/>
  <c r="AB248" i="1"/>
  <c r="AA251" i="1"/>
  <c r="X254" i="1"/>
  <c r="AA256" i="1"/>
  <c r="X259" i="1"/>
  <c r="Y261" i="1"/>
  <c r="U264" i="1"/>
  <c r="W266" i="1"/>
  <c r="Z267" i="1"/>
  <c r="X269" i="1"/>
  <c r="T271" i="1"/>
  <c r="Y272" i="1"/>
  <c r="W274" i="1"/>
  <c r="Z275" i="1"/>
  <c r="V277" i="1"/>
  <c r="T279" i="1"/>
  <c r="Y280" i="1"/>
  <c r="AB281" i="1"/>
  <c r="Z283" i="1"/>
  <c r="AA284" i="1"/>
  <c r="AB285" i="1"/>
  <c r="V287" i="1"/>
  <c r="W288" i="1"/>
  <c r="X289" i="1"/>
  <c r="AA290" i="1"/>
  <c r="AB291" i="1"/>
  <c r="T293" i="1"/>
  <c r="W294" i="1"/>
  <c r="X295" i="1"/>
  <c r="Y296" i="1"/>
  <c r="AB297" i="1"/>
  <c r="T299" i="1"/>
  <c r="U300" i="1"/>
  <c r="X301" i="1"/>
  <c r="Y302" i="1"/>
  <c r="Z303" i="1"/>
  <c r="T305" i="1"/>
  <c r="U306" i="1"/>
  <c r="V307" i="1"/>
  <c r="Y308" i="1"/>
  <c r="Z309" i="1"/>
  <c r="AA310" i="1"/>
  <c r="U312" i="1"/>
  <c r="V313" i="1"/>
  <c r="W314" i="1"/>
  <c r="Z315" i="1"/>
  <c r="AA316" i="1"/>
  <c r="AB317" i="1"/>
  <c r="V319" i="1"/>
  <c r="W320" i="1"/>
  <c r="X321" i="1"/>
  <c r="X322" i="1"/>
  <c r="W323" i="1"/>
  <c r="V324" i="1"/>
  <c r="U325" i="1"/>
  <c r="T326" i="1"/>
  <c r="AB326" i="1"/>
  <c r="Z83" i="1"/>
  <c r="V96" i="1"/>
  <c r="AA106" i="1"/>
  <c r="Z117" i="1"/>
  <c r="T128" i="1"/>
  <c r="V136" i="1"/>
  <c r="AB144" i="1"/>
  <c r="Z154" i="1"/>
  <c r="Z160" i="1"/>
  <c r="AA165" i="1"/>
  <c r="AB171" i="1"/>
  <c r="W177" i="1"/>
  <c r="Z182" i="1"/>
  <c r="T189" i="1"/>
  <c r="AB192" i="1"/>
  <c r="Z196" i="1"/>
  <c r="X201" i="1"/>
  <c r="Y205" i="1"/>
  <c r="Y209" i="1"/>
  <c r="U214" i="1"/>
  <c r="T218" i="1"/>
  <c r="V222" i="1"/>
  <c r="AA226" i="1"/>
  <c r="AB230" i="1"/>
  <c r="Z234" i="1"/>
  <c r="V239" i="1"/>
  <c r="Y243" i="1"/>
  <c r="U247" i="1"/>
  <c r="AA249" i="1"/>
  <c r="U252" i="1"/>
  <c r="AA254" i="1"/>
  <c r="AB256" i="1"/>
  <c r="Y259" i="1"/>
  <c r="X262" i="1"/>
  <c r="V264" i="1"/>
  <c r="X266" i="1"/>
  <c r="AA267" i="1"/>
  <c r="Y269" i="1"/>
  <c r="U271" i="1"/>
  <c r="Z272" i="1"/>
  <c r="X274" i="1"/>
  <c r="AA275" i="1"/>
  <c r="W277" i="1"/>
  <c r="U279" i="1"/>
  <c r="Z280" i="1"/>
  <c r="T282" i="1"/>
  <c r="AA283" i="1"/>
  <c r="AB284" i="1"/>
  <c r="T286" i="1"/>
  <c r="W287" i="1"/>
  <c r="X288" i="1"/>
  <c r="Y289" i="1"/>
  <c r="AB290" i="1"/>
  <c r="T292" i="1"/>
  <c r="U293" i="1"/>
  <c r="X294" i="1"/>
  <c r="Y295" i="1"/>
  <c r="Z296" i="1"/>
  <c r="T298" i="1"/>
  <c r="U299" i="1"/>
  <c r="V300" i="1"/>
  <c r="Y301" i="1"/>
  <c r="Z302" i="1"/>
  <c r="AA303" i="1"/>
  <c r="U305" i="1"/>
  <c r="V306" i="1"/>
  <c r="W307" i="1"/>
  <c r="Z308" i="1"/>
  <c r="AA309" i="1"/>
  <c r="AB310" i="1"/>
  <c r="V312" i="1"/>
  <c r="W313" i="1"/>
  <c r="X314" i="1"/>
  <c r="AA315" i="1"/>
  <c r="AB316" i="1"/>
  <c r="T318" i="1"/>
  <c r="W319" i="1"/>
  <c r="X320" i="1"/>
  <c r="Y321" i="1"/>
  <c r="Y322" i="1"/>
  <c r="X323" i="1"/>
  <c r="W324" i="1"/>
  <c r="V325" i="1"/>
  <c r="U326" i="1"/>
  <c r="T327" i="1"/>
  <c r="Z85" i="1"/>
  <c r="W96" i="1"/>
  <c r="Z108" i="1"/>
  <c r="V119" i="1"/>
  <c r="U128" i="1"/>
  <c r="AB137" i="1"/>
  <c r="Z146" i="1"/>
  <c r="AA154" i="1"/>
  <c r="V161" i="1"/>
  <c r="AB166" i="1"/>
  <c r="T172" i="1"/>
  <c r="W178" i="1"/>
  <c r="Y183" i="1"/>
  <c r="U189" i="1"/>
  <c r="Z193" i="1"/>
  <c r="Y197" i="1"/>
  <c r="Y201" i="1"/>
  <c r="U206" i="1"/>
  <c r="X210" i="1"/>
  <c r="V214" i="1"/>
  <c r="AA218" i="1"/>
  <c r="AB222" i="1"/>
  <c r="AB226" i="1"/>
  <c r="Z231" i="1"/>
  <c r="Y235" i="1"/>
  <c r="W239" i="1"/>
  <c r="U244" i="1"/>
  <c r="V247" i="1"/>
  <c r="AB249" i="1"/>
  <c r="V252" i="1"/>
  <c r="AB254" i="1"/>
  <c r="AA257" i="1"/>
  <c r="U260" i="1"/>
  <c r="AA262" i="1"/>
  <c r="AA264" i="1"/>
  <c r="Y266" i="1"/>
  <c r="W268" i="1"/>
  <c r="AB269" i="1"/>
  <c r="V271" i="1"/>
  <c r="T273" i="1"/>
  <c r="Y274" i="1"/>
  <c r="U276" i="1"/>
  <c r="AB277" i="1"/>
  <c r="V279" i="1"/>
  <c r="AA280" i="1"/>
  <c r="Y282" i="1"/>
  <c r="AB283" i="1"/>
  <c r="T285" i="1"/>
  <c r="W286" i="1"/>
  <c r="X287" i="1"/>
  <c r="Y288" i="1"/>
  <c r="AB289" i="1"/>
  <c r="T291" i="1"/>
  <c r="U292" i="1"/>
  <c r="X293" i="1"/>
  <c r="Y294" i="1"/>
  <c r="Z295" i="1"/>
  <c r="T297" i="1"/>
  <c r="U298" i="1"/>
  <c r="V299" i="1"/>
  <c r="Y300" i="1"/>
  <c r="Z301" i="1"/>
  <c r="AA302" i="1"/>
  <c r="U304" i="1"/>
  <c r="V305" i="1"/>
  <c r="W306" i="1"/>
  <c r="Z307" i="1"/>
  <c r="AA308" i="1"/>
  <c r="AB309" i="1"/>
  <c r="V311" i="1"/>
  <c r="W312" i="1"/>
  <c r="X313" i="1"/>
  <c r="AA314" i="1"/>
  <c r="AB315" i="1"/>
  <c r="T317" i="1"/>
  <c r="W318" i="1"/>
  <c r="X319" i="1"/>
  <c r="Y320" i="1"/>
  <c r="AA321" i="1"/>
  <c r="Z322" i="1"/>
  <c r="Y323" i="1"/>
  <c r="X324" i="1"/>
  <c r="W325" i="1"/>
  <c r="V326" i="1"/>
  <c r="U327" i="1"/>
  <c r="X87" i="1"/>
  <c r="AA99" i="1"/>
  <c r="V111" i="1"/>
  <c r="T121" i="1"/>
  <c r="T131" i="1"/>
  <c r="Y139" i="1"/>
  <c r="X148" i="1"/>
  <c r="V157" i="1"/>
  <c r="X162" i="1"/>
  <c r="AA167" i="1"/>
  <c r="AB173" i="1"/>
  <c r="Y179" i="1"/>
  <c r="Z184" i="1"/>
  <c r="W190" i="1"/>
  <c r="X194" i="1"/>
  <c r="X198" i="1"/>
  <c r="V203" i="1"/>
  <c r="U207" i="1"/>
  <c r="AB210" i="1"/>
  <c r="Z215" i="1"/>
  <c r="AA219" i="1"/>
  <c r="AA223" i="1"/>
  <c r="W228" i="1"/>
  <c r="V232" i="1"/>
  <c r="X236" i="1"/>
  <c r="T241" i="1"/>
  <c r="U245" i="1"/>
  <c r="V248" i="1"/>
  <c r="Y250" i="1"/>
  <c r="V253" i="1"/>
  <c r="W255" i="1"/>
  <c r="T258" i="1"/>
  <c r="Z260" i="1"/>
  <c r="T263" i="1"/>
  <c r="X265" i="1"/>
  <c r="V267" i="1"/>
  <c r="Y268" i="1"/>
  <c r="U270" i="1"/>
  <c r="AB271" i="1"/>
  <c r="X273" i="1"/>
  <c r="AA274" i="1"/>
  <c r="Y276" i="1"/>
  <c r="U278" i="1"/>
  <c r="Z279" i="1"/>
  <c r="X281" i="1"/>
  <c r="AA282" i="1"/>
  <c r="U284" i="1"/>
  <c r="X285" i="1"/>
  <c r="Y286" i="1"/>
  <c r="Z287" i="1"/>
  <c r="T289" i="1"/>
  <c r="U290" i="1"/>
  <c r="V291" i="1"/>
  <c r="Y292" i="1"/>
  <c r="Z293" i="1"/>
  <c r="AA294" i="1"/>
  <c r="U296" i="1"/>
  <c r="V297" i="1"/>
  <c r="W298" i="1"/>
  <c r="Z299" i="1"/>
  <c r="AA300" i="1"/>
  <c r="AB301" i="1"/>
  <c r="V303" i="1"/>
  <c r="W304" i="1"/>
  <c r="X305" i="1"/>
  <c r="AA306" i="1"/>
  <c r="AB307" i="1"/>
  <c r="AB89" i="1"/>
  <c r="AB99" i="1"/>
  <c r="AA112" i="1"/>
  <c r="AA122" i="1"/>
  <c r="X131" i="1"/>
  <c r="V141" i="1"/>
  <c r="X149" i="1"/>
  <c r="W157" i="1"/>
  <c r="X163" i="1"/>
  <c r="AB168" i="1"/>
  <c r="T174" i="1"/>
  <c r="U180" i="1"/>
  <c r="AA185" i="1"/>
  <c r="X190" i="1"/>
  <c r="V195" i="1"/>
  <c r="U199" i="1"/>
  <c r="W203" i="1"/>
  <c r="AB207" i="1"/>
  <c r="AA211" i="1"/>
  <c r="AA215" i="1"/>
  <c r="W220" i="1"/>
  <c r="Z224" i="1"/>
  <c r="X228" i="1"/>
  <c r="T233" i="1"/>
  <c r="U237" i="1"/>
  <c r="U241" i="1"/>
  <c r="AB245" i="1"/>
  <c r="Y248" i="1"/>
  <c r="Z250" i="1"/>
  <c r="W253" i="1"/>
  <c r="T256" i="1"/>
  <c r="W258" i="1"/>
  <c r="V261" i="1"/>
  <c r="U263" i="1"/>
  <c r="Y265" i="1"/>
  <c r="W267" i="1"/>
  <c r="Z268" i="1"/>
  <c r="V270" i="1"/>
  <c r="T272" i="1"/>
  <c r="Y273" i="1"/>
  <c r="AB274" i="1"/>
  <c r="Z276" i="1"/>
  <c r="V278" i="1"/>
  <c r="AA279" i="1"/>
  <c r="Y281" i="1"/>
  <c r="AB282" i="1"/>
  <c r="V284" i="1"/>
  <c r="Y285" i="1"/>
  <c r="Z286" i="1"/>
  <c r="AA287" i="1"/>
  <c r="U289" i="1"/>
  <c r="V290" i="1"/>
  <c r="W291" i="1"/>
  <c r="Z292" i="1"/>
  <c r="AA293" i="1"/>
  <c r="AB294" i="1"/>
  <c r="V296" i="1"/>
  <c r="W297" i="1"/>
  <c r="X298" i="1"/>
  <c r="AA299" i="1"/>
  <c r="AB300" i="1"/>
  <c r="T302" i="1"/>
  <c r="W303" i="1"/>
  <c r="X304" i="1"/>
  <c r="Y305" i="1"/>
  <c r="AB306" i="1"/>
  <c r="T308" i="1"/>
  <c r="T81" i="1"/>
  <c r="W124" i="1"/>
  <c r="X159" i="1"/>
  <c r="W181" i="1"/>
  <c r="T200" i="1"/>
  <c r="X217" i="1"/>
  <c r="T234" i="1"/>
  <c r="AA248" i="1"/>
  <c r="W259" i="1"/>
  <c r="Y267" i="1"/>
  <c r="AA273" i="1"/>
  <c r="V280" i="1"/>
  <c r="AA285" i="1"/>
  <c r="X290" i="1"/>
  <c r="W295" i="1"/>
  <c r="T300" i="1"/>
  <c r="Z304" i="1"/>
  <c r="T309" i="1"/>
  <c r="X311" i="1"/>
  <c r="AB313" i="1"/>
  <c r="U316" i="1"/>
  <c r="Y318" i="1"/>
  <c r="T321" i="1"/>
  <c r="AB322" i="1"/>
  <c r="Z324" i="1"/>
  <c r="X326" i="1"/>
  <c r="AA327" i="1"/>
  <c r="Z328" i="1"/>
  <c r="Y329" i="1"/>
  <c r="X330" i="1"/>
  <c r="W331" i="1"/>
  <c r="V332" i="1"/>
  <c r="U333" i="1"/>
  <c r="T334" i="1"/>
  <c r="AB334" i="1"/>
  <c r="AA335" i="1"/>
  <c r="Z336" i="1"/>
  <c r="Y337" i="1"/>
  <c r="X338" i="1"/>
  <c r="W339" i="1"/>
  <c r="V340" i="1"/>
  <c r="U341" i="1"/>
  <c r="T342" i="1"/>
  <c r="AB342" i="1"/>
  <c r="AA343" i="1"/>
  <c r="Z344" i="1"/>
  <c r="Y345" i="1"/>
  <c r="X346" i="1"/>
  <c r="W347" i="1"/>
  <c r="V348" i="1"/>
  <c r="U349" i="1"/>
  <c r="T350" i="1"/>
  <c r="AB350" i="1"/>
  <c r="AA351" i="1"/>
  <c r="Z352" i="1"/>
  <c r="Y353" i="1"/>
  <c r="X354" i="1"/>
  <c r="W355" i="1"/>
  <c r="V356" i="1"/>
  <c r="U357" i="1"/>
  <c r="T358" i="1"/>
  <c r="AB358" i="1"/>
  <c r="AA359" i="1"/>
  <c r="Z360" i="1"/>
  <c r="Y361" i="1"/>
  <c r="X362" i="1"/>
  <c r="W363" i="1"/>
  <c r="V364" i="1"/>
  <c r="U365" i="1"/>
  <c r="T366" i="1"/>
  <c r="AB366" i="1"/>
  <c r="AA367" i="1"/>
  <c r="Z368" i="1"/>
  <c r="Y369" i="1"/>
  <c r="X370" i="1"/>
  <c r="W371" i="1"/>
  <c r="V372" i="1"/>
  <c r="U373" i="1"/>
  <c r="T374" i="1"/>
  <c r="AB374" i="1"/>
  <c r="AA375" i="1"/>
  <c r="Z376" i="1"/>
  <c r="Y377" i="1"/>
  <c r="X378" i="1"/>
  <c r="W379" i="1"/>
  <c r="Y92" i="1"/>
  <c r="U134" i="1"/>
  <c r="X164" i="1"/>
  <c r="Z186" i="1"/>
  <c r="Y204" i="1"/>
  <c r="W221" i="1"/>
  <c r="T238" i="1"/>
  <c r="Z251" i="1"/>
  <c r="X261" i="1"/>
  <c r="U269" i="1"/>
  <c r="Y275" i="1"/>
  <c r="AA281" i="1"/>
  <c r="AB286" i="1"/>
  <c r="AA291" i="1"/>
  <c r="X296" i="1"/>
  <c r="U301" i="1"/>
  <c r="T306" i="1"/>
  <c r="Y309" i="1"/>
  <c r="AA311" i="1"/>
  <c r="V314" i="1"/>
  <c r="Z316" i="1"/>
  <c r="AB318" i="1"/>
  <c r="W321" i="1"/>
  <c r="V323" i="1"/>
  <c r="T325" i="1"/>
  <c r="AA326" i="1"/>
  <c r="T328" i="1"/>
  <c r="AB328" i="1"/>
  <c r="AA329" i="1"/>
  <c r="Z330" i="1"/>
  <c r="Y331" i="1"/>
  <c r="X332" i="1"/>
  <c r="W333" i="1"/>
  <c r="V334" i="1"/>
  <c r="U335" i="1"/>
  <c r="T336" i="1"/>
  <c r="AB336" i="1"/>
  <c r="AA337" i="1"/>
  <c r="Z338" i="1"/>
  <c r="Y339" i="1"/>
  <c r="X340" i="1"/>
  <c r="W341" i="1"/>
  <c r="V342" i="1"/>
  <c r="U343" i="1"/>
  <c r="T344" i="1"/>
  <c r="AB344" i="1"/>
  <c r="AA345" i="1"/>
  <c r="Z346" i="1"/>
  <c r="Y347" i="1"/>
  <c r="X348" i="1"/>
  <c r="W349" i="1"/>
  <c r="V350" i="1"/>
  <c r="U351" i="1"/>
  <c r="T352" i="1"/>
  <c r="AB352" i="1"/>
  <c r="AA353" i="1"/>
  <c r="Z354" i="1"/>
  <c r="Y355" i="1"/>
  <c r="X356" i="1"/>
  <c r="W357" i="1"/>
  <c r="V358" i="1"/>
  <c r="U359" i="1"/>
  <c r="T360" i="1"/>
  <c r="AB360" i="1"/>
  <c r="AA361" i="1"/>
  <c r="Z362" i="1"/>
  <c r="Y363" i="1"/>
  <c r="X364" i="1"/>
  <c r="W365" i="1"/>
  <c r="V366" i="1"/>
  <c r="U367" i="1"/>
  <c r="T368" i="1"/>
  <c r="AB368" i="1"/>
  <c r="AA369" i="1"/>
  <c r="Z370" i="1"/>
  <c r="Y371" i="1"/>
  <c r="X372" i="1"/>
  <c r="W373" i="1"/>
  <c r="V374" i="1"/>
  <c r="U375" i="1"/>
  <c r="T376" i="1"/>
  <c r="AB376" i="1"/>
  <c r="AA377" i="1"/>
  <c r="Z378" i="1"/>
  <c r="Y379" i="1"/>
  <c r="AA98" i="1"/>
  <c r="T138" i="1"/>
  <c r="Z167" i="1"/>
  <c r="Y189" i="1"/>
  <c r="V206" i="1"/>
  <c r="Z223" i="1"/>
  <c r="V240" i="1"/>
  <c r="U253" i="1"/>
  <c r="AB262" i="1"/>
  <c r="T270" i="1"/>
  <c r="V276" i="1"/>
  <c r="Z282" i="1"/>
  <c r="Y287" i="1"/>
  <c r="V292" i="1"/>
  <c r="U297" i="1"/>
  <c r="AA301" i="1"/>
  <c r="X306" i="1"/>
  <c r="T310" i="1"/>
  <c r="X312" i="1"/>
  <c r="AB314" i="1"/>
  <c r="U317" i="1"/>
  <c r="Y319" i="1"/>
  <c r="AB321" i="1"/>
  <c r="Z323" i="1"/>
  <c r="X325" i="1"/>
  <c r="V327" i="1"/>
  <c r="U328" i="1"/>
  <c r="T329" i="1"/>
  <c r="AB329" i="1"/>
  <c r="AA330" i="1"/>
  <c r="Z331" i="1"/>
  <c r="Y332" i="1"/>
  <c r="X333" i="1"/>
  <c r="W334" i="1"/>
  <c r="V335" i="1"/>
  <c r="U336" i="1"/>
  <c r="T337" i="1"/>
  <c r="AB337" i="1"/>
  <c r="AA338" i="1"/>
  <c r="Z339" i="1"/>
  <c r="Y340" i="1"/>
  <c r="X341" i="1"/>
  <c r="W342" i="1"/>
  <c r="V343" i="1"/>
  <c r="U344" i="1"/>
  <c r="T345" i="1"/>
  <c r="AB345" i="1"/>
  <c r="AA346" i="1"/>
  <c r="Z347" i="1"/>
  <c r="Y348" i="1"/>
  <c r="X349" i="1"/>
  <c r="W350" i="1"/>
  <c r="V351" i="1"/>
  <c r="U352" i="1"/>
  <c r="T353" i="1"/>
  <c r="AB353" i="1"/>
  <c r="AA354" i="1"/>
  <c r="Z355" i="1"/>
  <c r="Y356" i="1"/>
  <c r="X357" i="1"/>
  <c r="W358" i="1"/>
  <c r="V359" i="1"/>
  <c r="U360" i="1"/>
  <c r="T361" i="1"/>
  <c r="AB361" i="1"/>
  <c r="AA362" i="1"/>
  <c r="Z363" i="1"/>
  <c r="Y364" i="1"/>
  <c r="X365" i="1"/>
  <c r="W366" i="1"/>
  <c r="V367" i="1"/>
  <c r="U368" i="1"/>
  <c r="T369" i="1"/>
  <c r="AB369" i="1"/>
  <c r="AA370" i="1"/>
  <c r="Z371" i="1"/>
  <c r="Y372" i="1"/>
  <c r="X373" i="1"/>
  <c r="W374" i="1"/>
  <c r="V375" i="1"/>
  <c r="U376" i="1"/>
  <c r="T377" i="1"/>
  <c r="AB377" i="1"/>
  <c r="AA378" i="1"/>
  <c r="Z379" i="1"/>
  <c r="AA104" i="1"/>
  <c r="W143" i="1"/>
  <c r="V170" i="1"/>
  <c r="AB191" i="1"/>
  <c r="Z208" i="1"/>
  <c r="U225" i="1"/>
  <c r="Y242" i="1"/>
  <c r="Y253" i="1"/>
  <c r="T264" i="1"/>
  <c r="AB270" i="1"/>
  <c r="U277" i="1"/>
  <c r="W283" i="1"/>
  <c r="V288" i="1"/>
  <c r="AB292" i="1"/>
  <c r="Y297" i="1"/>
  <c r="X302" i="1"/>
  <c r="U307" i="1"/>
  <c r="W310" i="1"/>
  <c r="Y312" i="1"/>
  <c r="T315" i="1"/>
  <c r="X317" i="1"/>
  <c r="Z319" i="1"/>
  <c r="T322" i="1"/>
  <c r="AA323" i="1"/>
  <c r="Y325" i="1"/>
  <c r="W327" i="1"/>
  <c r="V328" i="1"/>
  <c r="U329" i="1"/>
  <c r="T330" i="1"/>
  <c r="AB330" i="1"/>
  <c r="AA331" i="1"/>
  <c r="Z332" i="1"/>
  <c r="Y333" i="1"/>
  <c r="X334" i="1"/>
  <c r="W335" i="1"/>
  <c r="V336" i="1"/>
  <c r="U337" i="1"/>
  <c r="T338" i="1"/>
  <c r="AB338" i="1"/>
  <c r="AA339" i="1"/>
  <c r="Z340" i="1"/>
  <c r="Y341" i="1"/>
  <c r="X342" i="1"/>
  <c r="W343" i="1"/>
  <c r="V344" i="1"/>
  <c r="U345" i="1"/>
  <c r="T346" i="1"/>
  <c r="AB346" i="1"/>
  <c r="AA347" i="1"/>
  <c r="Z348" i="1"/>
  <c r="Y349" i="1"/>
  <c r="X350" i="1"/>
  <c r="W351" i="1"/>
  <c r="V352" i="1"/>
  <c r="U353" i="1"/>
  <c r="T354" i="1"/>
  <c r="AB354" i="1"/>
  <c r="AA355" i="1"/>
  <c r="Z356" i="1"/>
  <c r="Y357" i="1"/>
  <c r="X358" i="1"/>
  <c r="W359" i="1"/>
  <c r="V360" i="1"/>
  <c r="U361" i="1"/>
  <c r="T362" i="1"/>
  <c r="AB362" i="1"/>
  <c r="AA363" i="1"/>
  <c r="Z364" i="1"/>
  <c r="Y365" i="1"/>
  <c r="X366" i="1"/>
  <c r="W367" i="1"/>
  <c r="V368" i="1"/>
  <c r="U369" i="1"/>
  <c r="T370" i="1"/>
  <c r="AB370" i="1"/>
  <c r="AA371" i="1"/>
  <c r="Z372" i="1"/>
  <c r="Y373" i="1"/>
  <c r="X374" i="1"/>
  <c r="W375" i="1"/>
  <c r="V376" i="1"/>
  <c r="U377" i="1"/>
  <c r="T378" i="1"/>
  <c r="AB378" i="1"/>
  <c r="AA379" i="1"/>
  <c r="Z115" i="1"/>
  <c r="V151" i="1"/>
  <c r="W176" i="1"/>
  <c r="V196" i="1"/>
  <c r="Z212" i="1"/>
  <c r="AB229" i="1"/>
  <c r="X246" i="1"/>
  <c r="Z256" i="1"/>
  <c r="T266" i="1"/>
  <c r="V272" i="1"/>
  <c r="X278" i="1"/>
  <c r="Z284" i="1"/>
  <c r="W289" i="1"/>
  <c r="T294" i="1"/>
  <c r="AB298" i="1"/>
  <c r="Y303" i="1"/>
  <c r="V308" i="1"/>
  <c r="Z310" i="1"/>
  <c r="U313" i="1"/>
  <c r="W315" i="1"/>
  <c r="AA317" i="1"/>
  <c r="V320" i="1"/>
  <c r="W322" i="1"/>
  <c r="U324" i="1"/>
  <c r="AB325" i="1"/>
  <c r="Y327" i="1"/>
  <c r="X328" i="1"/>
  <c r="W329" i="1"/>
  <c r="V330" i="1"/>
  <c r="U331" i="1"/>
  <c r="T332" i="1"/>
  <c r="AB332" i="1"/>
  <c r="AA333" i="1"/>
  <c r="Z334" i="1"/>
  <c r="Y335" i="1"/>
  <c r="X336" i="1"/>
  <c r="W337" i="1"/>
  <c r="V338" i="1"/>
  <c r="U339" i="1"/>
  <c r="T340" i="1"/>
  <c r="AB340" i="1"/>
  <c r="AA341" i="1"/>
  <c r="Z342" i="1"/>
  <c r="Y343" i="1"/>
  <c r="X344" i="1"/>
  <c r="W345" i="1"/>
  <c r="V346" i="1"/>
  <c r="U347" i="1"/>
  <c r="T348" i="1"/>
  <c r="AB348" i="1"/>
  <c r="AA349" i="1"/>
  <c r="Z350" i="1"/>
  <c r="Y351" i="1"/>
  <c r="X352" i="1"/>
  <c r="W353" i="1"/>
  <c r="V354" i="1"/>
  <c r="U355" i="1"/>
  <c r="T356" i="1"/>
  <c r="AB356" i="1"/>
  <c r="AA357" i="1"/>
  <c r="Z358" i="1"/>
  <c r="Y359" i="1"/>
  <c r="X360" i="1"/>
  <c r="W361" i="1"/>
  <c r="V362" i="1"/>
  <c r="U363" i="1"/>
  <c r="T364" i="1"/>
  <c r="AB364" i="1"/>
  <c r="AA365" i="1"/>
  <c r="Z366" i="1"/>
  <c r="Y367" i="1"/>
  <c r="X368" i="1"/>
  <c r="W369" i="1"/>
  <c r="V370" i="1"/>
  <c r="U371" i="1"/>
  <c r="T372" i="1"/>
  <c r="AB372" i="1"/>
  <c r="AA373" i="1"/>
  <c r="Z374" i="1"/>
  <c r="Y375" i="1"/>
  <c r="X376" i="1"/>
  <c r="W377" i="1"/>
  <c r="V378" i="1"/>
  <c r="U379" i="1"/>
  <c r="AB120" i="1"/>
  <c r="V156" i="1"/>
  <c r="X178" i="1"/>
  <c r="W198" i="1"/>
  <c r="U215" i="1"/>
  <c r="AA231" i="1"/>
  <c r="W247" i="1"/>
  <c r="AB257" i="1"/>
  <c r="Z266" i="1"/>
  <c r="U273" i="1"/>
  <c r="W279" i="1"/>
  <c r="U285" i="1"/>
  <c r="T290" i="1"/>
  <c r="Z294" i="1"/>
  <c r="W299" i="1"/>
  <c r="V304" i="1"/>
  <c r="AB308" i="1"/>
  <c r="W311" i="1"/>
  <c r="Y313" i="1"/>
  <c r="T316" i="1"/>
  <c r="X318" i="1"/>
  <c r="Z320" i="1"/>
  <c r="AA322" i="1"/>
  <c r="Y324" i="1"/>
  <c r="W326" i="1"/>
  <c r="Z327" i="1"/>
  <c r="Y328" i="1"/>
  <c r="X329" i="1"/>
  <c r="W330" i="1"/>
  <c r="V331" i="1"/>
  <c r="U332" i="1"/>
  <c r="T333" i="1"/>
  <c r="AB333" i="1"/>
  <c r="AA334" i="1"/>
  <c r="Z335" i="1"/>
  <c r="Y336" i="1"/>
  <c r="X337" i="1"/>
  <c r="W338" i="1"/>
  <c r="V339" i="1"/>
  <c r="U340" i="1"/>
  <c r="T341" i="1"/>
  <c r="AB341" i="1"/>
  <c r="AA342" i="1"/>
  <c r="Z343" i="1"/>
  <c r="Y344" i="1"/>
  <c r="X345" i="1"/>
  <c r="W346" i="1"/>
  <c r="V347" i="1"/>
  <c r="U348" i="1"/>
  <c r="T349" i="1"/>
  <c r="AB349" i="1"/>
  <c r="AA350" i="1"/>
  <c r="Z351" i="1"/>
  <c r="Y352" i="1"/>
  <c r="X353" i="1"/>
  <c r="W354" i="1"/>
  <c r="V355" i="1"/>
  <c r="U356" i="1"/>
  <c r="T357" i="1"/>
  <c r="AB357" i="1"/>
  <c r="AA358" i="1"/>
  <c r="Z359" i="1"/>
  <c r="Y360" i="1"/>
  <c r="X361" i="1"/>
  <c r="W362" i="1"/>
  <c r="V363" i="1"/>
  <c r="U364" i="1"/>
  <c r="T365" i="1"/>
  <c r="AB365" i="1"/>
  <c r="AA366" i="1"/>
  <c r="Z367" i="1"/>
  <c r="Y368" i="1"/>
  <c r="X369" i="1"/>
  <c r="W370" i="1"/>
  <c r="V371" i="1"/>
  <c r="U372" i="1"/>
  <c r="T373" i="1"/>
  <c r="AB373" i="1"/>
  <c r="AA374" i="1"/>
  <c r="Z375" i="1"/>
  <c r="Y376" i="1"/>
  <c r="X377" i="1"/>
  <c r="W378" i="1"/>
  <c r="V379" i="1"/>
  <c r="W87" i="1"/>
  <c r="X202" i="1"/>
  <c r="V260" i="1"/>
  <c r="X286" i="1"/>
  <c r="W305" i="1"/>
  <c r="V316" i="1"/>
  <c r="AA324" i="1"/>
  <c r="Z329" i="1"/>
  <c r="V333" i="1"/>
  <c r="AA336" i="1"/>
  <c r="W340" i="1"/>
  <c r="AB343" i="1"/>
  <c r="X347" i="1"/>
  <c r="T351" i="1"/>
  <c r="Y354" i="1"/>
  <c r="U358" i="1"/>
  <c r="Z361" i="1"/>
  <c r="V365" i="1"/>
  <c r="AA368" i="1"/>
  <c r="W372" i="1"/>
  <c r="AB375" i="1"/>
  <c r="X379" i="1"/>
  <c r="AA108" i="1"/>
  <c r="AA210" i="1"/>
  <c r="AB264" i="1"/>
  <c r="Z288" i="1"/>
  <c r="AA307" i="1"/>
  <c r="Y317" i="1"/>
  <c r="Z325" i="1"/>
  <c r="U330" i="1"/>
  <c r="Z333" i="1"/>
  <c r="V337" i="1"/>
  <c r="AA340" i="1"/>
  <c r="W344" i="1"/>
  <c r="AB347" i="1"/>
  <c r="X351" i="1"/>
  <c r="T355" i="1"/>
  <c r="Y358" i="1"/>
  <c r="U362" i="1"/>
  <c r="Z365" i="1"/>
  <c r="V369" i="1"/>
  <c r="AB379" i="1"/>
  <c r="Z129" i="1"/>
  <c r="AB218" i="1"/>
  <c r="X268" i="1"/>
  <c r="U291" i="1"/>
  <c r="U309" i="1"/>
  <c r="Z318" i="1"/>
  <c r="Y326" i="1"/>
  <c r="Y330" i="1"/>
  <c r="U334" i="1"/>
  <c r="Z337" i="1"/>
  <c r="V341" i="1"/>
  <c r="AA344" i="1"/>
  <c r="W348" i="1"/>
  <c r="AB351" i="1"/>
  <c r="X355" i="1"/>
  <c r="T359" i="1"/>
  <c r="Y362" i="1"/>
  <c r="U366" i="1"/>
  <c r="Z369" i="1"/>
  <c r="V373" i="1"/>
  <c r="AA376" i="1"/>
  <c r="V244" i="1"/>
  <c r="U322" i="1"/>
  <c r="X335" i="1"/>
  <c r="U346" i="1"/>
  <c r="V353" i="1"/>
  <c r="AB363" i="1"/>
  <c r="Y374" i="1"/>
  <c r="V357" i="1"/>
  <c r="X371" i="1"/>
  <c r="AA364" i="1"/>
  <c r="X375" i="1"/>
  <c r="W376" i="1"/>
  <c r="W148" i="1"/>
  <c r="Y227" i="1"/>
  <c r="W271" i="1"/>
  <c r="Y293" i="1"/>
  <c r="X310" i="1"/>
  <c r="AA319" i="1"/>
  <c r="X327" i="1"/>
  <c r="T331" i="1"/>
  <c r="Y334" i="1"/>
  <c r="U338" i="1"/>
  <c r="Z341" i="1"/>
  <c r="V345" i="1"/>
  <c r="AA348" i="1"/>
  <c r="W352" i="1"/>
  <c r="AB355" i="1"/>
  <c r="X359" i="1"/>
  <c r="T363" i="1"/>
  <c r="Y366" i="1"/>
  <c r="U370" i="1"/>
  <c r="Z373" i="1"/>
  <c r="V377" i="1"/>
  <c r="T278" i="1"/>
  <c r="Z312" i="1"/>
  <c r="AB331" i="1"/>
  <c r="Y342" i="1"/>
  <c r="AA356" i="1"/>
  <c r="X367" i="1"/>
  <c r="U378" i="1"/>
  <c r="Z353" i="1"/>
  <c r="AB367" i="1"/>
  <c r="Y378" i="1"/>
  <c r="T379" i="1"/>
  <c r="W161" i="1"/>
  <c r="W236" i="1"/>
  <c r="Z274" i="1"/>
  <c r="AA295" i="1"/>
  <c r="Y311" i="1"/>
  <c r="U321" i="1"/>
  <c r="AB327" i="1"/>
  <c r="X331" i="1"/>
  <c r="T335" i="1"/>
  <c r="Y338" i="1"/>
  <c r="U342" i="1"/>
  <c r="Z345" i="1"/>
  <c r="V349" i="1"/>
  <c r="AA352" i="1"/>
  <c r="W356" i="1"/>
  <c r="AB359" i="1"/>
  <c r="X363" i="1"/>
  <c r="T367" i="1"/>
  <c r="Y370" i="1"/>
  <c r="U374" i="1"/>
  <c r="Z377" i="1"/>
  <c r="U173" i="1"/>
  <c r="V298" i="1"/>
  <c r="W328" i="1"/>
  <c r="T339" i="1"/>
  <c r="Z349" i="1"/>
  <c r="W360" i="1"/>
  <c r="T371" i="1"/>
  <c r="U350" i="1"/>
  <c r="W364" i="1"/>
  <c r="T375" i="1"/>
  <c r="AB371" i="1"/>
  <c r="AA372" i="1"/>
  <c r="Y184" i="1"/>
  <c r="T250" i="1"/>
  <c r="AB280" i="1"/>
  <c r="Z300" i="1"/>
  <c r="T314" i="1"/>
  <c r="T323" i="1"/>
  <c r="AA328" i="1"/>
  <c r="W332" i="1"/>
  <c r="AB335" i="1"/>
  <c r="X339" i="1"/>
  <c r="T343" i="1"/>
  <c r="Y346" i="1"/>
  <c r="AA360" i="1"/>
  <c r="AA193" i="1"/>
  <c r="V255" i="1"/>
  <c r="T284" i="1"/>
  <c r="AB302" i="1"/>
  <c r="U315" i="1"/>
  <c r="AB323" i="1"/>
  <c r="V329" i="1"/>
  <c r="AA332" i="1"/>
  <c r="W336" i="1"/>
  <c r="AB339" i="1"/>
  <c r="X343" i="1"/>
  <c r="T347" i="1"/>
  <c r="Y350" i="1"/>
  <c r="U354" i="1"/>
  <c r="Z357" i="1"/>
  <c r="V361" i="1"/>
  <c r="W368" i="1"/>
  <c r="E28" i="8"/>
  <c r="E30" i="8"/>
  <c r="E32" i="8"/>
  <c r="E34" i="8"/>
  <c r="E36" i="8"/>
  <c r="E38" i="8"/>
  <c r="E40" i="8"/>
  <c r="E42" i="8"/>
  <c r="F28" i="8"/>
  <c r="F30" i="8"/>
  <c r="F32" i="8"/>
  <c r="F34" i="8"/>
  <c r="F36" i="8"/>
  <c r="F38" i="8"/>
  <c r="F40" i="8"/>
  <c r="C29" i="8"/>
  <c r="C31" i="8"/>
  <c r="C33" i="8"/>
  <c r="C35" i="8"/>
  <c r="C37" i="8"/>
  <c r="C39" i="8"/>
  <c r="C41" i="8"/>
  <c r="D29" i="8"/>
  <c r="D31" i="8"/>
  <c r="D33" i="8"/>
  <c r="D35" i="8"/>
  <c r="D37" i="8"/>
  <c r="D39" i="8"/>
  <c r="D41" i="8"/>
  <c r="C30" i="8"/>
  <c r="C34" i="8"/>
  <c r="C38" i="8"/>
  <c r="C40" i="8"/>
  <c r="D28" i="8"/>
  <c r="D34" i="8"/>
  <c r="D38" i="8"/>
  <c r="D42" i="8"/>
  <c r="E29" i="8"/>
  <c r="E31" i="8"/>
  <c r="E33" i="8"/>
  <c r="E35" i="8"/>
  <c r="E37" i="8"/>
  <c r="E39" i="8"/>
  <c r="E41" i="8"/>
  <c r="F29" i="8"/>
  <c r="F31" i="8"/>
  <c r="F33" i="8"/>
  <c r="F35" i="8"/>
  <c r="F37" i="8"/>
  <c r="F39" i="8"/>
  <c r="F41" i="8"/>
  <c r="C28" i="8"/>
  <c r="C32" i="8"/>
  <c r="C36" i="8"/>
  <c r="C42" i="8"/>
  <c r="D30" i="8"/>
  <c r="D32" i="8"/>
  <c r="D36" i="8"/>
  <c r="D40" i="8"/>
  <c r="F4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52" i="8"/>
  <c r="S58" i="8" l="1"/>
  <c r="S66" i="8"/>
  <c r="S54" i="8"/>
  <c r="S62" i="8"/>
  <c r="S53" i="8"/>
  <c r="S64" i="8"/>
  <c r="S73" i="8"/>
  <c r="S81" i="8"/>
  <c r="S89" i="8"/>
  <c r="S97" i="8"/>
  <c r="S105" i="8"/>
  <c r="S113" i="8"/>
  <c r="S121" i="8"/>
  <c r="S129" i="8"/>
  <c r="S137" i="8"/>
  <c r="S145" i="8"/>
  <c r="S153" i="8"/>
  <c r="S161" i="8"/>
  <c r="S169" i="8"/>
  <c r="S177" i="8"/>
  <c r="S185" i="8"/>
  <c r="S193" i="8"/>
  <c r="S201" i="8"/>
  <c r="S209" i="8"/>
  <c r="S217" i="8"/>
  <c r="S225" i="8"/>
  <c r="S233" i="8"/>
  <c r="S241" i="8"/>
  <c r="S249" i="8"/>
  <c r="S257" i="8"/>
  <c r="S265" i="8"/>
  <c r="S273" i="8"/>
  <c r="S281" i="8"/>
  <c r="S289" i="8"/>
  <c r="S297" i="8"/>
  <c r="S305" i="8"/>
  <c r="S313" i="8"/>
  <c r="S321" i="8"/>
  <c r="S329" i="8"/>
  <c r="S337" i="8"/>
  <c r="S345" i="8"/>
  <c r="S353" i="8"/>
  <c r="S361" i="8"/>
  <c r="S369" i="8"/>
  <c r="S377" i="8"/>
  <c r="S385" i="8"/>
  <c r="S393" i="8"/>
  <c r="S401" i="8"/>
  <c r="S409" i="8"/>
  <c r="S417" i="8"/>
  <c r="S425" i="8"/>
  <c r="S433" i="8"/>
  <c r="S441" i="8"/>
  <c r="S449" i="8"/>
  <c r="S457" i="8"/>
  <c r="S465" i="8"/>
  <c r="S473" i="8"/>
  <c r="S481" i="8"/>
  <c r="S489" i="8"/>
  <c r="S497" i="8"/>
  <c r="S505" i="8"/>
  <c r="S513" i="8"/>
  <c r="S55" i="8"/>
  <c r="S65" i="8"/>
  <c r="S74" i="8"/>
  <c r="S82" i="8"/>
  <c r="S90" i="8"/>
  <c r="S98" i="8"/>
  <c r="S106" i="8"/>
  <c r="S114" i="8"/>
  <c r="S122" i="8"/>
  <c r="S130" i="8"/>
  <c r="S138" i="8"/>
  <c r="S146" i="8"/>
  <c r="S154" i="8"/>
  <c r="S162" i="8"/>
  <c r="S170" i="8"/>
  <c r="S178" i="8"/>
  <c r="S186" i="8"/>
  <c r="S194" i="8"/>
  <c r="S202" i="8"/>
  <c r="S210" i="8"/>
  <c r="S218" i="8"/>
  <c r="S226" i="8"/>
  <c r="S234" i="8"/>
  <c r="S242" i="8"/>
  <c r="S250" i="8"/>
  <c r="S258" i="8"/>
  <c r="S266" i="8"/>
  <c r="S274" i="8"/>
  <c r="S282" i="8"/>
  <c r="S290" i="8"/>
  <c r="S298" i="8"/>
  <c r="S306" i="8"/>
  <c r="S314" i="8"/>
  <c r="S322" i="8"/>
  <c r="S330" i="8"/>
  <c r="S338" i="8"/>
  <c r="S346" i="8"/>
  <c r="S354" i="8"/>
  <c r="S362" i="8"/>
  <c r="S370" i="8"/>
  <c r="S378" i="8"/>
  <c r="S386" i="8"/>
  <c r="S394" i="8"/>
  <c r="S402" i="8"/>
  <c r="S410" i="8"/>
  <c r="S418" i="8"/>
  <c r="S426" i="8"/>
  <c r="S434" i="8"/>
  <c r="S442" i="8"/>
  <c r="S450" i="8"/>
  <c r="S458" i="8"/>
  <c r="S466" i="8"/>
  <c r="S474" i="8"/>
  <c r="S482" i="8"/>
  <c r="S490" i="8"/>
  <c r="S498" i="8"/>
  <c r="S506" i="8"/>
  <c r="S514" i="8"/>
  <c r="S522" i="8"/>
  <c r="S530" i="8"/>
  <c r="S538" i="8"/>
  <c r="S546" i="8"/>
  <c r="S554" i="8"/>
  <c r="S562" i="8"/>
  <c r="S570" i="8"/>
  <c r="S578" i="8"/>
  <c r="S586" i="8"/>
  <c r="S594" i="8"/>
  <c r="S602" i="8"/>
  <c r="S610" i="8"/>
  <c r="S618" i="8"/>
  <c r="S626" i="8"/>
  <c r="S634" i="8"/>
  <c r="S642" i="8"/>
  <c r="S650" i="8"/>
  <c r="S658" i="8"/>
  <c r="S666" i="8"/>
  <c r="S674" i="8"/>
  <c r="S682" i="8"/>
  <c r="S690" i="8"/>
  <c r="S698" i="8"/>
  <c r="S706" i="8"/>
  <c r="S714" i="8"/>
  <c r="S722" i="8"/>
  <c r="S730" i="8"/>
  <c r="S738" i="8"/>
  <c r="S746" i="8"/>
  <c r="S59" i="8"/>
  <c r="S69" i="8"/>
  <c r="S77" i="8"/>
  <c r="S85" i="8"/>
  <c r="S93" i="8"/>
  <c r="S101" i="8"/>
  <c r="S109" i="8"/>
  <c r="S117" i="8"/>
  <c r="S125" i="8"/>
  <c r="S133" i="8"/>
  <c r="S141" i="8"/>
  <c r="S149" i="8"/>
  <c r="S157" i="8"/>
  <c r="S165" i="8"/>
  <c r="S173" i="8"/>
  <c r="S181" i="8"/>
  <c r="S189" i="8"/>
  <c r="S197" i="8"/>
  <c r="S205" i="8"/>
  <c r="S213" i="8"/>
  <c r="S221" i="8"/>
  <c r="S229" i="8"/>
  <c r="S237" i="8"/>
  <c r="S245" i="8"/>
  <c r="S253" i="8"/>
  <c r="S261" i="8"/>
  <c r="S269" i="8"/>
  <c r="S277" i="8"/>
  <c r="S285" i="8"/>
  <c r="S293" i="8"/>
  <c r="S301" i="8"/>
  <c r="S309" i="8"/>
  <c r="S317" i="8"/>
  <c r="S325" i="8"/>
  <c r="S333" i="8"/>
  <c r="S341" i="8"/>
  <c r="S349" i="8"/>
  <c r="S357" i="8"/>
  <c r="S365" i="8"/>
  <c r="S373" i="8"/>
  <c r="S381" i="8"/>
  <c r="S389" i="8"/>
  <c r="S397" i="8"/>
  <c r="S405" i="8"/>
  <c r="S413" i="8"/>
  <c r="S421" i="8"/>
  <c r="S429" i="8"/>
  <c r="S437" i="8"/>
  <c r="S445" i="8"/>
  <c r="S453" i="8"/>
  <c r="S461" i="8"/>
  <c r="S469" i="8"/>
  <c r="S477" i="8"/>
  <c r="S485" i="8"/>
  <c r="S493" i="8"/>
  <c r="S501" i="8"/>
  <c r="S509" i="8"/>
  <c r="S517" i="8"/>
  <c r="S525" i="8"/>
  <c r="S533" i="8"/>
  <c r="S541" i="8"/>
  <c r="S549" i="8"/>
  <c r="S557" i="8"/>
  <c r="S565" i="8"/>
  <c r="S573" i="8"/>
  <c r="S581" i="8"/>
  <c r="S589" i="8"/>
  <c r="S597" i="8"/>
  <c r="S605" i="8"/>
  <c r="S613" i="8"/>
  <c r="S621" i="8"/>
  <c r="S629" i="8"/>
  <c r="S637" i="8"/>
  <c r="S645" i="8"/>
  <c r="S653" i="8"/>
  <c r="S661" i="8"/>
  <c r="S669" i="8"/>
  <c r="S677" i="8"/>
  <c r="S685" i="8"/>
  <c r="S693" i="8"/>
  <c r="S701" i="8"/>
  <c r="S709" i="8"/>
  <c r="S717" i="8"/>
  <c r="S725" i="8"/>
  <c r="S733" i="8"/>
  <c r="S741" i="8"/>
  <c r="S749" i="8"/>
  <c r="S70" i="8"/>
  <c r="S83" i="8"/>
  <c r="S95" i="8"/>
  <c r="S108" i="8"/>
  <c r="S120" i="8"/>
  <c r="S134" i="8"/>
  <c r="S147" i="8"/>
  <c r="S159" i="8"/>
  <c r="S172" i="8"/>
  <c r="S184" i="8"/>
  <c r="S198" i="8"/>
  <c r="S211" i="8"/>
  <c r="S223" i="8"/>
  <c r="S236" i="8"/>
  <c r="S248" i="8"/>
  <c r="S262" i="8"/>
  <c r="S275" i="8"/>
  <c r="S287" i="8"/>
  <c r="S300" i="8"/>
  <c r="S312" i="8"/>
  <c r="S326" i="8"/>
  <c r="S339" i="8"/>
  <c r="S351" i="8"/>
  <c r="S364" i="8"/>
  <c r="S376" i="8"/>
  <c r="S390" i="8"/>
  <c r="S403" i="8"/>
  <c r="S415" i="8"/>
  <c r="S428" i="8"/>
  <c r="S440" i="8"/>
  <c r="S454" i="8"/>
  <c r="S57" i="8"/>
  <c r="S72" i="8"/>
  <c r="S86" i="8"/>
  <c r="S99" i="8"/>
  <c r="S111" i="8"/>
  <c r="S124" i="8"/>
  <c r="S136" i="8"/>
  <c r="S150" i="8"/>
  <c r="S163" i="8"/>
  <c r="S175" i="8"/>
  <c r="S188" i="8"/>
  <c r="S200" i="8"/>
  <c r="S214" i="8"/>
  <c r="S227" i="8"/>
  <c r="S239" i="8"/>
  <c r="S252" i="8"/>
  <c r="S264" i="8"/>
  <c r="S278" i="8"/>
  <c r="S291" i="8"/>
  <c r="S303" i="8"/>
  <c r="S316" i="8"/>
  <c r="S328" i="8"/>
  <c r="S342" i="8"/>
  <c r="S355" i="8"/>
  <c r="S367" i="8"/>
  <c r="S380" i="8"/>
  <c r="S392" i="8"/>
  <c r="S406" i="8"/>
  <c r="S419" i="8"/>
  <c r="S431" i="8"/>
  <c r="S444" i="8"/>
  <c r="S456" i="8"/>
  <c r="S470" i="8"/>
  <c r="S483" i="8"/>
  <c r="S495" i="8"/>
  <c r="S508" i="8"/>
  <c r="S520" i="8"/>
  <c r="S531" i="8"/>
  <c r="S542" i="8"/>
  <c r="S552" i="8"/>
  <c r="S563" i="8"/>
  <c r="S574" i="8"/>
  <c r="S584" i="8"/>
  <c r="S595" i="8"/>
  <c r="S606" i="8"/>
  <c r="S616" i="8"/>
  <c r="S627" i="8"/>
  <c r="S638" i="8"/>
  <c r="S648" i="8"/>
  <c r="S659" i="8"/>
  <c r="S670" i="8"/>
  <c r="S680" i="8"/>
  <c r="S691" i="8"/>
  <c r="S702" i="8"/>
  <c r="S712" i="8"/>
  <c r="S723" i="8"/>
  <c r="S734" i="8"/>
  <c r="S744" i="8"/>
  <c r="S60" i="8"/>
  <c r="S75" i="8"/>
  <c r="S87" i="8"/>
  <c r="S100" i="8"/>
  <c r="S112" i="8"/>
  <c r="S126" i="8"/>
  <c r="S139" i="8"/>
  <c r="S151" i="8"/>
  <c r="S164" i="8"/>
  <c r="S176" i="8"/>
  <c r="S190" i="8"/>
  <c r="S203" i="8"/>
  <c r="S215" i="8"/>
  <c r="S228" i="8"/>
  <c r="S240" i="8"/>
  <c r="S254" i="8"/>
  <c r="S267" i="8"/>
  <c r="S279" i="8"/>
  <c r="S292" i="8"/>
  <c r="S304" i="8"/>
  <c r="S318" i="8"/>
  <c r="S331" i="8"/>
  <c r="S343" i="8"/>
  <c r="S356" i="8"/>
  <c r="S368" i="8"/>
  <c r="S382" i="8"/>
  <c r="S395" i="8"/>
  <c r="S407" i="8"/>
  <c r="S420" i="8"/>
  <c r="S432" i="8"/>
  <c r="S446" i="8"/>
  <c r="S459" i="8"/>
  <c r="S471" i="8"/>
  <c r="S484" i="8"/>
  <c r="S496" i="8"/>
  <c r="S510" i="8"/>
  <c r="S521" i="8"/>
  <c r="S532" i="8"/>
  <c r="S543" i="8"/>
  <c r="S553" i="8"/>
  <c r="S564" i="8"/>
  <c r="S575" i="8"/>
  <c r="S585" i="8"/>
  <c r="S596" i="8"/>
  <c r="S607" i="8"/>
  <c r="S617" i="8"/>
  <c r="S628" i="8"/>
  <c r="S639" i="8"/>
  <c r="S649" i="8"/>
  <c r="S660" i="8"/>
  <c r="S671" i="8"/>
  <c r="S681" i="8"/>
  <c r="S692" i="8"/>
  <c r="S703" i="8"/>
  <c r="S713" i="8"/>
  <c r="S724" i="8"/>
  <c r="S735" i="8"/>
  <c r="S745" i="8"/>
  <c r="S61" i="8"/>
  <c r="S76" i="8"/>
  <c r="S88" i="8"/>
  <c r="S102" i="8"/>
  <c r="S115" i="8"/>
  <c r="S127" i="8"/>
  <c r="S140" i="8"/>
  <c r="S152" i="8"/>
  <c r="S166" i="8"/>
  <c r="S179" i="8"/>
  <c r="S191" i="8"/>
  <c r="S204" i="8"/>
  <c r="S216" i="8"/>
  <c r="S230" i="8"/>
  <c r="S243" i="8"/>
  <c r="S255" i="8"/>
  <c r="S268" i="8"/>
  <c r="S280" i="8"/>
  <c r="S294" i="8"/>
  <c r="S307" i="8"/>
  <c r="S319" i="8"/>
  <c r="S332" i="8"/>
  <c r="S344" i="8"/>
  <c r="S358" i="8"/>
  <c r="S371" i="8"/>
  <c r="S383" i="8"/>
  <c r="S396" i="8"/>
  <c r="S408" i="8"/>
  <c r="S422" i="8"/>
  <c r="S435" i="8"/>
  <c r="S447" i="8"/>
  <c r="S460" i="8"/>
  <c r="S67" i="8"/>
  <c r="S79" i="8"/>
  <c r="S92" i="8"/>
  <c r="S104" i="8"/>
  <c r="S118" i="8"/>
  <c r="S131" i="8"/>
  <c r="S143" i="8"/>
  <c r="S156" i="8"/>
  <c r="S168" i="8"/>
  <c r="S182" i="8"/>
  <c r="S195" i="8"/>
  <c r="S207" i="8"/>
  <c r="S220" i="8"/>
  <c r="S232" i="8"/>
  <c r="S246" i="8"/>
  <c r="S259" i="8"/>
  <c r="S271" i="8"/>
  <c r="S284" i="8"/>
  <c r="S296" i="8"/>
  <c r="S310" i="8"/>
  <c r="S323" i="8"/>
  <c r="S335" i="8"/>
  <c r="S348" i="8"/>
  <c r="S360" i="8"/>
  <c r="S374" i="8"/>
  <c r="S387" i="8"/>
  <c r="S399" i="8"/>
  <c r="S412" i="8"/>
  <c r="S424" i="8"/>
  <c r="S438" i="8"/>
  <c r="S451" i="8"/>
  <c r="S463" i="8"/>
  <c r="S476" i="8"/>
  <c r="S488" i="8"/>
  <c r="S502" i="8"/>
  <c r="S515" i="8"/>
  <c r="S526" i="8"/>
  <c r="S536" i="8"/>
  <c r="S547" i="8"/>
  <c r="S558" i="8"/>
  <c r="S568" i="8"/>
  <c r="S579" i="8"/>
  <c r="S590" i="8"/>
  <c r="S600" i="8"/>
  <c r="S611" i="8"/>
  <c r="S622" i="8"/>
  <c r="S632" i="8"/>
  <c r="S643" i="8"/>
  <c r="S654" i="8"/>
  <c r="S664" i="8"/>
  <c r="S675" i="8"/>
  <c r="S686" i="8"/>
  <c r="S696" i="8"/>
  <c r="S707" i="8"/>
  <c r="S718" i="8"/>
  <c r="S728" i="8"/>
  <c r="S739" i="8"/>
  <c r="S750" i="8"/>
  <c r="S80" i="8"/>
  <c r="S116" i="8"/>
  <c r="S148" i="8"/>
  <c r="S183" i="8"/>
  <c r="S219" i="8"/>
  <c r="S251" i="8"/>
  <c r="S286" i="8"/>
  <c r="S320" i="8"/>
  <c r="S84" i="8"/>
  <c r="S119" i="8"/>
  <c r="S155" i="8"/>
  <c r="S187" i="8"/>
  <c r="S222" i="8"/>
  <c r="S256" i="8"/>
  <c r="S288" i="8"/>
  <c r="S324" i="8"/>
  <c r="S359" i="8"/>
  <c r="S391" i="8"/>
  <c r="S427" i="8"/>
  <c r="S462" i="8"/>
  <c r="S480" i="8"/>
  <c r="S503" i="8"/>
  <c r="S523" i="8"/>
  <c r="S539" i="8"/>
  <c r="S556" i="8"/>
  <c r="S572" i="8"/>
  <c r="S591" i="8"/>
  <c r="S608" i="8"/>
  <c r="S624" i="8"/>
  <c r="S641" i="8"/>
  <c r="S657" i="8"/>
  <c r="S676" i="8"/>
  <c r="S694" i="8"/>
  <c r="S710" i="8"/>
  <c r="S727" i="8"/>
  <c r="S743" i="8"/>
  <c r="S91" i="8"/>
  <c r="S123" i="8"/>
  <c r="S158" i="8"/>
  <c r="S192" i="8"/>
  <c r="S224" i="8"/>
  <c r="S260" i="8"/>
  <c r="S295" i="8"/>
  <c r="S327" i="8"/>
  <c r="S363" i="8"/>
  <c r="S398" i="8"/>
  <c r="S430" i="8"/>
  <c r="S464" i="8"/>
  <c r="S486" i="8"/>
  <c r="S504" i="8"/>
  <c r="S524" i="8"/>
  <c r="S540" i="8"/>
  <c r="S559" i="8"/>
  <c r="S576" i="8"/>
  <c r="S592" i="8"/>
  <c r="S609" i="8"/>
  <c r="S625" i="8"/>
  <c r="S644" i="8"/>
  <c r="S662" i="8"/>
  <c r="S678" i="8"/>
  <c r="S695" i="8"/>
  <c r="S711" i="8"/>
  <c r="S729" i="8"/>
  <c r="S747" i="8"/>
  <c r="S56" i="8"/>
  <c r="S94" i="8"/>
  <c r="S128" i="8"/>
  <c r="S160" i="8"/>
  <c r="S196" i="8"/>
  <c r="S231" i="8"/>
  <c r="S263" i="8"/>
  <c r="S299" i="8"/>
  <c r="S334" i="8"/>
  <c r="S366" i="8"/>
  <c r="S400" i="8"/>
  <c r="S436" i="8"/>
  <c r="S467" i="8"/>
  <c r="S487" i="8"/>
  <c r="S507" i="8"/>
  <c r="S527" i="8"/>
  <c r="S544" i="8"/>
  <c r="S560" i="8"/>
  <c r="S577" i="8"/>
  <c r="S593" i="8"/>
  <c r="S612" i="8"/>
  <c r="S630" i="8"/>
  <c r="S646" i="8"/>
  <c r="S663" i="8"/>
  <c r="S679" i="8"/>
  <c r="S697" i="8"/>
  <c r="S715" i="8"/>
  <c r="S731" i="8"/>
  <c r="S748" i="8"/>
  <c r="S63" i="8"/>
  <c r="S96" i="8"/>
  <c r="S132" i="8"/>
  <c r="S167" i="8"/>
  <c r="S199" i="8"/>
  <c r="S235" i="8"/>
  <c r="S270" i="8"/>
  <c r="S302" i="8"/>
  <c r="S336" i="8"/>
  <c r="S372" i="8"/>
  <c r="S404" i="8"/>
  <c r="S439" i="8"/>
  <c r="S468" i="8"/>
  <c r="S491" i="8"/>
  <c r="S511" i="8"/>
  <c r="S528" i="8"/>
  <c r="S545" i="8"/>
  <c r="S561" i="8"/>
  <c r="S580" i="8"/>
  <c r="S598" i="8"/>
  <c r="S614" i="8"/>
  <c r="S631" i="8"/>
  <c r="S647" i="8"/>
  <c r="S665" i="8"/>
  <c r="S683" i="8"/>
  <c r="S699" i="8"/>
  <c r="S716" i="8"/>
  <c r="S732" i="8"/>
  <c r="S751" i="8"/>
  <c r="S68" i="8"/>
  <c r="S103" i="8"/>
  <c r="S135" i="8"/>
  <c r="S171" i="8"/>
  <c r="S206" i="8"/>
  <c r="S238" i="8"/>
  <c r="S272" i="8"/>
  <c r="S308" i="8"/>
  <c r="S340" i="8"/>
  <c r="S375" i="8"/>
  <c r="S411" i="8"/>
  <c r="S443" i="8"/>
  <c r="S472" i="8"/>
  <c r="S492" i="8"/>
  <c r="S512" i="8"/>
  <c r="S529" i="8"/>
  <c r="S548" i="8"/>
  <c r="S566" i="8"/>
  <c r="S582" i="8"/>
  <c r="S599" i="8"/>
  <c r="S615" i="8"/>
  <c r="S633" i="8"/>
  <c r="S651" i="8"/>
  <c r="S667" i="8"/>
  <c r="S684" i="8"/>
  <c r="S700" i="8"/>
  <c r="S719" i="8"/>
  <c r="S736" i="8"/>
  <c r="S752" i="8"/>
  <c r="S71" i="8"/>
  <c r="S107" i="8"/>
  <c r="S142" i="8"/>
  <c r="S174" i="8"/>
  <c r="S208" i="8"/>
  <c r="S244" i="8"/>
  <c r="S276" i="8"/>
  <c r="S311" i="8"/>
  <c r="S347" i="8"/>
  <c r="S379" i="8"/>
  <c r="S414" i="8"/>
  <c r="S448" i="8"/>
  <c r="S475" i="8"/>
  <c r="S494" i="8"/>
  <c r="S516" i="8"/>
  <c r="S534" i="8"/>
  <c r="S550" i="8"/>
  <c r="S567" i="8"/>
  <c r="S583" i="8"/>
  <c r="S601" i="8"/>
  <c r="S619" i="8"/>
  <c r="S635" i="8"/>
  <c r="S652" i="8"/>
  <c r="S668" i="8"/>
  <c r="S687" i="8"/>
  <c r="S704" i="8"/>
  <c r="S720" i="8"/>
  <c r="S737" i="8"/>
  <c r="S52" i="8"/>
  <c r="S78" i="8"/>
  <c r="S110" i="8"/>
  <c r="S144" i="8"/>
  <c r="S180" i="8"/>
  <c r="S212" i="8"/>
  <c r="S247" i="8"/>
  <c r="S283" i="8"/>
  <c r="S315" i="8"/>
  <c r="S350" i="8"/>
  <c r="S384" i="8"/>
  <c r="S416" i="8"/>
  <c r="S452" i="8"/>
  <c r="S478" i="8"/>
  <c r="S499" i="8"/>
  <c r="S518" i="8"/>
  <c r="S535" i="8"/>
  <c r="S551" i="8"/>
  <c r="S569" i="8"/>
  <c r="S587" i="8"/>
  <c r="S603" i="8"/>
  <c r="S620" i="8"/>
  <c r="S636" i="8"/>
  <c r="S655" i="8"/>
  <c r="S672" i="8"/>
  <c r="S688" i="8"/>
  <c r="S705" i="8"/>
  <c r="S721" i="8"/>
  <c r="S740" i="8"/>
  <c r="S388" i="8"/>
  <c r="S571" i="8"/>
  <c r="S708" i="8"/>
  <c r="S423" i="8"/>
  <c r="S588" i="8"/>
  <c r="S726" i="8"/>
  <c r="S479" i="8"/>
  <c r="S623" i="8"/>
  <c r="S500" i="8"/>
  <c r="S640" i="8"/>
  <c r="S519" i="8"/>
  <c r="S656" i="8"/>
  <c r="S455" i="8"/>
  <c r="R56" i="8"/>
  <c r="R64" i="8"/>
  <c r="R72" i="8"/>
  <c r="R80" i="8"/>
  <c r="R88" i="8"/>
  <c r="R96" i="8"/>
  <c r="R104" i="8"/>
  <c r="R112" i="8"/>
  <c r="R120" i="8"/>
  <c r="R128" i="8"/>
  <c r="R136" i="8"/>
  <c r="R144" i="8"/>
  <c r="R152" i="8"/>
  <c r="R160" i="8"/>
  <c r="R168" i="8"/>
  <c r="R176" i="8"/>
  <c r="R184" i="8"/>
  <c r="R192" i="8"/>
  <c r="R200" i="8"/>
  <c r="R208" i="8"/>
  <c r="R216" i="8"/>
  <c r="R224" i="8"/>
  <c r="R232" i="8"/>
  <c r="R240" i="8"/>
  <c r="R248" i="8"/>
  <c r="R256" i="8"/>
  <c r="R264" i="8"/>
  <c r="R272" i="8"/>
  <c r="R280" i="8"/>
  <c r="R288" i="8"/>
  <c r="R296" i="8"/>
  <c r="R304" i="8"/>
  <c r="R312" i="8"/>
  <c r="R320" i="8"/>
  <c r="R328" i="8"/>
  <c r="R336" i="8"/>
  <c r="R344" i="8"/>
  <c r="R352" i="8"/>
  <c r="R360" i="8"/>
  <c r="R368" i="8"/>
  <c r="R376" i="8"/>
  <c r="R384" i="8"/>
  <c r="R392" i="8"/>
  <c r="R400" i="8"/>
  <c r="R408" i="8"/>
  <c r="R416" i="8"/>
  <c r="R424" i="8"/>
  <c r="R432" i="8"/>
  <c r="R440" i="8"/>
  <c r="R448" i="8"/>
  <c r="R456" i="8"/>
  <c r="R464" i="8"/>
  <c r="R472" i="8"/>
  <c r="R480" i="8"/>
  <c r="R488" i="8"/>
  <c r="R496" i="8"/>
  <c r="R504" i="8"/>
  <c r="R512" i="8"/>
  <c r="R520" i="8"/>
  <c r="R528" i="8"/>
  <c r="R536" i="8"/>
  <c r="R544" i="8"/>
  <c r="R552" i="8"/>
  <c r="R560" i="8"/>
  <c r="R568" i="8"/>
  <c r="R576" i="8"/>
  <c r="S537" i="8"/>
  <c r="R57" i="8"/>
  <c r="R65" i="8"/>
  <c r="R73" i="8"/>
  <c r="R81" i="8"/>
  <c r="R89" i="8"/>
  <c r="R97" i="8"/>
  <c r="R105" i="8"/>
  <c r="R113" i="8"/>
  <c r="R121" i="8"/>
  <c r="R129" i="8"/>
  <c r="R137" i="8"/>
  <c r="R145" i="8"/>
  <c r="R153" i="8"/>
  <c r="R161" i="8"/>
  <c r="R169" i="8"/>
  <c r="R177" i="8"/>
  <c r="R185" i="8"/>
  <c r="R193" i="8"/>
  <c r="R201" i="8"/>
  <c r="R209" i="8"/>
  <c r="R217" i="8"/>
  <c r="R225" i="8"/>
  <c r="R233" i="8"/>
  <c r="R241" i="8"/>
  <c r="R249" i="8"/>
  <c r="R257" i="8"/>
  <c r="R265" i="8"/>
  <c r="R273" i="8"/>
  <c r="R281" i="8"/>
  <c r="R289" i="8"/>
  <c r="R297" i="8"/>
  <c r="R305" i="8"/>
  <c r="R313" i="8"/>
  <c r="R321" i="8"/>
  <c r="R329" i="8"/>
  <c r="R337" i="8"/>
  <c r="R345" i="8"/>
  <c r="R353" i="8"/>
  <c r="R361" i="8"/>
  <c r="R369" i="8"/>
  <c r="R377" i="8"/>
  <c r="R385" i="8"/>
  <c r="R393" i="8"/>
  <c r="R401" i="8"/>
  <c r="R409" i="8"/>
  <c r="R417" i="8"/>
  <c r="R425" i="8"/>
  <c r="R433" i="8"/>
  <c r="R441" i="8"/>
  <c r="S604" i="8"/>
  <c r="R59" i="8"/>
  <c r="R67" i="8"/>
  <c r="R75" i="8"/>
  <c r="R83" i="8"/>
  <c r="R91" i="8"/>
  <c r="R99" i="8"/>
  <c r="R107" i="8"/>
  <c r="R115" i="8"/>
  <c r="R123" i="8"/>
  <c r="R131" i="8"/>
  <c r="R139" i="8"/>
  <c r="R147" i="8"/>
  <c r="R155" i="8"/>
  <c r="R163" i="8"/>
  <c r="R171" i="8"/>
  <c r="R179" i="8"/>
  <c r="R187" i="8"/>
  <c r="R195" i="8"/>
  <c r="R203" i="8"/>
  <c r="R211" i="8"/>
  <c r="R219" i="8"/>
  <c r="R227" i="8"/>
  <c r="R235" i="8"/>
  <c r="R243" i="8"/>
  <c r="R251" i="8"/>
  <c r="R259" i="8"/>
  <c r="R267" i="8"/>
  <c r="R275" i="8"/>
  <c r="R283" i="8"/>
  <c r="R291" i="8"/>
  <c r="R299" i="8"/>
  <c r="R307" i="8"/>
  <c r="R315" i="8"/>
  <c r="R323" i="8"/>
  <c r="R331" i="8"/>
  <c r="R339" i="8"/>
  <c r="R347" i="8"/>
  <c r="R355" i="8"/>
  <c r="R363" i="8"/>
  <c r="R371" i="8"/>
  <c r="S673" i="8"/>
  <c r="R60" i="8"/>
  <c r="R68" i="8"/>
  <c r="R76" i="8"/>
  <c r="R84" i="8"/>
  <c r="R92" i="8"/>
  <c r="R100" i="8"/>
  <c r="R108" i="8"/>
  <c r="R116" i="8"/>
  <c r="R124" i="8"/>
  <c r="R132" i="8"/>
  <c r="R140" i="8"/>
  <c r="R148" i="8"/>
  <c r="R156" i="8"/>
  <c r="R164" i="8"/>
  <c r="R172" i="8"/>
  <c r="R180" i="8"/>
  <c r="R188" i="8"/>
  <c r="R196" i="8"/>
  <c r="R204" i="8"/>
  <c r="R212" i="8"/>
  <c r="R220" i="8"/>
  <c r="R228" i="8"/>
  <c r="R236" i="8"/>
  <c r="R244" i="8"/>
  <c r="R252" i="8"/>
  <c r="R260" i="8"/>
  <c r="R268" i="8"/>
  <c r="R276" i="8"/>
  <c r="R284" i="8"/>
  <c r="R292" i="8"/>
  <c r="R300" i="8"/>
  <c r="R308" i="8"/>
  <c r="R316" i="8"/>
  <c r="R324" i="8"/>
  <c r="R332" i="8"/>
  <c r="R340" i="8"/>
  <c r="R348" i="8"/>
  <c r="R356" i="8"/>
  <c r="R364" i="8"/>
  <c r="R372" i="8"/>
  <c r="R380" i="8"/>
  <c r="R388" i="8"/>
  <c r="R396" i="8"/>
  <c r="R404" i="8"/>
  <c r="R412" i="8"/>
  <c r="R420" i="8"/>
  <c r="R428" i="8"/>
  <c r="R436" i="8"/>
  <c r="R444" i="8"/>
  <c r="R452" i="8"/>
  <c r="R460" i="8"/>
  <c r="R468" i="8"/>
  <c r="R476" i="8"/>
  <c r="R484" i="8"/>
  <c r="R492" i="8"/>
  <c r="R500" i="8"/>
  <c r="R508" i="8"/>
  <c r="R516" i="8"/>
  <c r="R524" i="8"/>
  <c r="R532" i="8"/>
  <c r="R540" i="8"/>
  <c r="R548" i="8"/>
  <c r="R556" i="8"/>
  <c r="R564" i="8"/>
  <c r="R572" i="8"/>
  <c r="R580" i="8"/>
  <c r="S689" i="8"/>
  <c r="R53" i="8"/>
  <c r="R61" i="8"/>
  <c r="R69" i="8"/>
  <c r="R77" i="8"/>
  <c r="R85" i="8"/>
  <c r="R93" i="8"/>
  <c r="R101" i="8"/>
  <c r="R109" i="8"/>
  <c r="R117" i="8"/>
  <c r="R125" i="8"/>
  <c r="R133" i="8"/>
  <c r="R141" i="8"/>
  <c r="R149" i="8"/>
  <c r="R157" i="8"/>
  <c r="R165" i="8"/>
  <c r="R173" i="8"/>
  <c r="R181" i="8"/>
  <c r="R189" i="8"/>
  <c r="R197" i="8"/>
  <c r="R205" i="8"/>
  <c r="R213" i="8"/>
  <c r="R221" i="8"/>
  <c r="R229" i="8"/>
  <c r="R237" i="8"/>
  <c r="R245" i="8"/>
  <c r="R253" i="8"/>
  <c r="R261" i="8"/>
  <c r="R269" i="8"/>
  <c r="R277" i="8"/>
  <c r="R285" i="8"/>
  <c r="R293" i="8"/>
  <c r="R301" i="8"/>
  <c r="R309" i="8"/>
  <c r="R317" i="8"/>
  <c r="R325" i="8"/>
  <c r="R333" i="8"/>
  <c r="R341" i="8"/>
  <c r="R349" i="8"/>
  <c r="R357" i="8"/>
  <c r="R365" i="8"/>
  <c r="R373" i="8"/>
  <c r="R381" i="8"/>
  <c r="R389" i="8"/>
  <c r="R397" i="8"/>
  <c r="R405" i="8"/>
  <c r="R413" i="8"/>
  <c r="R421" i="8"/>
  <c r="R429" i="8"/>
  <c r="R437" i="8"/>
  <c r="R445" i="8"/>
  <c r="S352" i="8"/>
  <c r="R58" i="8"/>
  <c r="R79" i="8"/>
  <c r="R102" i="8"/>
  <c r="R122" i="8"/>
  <c r="R143" i="8"/>
  <c r="R166" i="8"/>
  <c r="R186" i="8"/>
  <c r="R207" i="8"/>
  <c r="R230" i="8"/>
  <c r="R250" i="8"/>
  <c r="R271" i="8"/>
  <c r="R294" i="8"/>
  <c r="R314" i="8"/>
  <c r="R335" i="8"/>
  <c r="R358" i="8"/>
  <c r="R378" i="8"/>
  <c r="R394" i="8"/>
  <c r="R410" i="8"/>
  <c r="R426" i="8"/>
  <c r="R442" i="8"/>
  <c r="R454" i="8"/>
  <c r="R465" i="8"/>
  <c r="R475" i="8"/>
  <c r="R486" i="8"/>
  <c r="R497" i="8"/>
  <c r="R507" i="8"/>
  <c r="R518" i="8"/>
  <c r="R529" i="8"/>
  <c r="R539" i="8"/>
  <c r="R550" i="8"/>
  <c r="R561" i="8"/>
  <c r="R571" i="8"/>
  <c r="R582" i="8"/>
  <c r="R590" i="8"/>
  <c r="R598" i="8"/>
  <c r="R606" i="8"/>
  <c r="R614" i="8"/>
  <c r="R622" i="8"/>
  <c r="R630" i="8"/>
  <c r="R638" i="8"/>
  <c r="R646" i="8"/>
  <c r="R654" i="8"/>
  <c r="R662" i="8"/>
  <c r="R670" i="8"/>
  <c r="R678" i="8"/>
  <c r="R686" i="8"/>
  <c r="R694" i="8"/>
  <c r="R702" i="8"/>
  <c r="R710" i="8"/>
  <c r="R718" i="8"/>
  <c r="R726" i="8"/>
  <c r="R734" i="8"/>
  <c r="R742" i="8"/>
  <c r="R750" i="8"/>
  <c r="S555" i="8"/>
  <c r="R62" i="8"/>
  <c r="R82" i="8"/>
  <c r="R103" i="8"/>
  <c r="R126" i="8"/>
  <c r="R146" i="8"/>
  <c r="R167" i="8"/>
  <c r="R190" i="8"/>
  <c r="R210" i="8"/>
  <c r="R231" i="8"/>
  <c r="R254" i="8"/>
  <c r="R274" i="8"/>
  <c r="R295" i="8"/>
  <c r="R318" i="8"/>
  <c r="R338" i="8"/>
  <c r="R359" i="8"/>
  <c r="R379" i="8"/>
  <c r="R395" i="8"/>
  <c r="R411" i="8"/>
  <c r="R427" i="8"/>
  <c r="R443" i="8"/>
  <c r="R455" i="8"/>
  <c r="R466" i="8"/>
  <c r="R477" i="8"/>
  <c r="R487" i="8"/>
  <c r="R498" i="8"/>
  <c r="R509" i="8"/>
  <c r="R519" i="8"/>
  <c r="R530" i="8"/>
  <c r="R541" i="8"/>
  <c r="R551" i="8"/>
  <c r="R562" i="8"/>
  <c r="R573" i="8"/>
  <c r="R583" i="8"/>
  <c r="R591" i="8"/>
  <c r="R599" i="8"/>
  <c r="R607" i="8"/>
  <c r="R615" i="8"/>
  <c r="R623" i="8"/>
  <c r="R631" i="8"/>
  <c r="R639" i="8"/>
  <c r="R647" i="8"/>
  <c r="R655" i="8"/>
  <c r="R663" i="8"/>
  <c r="R671" i="8"/>
  <c r="R679" i="8"/>
  <c r="R687" i="8"/>
  <c r="R695" i="8"/>
  <c r="R703" i="8"/>
  <c r="R711" i="8"/>
  <c r="R719" i="8"/>
  <c r="R727" i="8"/>
  <c r="R735" i="8"/>
  <c r="R743" i="8"/>
  <c r="R751" i="8"/>
  <c r="S742" i="8"/>
  <c r="R63" i="8"/>
  <c r="R86" i="8"/>
  <c r="R106" i="8"/>
  <c r="R127" i="8"/>
  <c r="R150" i="8"/>
  <c r="R170" i="8"/>
  <c r="R191" i="8"/>
  <c r="R214" i="8"/>
  <c r="R234" i="8"/>
  <c r="R255" i="8"/>
  <c r="R278" i="8"/>
  <c r="R298" i="8"/>
  <c r="R319" i="8"/>
  <c r="R342" i="8"/>
  <c r="R362" i="8"/>
  <c r="R382" i="8"/>
  <c r="R398" i="8"/>
  <c r="R414" i="8"/>
  <c r="R430" i="8"/>
  <c r="R446" i="8"/>
  <c r="R457" i="8"/>
  <c r="R467" i="8"/>
  <c r="R478" i="8"/>
  <c r="R489" i="8"/>
  <c r="R499" i="8"/>
  <c r="R510" i="8"/>
  <c r="R521" i="8"/>
  <c r="R531" i="8"/>
  <c r="R542" i="8"/>
  <c r="R553" i="8"/>
  <c r="R563" i="8"/>
  <c r="R574" i="8"/>
  <c r="R584" i="8"/>
  <c r="R592" i="8"/>
  <c r="R600" i="8"/>
  <c r="R608" i="8"/>
  <c r="R616" i="8"/>
  <c r="R624" i="8"/>
  <c r="R632" i="8"/>
  <c r="R640" i="8"/>
  <c r="R648" i="8"/>
  <c r="R656" i="8"/>
  <c r="R664" i="8"/>
  <c r="R672" i="8"/>
  <c r="R680" i="8"/>
  <c r="R688" i="8"/>
  <c r="R696" i="8"/>
  <c r="R704" i="8"/>
  <c r="R712" i="8"/>
  <c r="R720" i="8"/>
  <c r="R728" i="8"/>
  <c r="R736" i="8"/>
  <c r="R744" i="8"/>
  <c r="R752" i="8"/>
  <c r="R66" i="8"/>
  <c r="R87" i="8"/>
  <c r="R110" i="8"/>
  <c r="R130" i="8"/>
  <c r="R151" i="8"/>
  <c r="R174" i="8"/>
  <c r="R194" i="8"/>
  <c r="R215" i="8"/>
  <c r="R238" i="8"/>
  <c r="R258" i="8"/>
  <c r="R279" i="8"/>
  <c r="R302" i="8"/>
  <c r="R322" i="8"/>
  <c r="R343" i="8"/>
  <c r="R366" i="8"/>
  <c r="R383" i="8"/>
  <c r="R399" i="8"/>
  <c r="R415" i="8"/>
  <c r="R431" i="8"/>
  <c r="R447" i="8"/>
  <c r="R458" i="8"/>
  <c r="R469" i="8"/>
  <c r="R479" i="8"/>
  <c r="R490" i="8"/>
  <c r="R501" i="8"/>
  <c r="R511" i="8"/>
  <c r="R522" i="8"/>
  <c r="R533" i="8"/>
  <c r="R543" i="8"/>
  <c r="R554" i="8"/>
  <c r="R565" i="8"/>
  <c r="R575" i="8"/>
  <c r="R585" i="8"/>
  <c r="R593" i="8"/>
  <c r="R601" i="8"/>
  <c r="R609" i="8"/>
  <c r="R617" i="8"/>
  <c r="R625" i="8"/>
  <c r="R633" i="8"/>
  <c r="R641" i="8"/>
  <c r="R649" i="8"/>
  <c r="R657" i="8"/>
  <c r="R665" i="8"/>
  <c r="R673" i="8"/>
  <c r="R681" i="8"/>
  <c r="R689" i="8"/>
  <c r="R697" i="8"/>
  <c r="R705" i="8"/>
  <c r="R713" i="8"/>
  <c r="R721" i="8"/>
  <c r="R729" i="8"/>
  <c r="R737" i="8"/>
  <c r="R745" i="8"/>
  <c r="R52" i="8"/>
  <c r="R70" i="8"/>
  <c r="R90" i="8"/>
  <c r="R111" i="8"/>
  <c r="R134" i="8"/>
  <c r="R154" i="8"/>
  <c r="R175" i="8"/>
  <c r="R198" i="8"/>
  <c r="R218" i="8"/>
  <c r="R239" i="8"/>
  <c r="R262" i="8"/>
  <c r="R282" i="8"/>
  <c r="R303" i="8"/>
  <c r="R326" i="8"/>
  <c r="R346" i="8"/>
  <c r="R367" i="8"/>
  <c r="R386" i="8"/>
  <c r="R402" i="8"/>
  <c r="R418" i="8"/>
  <c r="R434" i="8"/>
  <c r="R449" i="8"/>
  <c r="R459" i="8"/>
  <c r="R470" i="8"/>
  <c r="R481" i="8"/>
  <c r="R491" i="8"/>
  <c r="R502" i="8"/>
  <c r="R513" i="8"/>
  <c r="R523" i="8"/>
  <c r="R534" i="8"/>
  <c r="R545" i="8"/>
  <c r="R555" i="8"/>
  <c r="R566" i="8"/>
  <c r="R577" i="8"/>
  <c r="R586" i="8"/>
  <c r="R594" i="8"/>
  <c r="R602" i="8"/>
  <c r="R610" i="8"/>
  <c r="R618" i="8"/>
  <c r="R626" i="8"/>
  <c r="R634" i="8"/>
  <c r="R642" i="8"/>
  <c r="R650" i="8"/>
  <c r="R658" i="8"/>
  <c r="R666" i="8"/>
  <c r="R674" i="8"/>
  <c r="R682" i="8"/>
  <c r="R690" i="8"/>
  <c r="R698" i="8"/>
  <c r="R706" i="8"/>
  <c r="R714" i="8"/>
  <c r="R722" i="8"/>
  <c r="R730" i="8"/>
  <c r="R738" i="8"/>
  <c r="R746" i="8"/>
  <c r="R71" i="8"/>
  <c r="R94" i="8"/>
  <c r="R114" i="8"/>
  <c r="R135" i="8"/>
  <c r="R158" i="8"/>
  <c r="R178" i="8"/>
  <c r="R199" i="8"/>
  <c r="R222" i="8"/>
  <c r="R242" i="8"/>
  <c r="R263" i="8"/>
  <c r="R286" i="8"/>
  <c r="R306" i="8"/>
  <c r="R327" i="8"/>
  <c r="R350" i="8"/>
  <c r="R370" i="8"/>
  <c r="R387" i="8"/>
  <c r="R403" i="8"/>
  <c r="R419" i="8"/>
  <c r="R435" i="8"/>
  <c r="R450" i="8"/>
  <c r="R461" i="8"/>
  <c r="R471" i="8"/>
  <c r="R482" i="8"/>
  <c r="R493" i="8"/>
  <c r="R503" i="8"/>
  <c r="R514" i="8"/>
  <c r="R525" i="8"/>
  <c r="R535" i="8"/>
  <c r="R546" i="8"/>
  <c r="R557" i="8"/>
  <c r="R567" i="8"/>
  <c r="R578" i="8"/>
  <c r="R587" i="8"/>
  <c r="R595" i="8"/>
  <c r="R603" i="8"/>
  <c r="R611" i="8"/>
  <c r="R619" i="8"/>
  <c r="R627" i="8"/>
  <c r="R635" i="8"/>
  <c r="R643" i="8"/>
  <c r="R651" i="8"/>
  <c r="R659" i="8"/>
  <c r="R667" i="8"/>
  <c r="R675" i="8"/>
  <c r="R683" i="8"/>
  <c r="R691" i="8"/>
  <c r="R699" i="8"/>
  <c r="R707" i="8"/>
  <c r="R715" i="8"/>
  <c r="R723" i="8"/>
  <c r="R731" i="8"/>
  <c r="R739" i="8"/>
  <c r="R747" i="8"/>
  <c r="R54" i="8"/>
  <c r="R74" i="8"/>
  <c r="R95" i="8"/>
  <c r="R118" i="8"/>
  <c r="R138" i="8"/>
  <c r="R159" i="8"/>
  <c r="R182" i="8"/>
  <c r="R202" i="8"/>
  <c r="R223" i="8"/>
  <c r="R246" i="8"/>
  <c r="R266" i="8"/>
  <c r="R287" i="8"/>
  <c r="R310" i="8"/>
  <c r="R330" i="8"/>
  <c r="R351" i="8"/>
  <c r="R374" i="8"/>
  <c r="R390" i="8"/>
  <c r="R406" i="8"/>
  <c r="R422" i="8"/>
  <c r="R438" i="8"/>
  <c r="R451" i="8"/>
  <c r="R462" i="8"/>
  <c r="R473" i="8"/>
  <c r="R483" i="8"/>
  <c r="R494" i="8"/>
  <c r="R505" i="8"/>
  <c r="R515" i="8"/>
  <c r="R526" i="8"/>
  <c r="R537" i="8"/>
  <c r="R547" i="8"/>
  <c r="R558" i="8"/>
  <c r="R569" i="8"/>
  <c r="R579" i="8"/>
  <c r="R588" i="8"/>
  <c r="R596" i="8"/>
  <c r="R604" i="8"/>
  <c r="R612" i="8"/>
  <c r="R620" i="8"/>
  <c r="R628" i="8"/>
  <c r="R636" i="8"/>
  <c r="R644" i="8"/>
  <c r="R652" i="8"/>
  <c r="R660" i="8"/>
  <c r="R668" i="8"/>
  <c r="R676" i="8"/>
  <c r="R684" i="8"/>
  <c r="R692" i="8"/>
  <c r="R700" i="8"/>
  <c r="R708" i="8"/>
  <c r="R716" i="8"/>
  <c r="R724" i="8"/>
  <c r="R732" i="8"/>
  <c r="R740" i="8"/>
  <c r="R748" i="8"/>
  <c r="R55" i="8"/>
  <c r="R226" i="8"/>
  <c r="R391" i="8"/>
  <c r="R495" i="8"/>
  <c r="R581" i="8"/>
  <c r="R645" i="8"/>
  <c r="R709" i="8"/>
  <c r="G57" i="8"/>
  <c r="G65" i="8"/>
  <c r="G73" i="8"/>
  <c r="G81" i="8"/>
  <c r="G89" i="8"/>
  <c r="G97" i="8"/>
  <c r="G105" i="8"/>
  <c r="G113" i="8"/>
  <c r="G121" i="8"/>
  <c r="G129" i="8"/>
  <c r="G137" i="8"/>
  <c r="G145" i="8"/>
  <c r="G153" i="8"/>
  <c r="G161" i="8"/>
  <c r="G169" i="8"/>
  <c r="G177" i="8"/>
  <c r="G185" i="8"/>
  <c r="G193" i="8"/>
  <c r="G201" i="8"/>
  <c r="G209" i="8"/>
  <c r="G217" i="8"/>
  <c r="G225" i="8"/>
  <c r="G233" i="8"/>
  <c r="G241" i="8"/>
  <c r="G249" i="8"/>
  <c r="G257" i="8"/>
  <c r="G265" i="8"/>
  <c r="G273" i="8"/>
  <c r="G281" i="8"/>
  <c r="G289" i="8"/>
  <c r="G297" i="8"/>
  <c r="G305" i="8"/>
  <c r="G313" i="8"/>
  <c r="G321" i="8"/>
  <c r="G329" i="8"/>
  <c r="G337" i="8"/>
  <c r="G345" i="8"/>
  <c r="G353" i="8"/>
  <c r="G361" i="8"/>
  <c r="G369" i="8"/>
  <c r="G377" i="8"/>
  <c r="G385" i="8"/>
  <c r="G393" i="8"/>
  <c r="G401" i="8"/>
  <c r="G409" i="8"/>
  <c r="G417" i="8"/>
  <c r="G425" i="8"/>
  <c r="G433" i="8"/>
  <c r="G441" i="8"/>
  <c r="G449" i="8"/>
  <c r="G457" i="8"/>
  <c r="G465" i="8"/>
  <c r="R78" i="8"/>
  <c r="R247" i="8"/>
  <c r="R407" i="8"/>
  <c r="R506" i="8"/>
  <c r="R589" i="8"/>
  <c r="R653" i="8"/>
  <c r="R717" i="8"/>
  <c r="R98" i="8"/>
  <c r="R270" i="8"/>
  <c r="R423" i="8"/>
  <c r="R517" i="8"/>
  <c r="R597" i="8"/>
  <c r="R661" i="8"/>
  <c r="R725" i="8"/>
  <c r="R119" i="8"/>
  <c r="R290" i="8"/>
  <c r="R439" i="8"/>
  <c r="R527" i="8"/>
  <c r="R605" i="8"/>
  <c r="R669" i="8"/>
  <c r="R733" i="8"/>
  <c r="G60" i="8"/>
  <c r="G68" i="8"/>
  <c r="G76" i="8"/>
  <c r="G84" i="8"/>
  <c r="G92" i="8"/>
  <c r="G100" i="8"/>
  <c r="G108" i="8"/>
  <c r="G116" i="8"/>
  <c r="G124" i="8"/>
  <c r="G132" i="8"/>
  <c r="G140" i="8"/>
  <c r="G148" i="8"/>
  <c r="G156" i="8"/>
  <c r="G164" i="8"/>
  <c r="G172" i="8"/>
  <c r="G180" i="8"/>
  <c r="G188" i="8"/>
  <c r="G196" i="8"/>
  <c r="G204" i="8"/>
  <c r="G212" i="8"/>
  <c r="G220" i="8"/>
  <c r="G228" i="8"/>
  <c r="G236" i="8"/>
  <c r="G244" i="8"/>
  <c r="G252" i="8"/>
  <c r="G260" i="8"/>
  <c r="G268" i="8"/>
  <c r="G276" i="8"/>
  <c r="G284" i="8"/>
  <c r="G292" i="8"/>
  <c r="G300" i="8"/>
  <c r="G308" i="8"/>
  <c r="G316" i="8"/>
  <c r="G324" i="8"/>
  <c r="G332" i="8"/>
  <c r="G340" i="8"/>
  <c r="G348" i="8"/>
  <c r="G356" i="8"/>
  <c r="G364" i="8"/>
  <c r="G372" i="8"/>
  <c r="G380" i="8"/>
  <c r="G388" i="8"/>
  <c r="G396" i="8"/>
  <c r="G404" i="8"/>
  <c r="G412" i="8"/>
  <c r="G420" i="8"/>
  <c r="G428" i="8"/>
  <c r="G436" i="8"/>
  <c r="G444" i="8"/>
  <c r="G452" i="8"/>
  <c r="G460" i="8"/>
  <c r="G468" i="8"/>
  <c r="G476" i="8"/>
  <c r="G484" i="8"/>
  <c r="G492" i="8"/>
  <c r="G500" i="8"/>
  <c r="G508" i="8"/>
  <c r="G516" i="8"/>
  <c r="G524" i="8"/>
  <c r="G532" i="8"/>
  <c r="G540" i="8"/>
  <c r="R142" i="8"/>
  <c r="R311" i="8"/>
  <c r="R453" i="8"/>
  <c r="R538" i="8"/>
  <c r="R613" i="8"/>
  <c r="R677" i="8"/>
  <c r="R741" i="8"/>
  <c r="G53" i="8"/>
  <c r="G61" i="8"/>
  <c r="G69" i="8"/>
  <c r="G77" i="8"/>
  <c r="G85" i="8"/>
  <c r="G93" i="8"/>
  <c r="G101" i="8"/>
  <c r="G109" i="8"/>
  <c r="G117" i="8"/>
  <c r="G125" i="8"/>
  <c r="G133" i="8"/>
  <c r="G141" i="8"/>
  <c r="G149" i="8"/>
  <c r="G157" i="8"/>
  <c r="G165" i="8"/>
  <c r="G173" i="8"/>
  <c r="G181" i="8"/>
  <c r="G189" i="8"/>
  <c r="G197" i="8"/>
  <c r="G205" i="8"/>
  <c r="G213" i="8"/>
  <c r="G221" i="8"/>
  <c r="G229" i="8"/>
  <c r="G237" i="8"/>
  <c r="G245" i="8"/>
  <c r="G253" i="8"/>
  <c r="G261" i="8"/>
  <c r="G269" i="8"/>
  <c r="G277" i="8"/>
  <c r="G285" i="8"/>
  <c r="G293" i="8"/>
  <c r="G301" i="8"/>
  <c r="G309" i="8"/>
  <c r="G317" i="8"/>
  <c r="G325" i="8"/>
  <c r="G333" i="8"/>
  <c r="G341" i="8"/>
  <c r="G349" i="8"/>
  <c r="G357" i="8"/>
  <c r="G365" i="8"/>
  <c r="G373" i="8"/>
  <c r="G381" i="8"/>
  <c r="G389" i="8"/>
  <c r="G397" i="8"/>
  <c r="G405" i="8"/>
  <c r="G413" i="8"/>
  <c r="G421" i="8"/>
  <c r="G429" i="8"/>
  <c r="R162" i="8"/>
  <c r="R334" i="8"/>
  <c r="R463" i="8"/>
  <c r="R549" i="8"/>
  <c r="R621" i="8"/>
  <c r="R685" i="8"/>
  <c r="R749" i="8"/>
  <c r="G54" i="8"/>
  <c r="G62" i="8"/>
  <c r="G70" i="8"/>
  <c r="G78" i="8"/>
  <c r="G86" i="8"/>
  <c r="G94" i="8"/>
  <c r="G102" i="8"/>
  <c r="G110" i="8"/>
  <c r="G118" i="8"/>
  <c r="G126" i="8"/>
  <c r="G134" i="8"/>
  <c r="G142" i="8"/>
  <c r="G150" i="8"/>
  <c r="G158" i="8"/>
  <c r="G166" i="8"/>
  <c r="G174" i="8"/>
  <c r="G182" i="8"/>
  <c r="G190" i="8"/>
  <c r="G198" i="8"/>
  <c r="G206" i="8"/>
  <c r="G214" i="8"/>
  <c r="G222" i="8"/>
  <c r="G230" i="8"/>
  <c r="G238" i="8"/>
  <c r="G246" i="8"/>
  <c r="G254" i="8"/>
  <c r="G262" i="8"/>
  <c r="G270" i="8"/>
  <c r="G278" i="8"/>
  <c r="G286" i="8"/>
  <c r="G294" i="8"/>
  <c r="G302" i="8"/>
  <c r="G310" i="8"/>
  <c r="G318" i="8"/>
  <c r="G326" i="8"/>
  <c r="G334" i="8"/>
  <c r="G342" i="8"/>
  <c r="G350" i="8"/>
  <c r="G358" i="8"/>
  <c r="G366" i="8"/>
  <c r="G374" i="8"/>
  <c r="G382" i="8"/>
  <c r="G390" i="8"/>
  <c r="G398" i="8"/>
  <c r="G406" i="8"/>
  <c r="G414" i="8"/>
  <c r="G422" i="8"/>
  <c r="G430" i="8"/>
  <c r="G438" i="8"/>
  <c r="G446" i="8"/>
  <c r="G454" i="8"/>
  <c r="G462" i="8"/>
  <c r="G470" i="8"/>
  <c r="R183" i="8"/>
  <c r="R354" i="8"/>
  <c r="R474" i="8"/>
  <c r="R559" i="8"/>
  <c r="R629" i="8"/>
  <c r="R693" i="8"/>
  <c r="G55" i="8"/>
  <c r="G63" i="8"/>
  <c r="G71" i="8"/>
  <c r="G79" i="8"/>
  <c r="G87" i="8"/>
  <c r="G95" i="8"/>
  <c r="G103" i="8"/>
  <c r="G111" i="8"/>
  <c r="G119" i="8"/>
  <c r="G127" i="8"/>
  <c r="G135" i="8"/>
  <c r="G143" i="8"/>
  <c r="G151" i="8"/>
  <c r="G159" i="8"/>
  <c r="G167" i="8"/>
  <c r="G175" i="8"/>
  <c r="G183" i="8"/>
  <c r="G191" i="8"/>
  <c r="G199" i="8"/>
  <c r="G207" i="8"/>
  <c r="G215" i="8"/>
  <c r="G223" i="8"/>
  <c r="G231" i="8"/>
  <c r="G239" i="8"/>
  <c r="G247" i="8"/>
  <c r="G255" i="8"/>
  <c r="G263" i="8"/>
  <c r="G271" i="8"/>
  <c r="G279" i="8"/>
  <c r="G287" i="8"/>
  <c r="G295" i="8"/>
  <c r="G303" i="8"/>
  <c r="G311" i="8"/>
  <c r="G319" i="8"/>
  <c r="G327" i="8"/>
  <c r="G335" i="8"/>
  <c r="G343" i="8"/>
  <c r="G351" i="8"/>
  <c r="G359" i="8"/>
  <c r="G367" i="8"/>
  <c r="G375" i="8"/>
  <c r="G383" i="8"/>
  <c r="G391" i="8"/>
  <c r="G399" i="8"/>
  <c r="G407" i="8"/>
  <c r="G415" i="8"/>
  <c r="G423" i="8"/>
  <c r="G431" i="8"/>
  <c r="G439" i="8"/>
  <c r="G447" i="8"/>
  <c r="G455" i="8"/>
  <c r="G463" i="8"/>
  <c r="G471" i="8"/>
  <c r="G479" i="8"/>
  <c r="G487" i="8"/>
  <c r="G495" i="8"/>
  <c r="G503" i="8"/>
  <c r="G511" i="8"/>
  <c r="G519" i="8"/>
  <c r="G527" i="8"/>
  <c r="G535" i="8"/>
  <c r="G543" i="8"/>
  <c r="G58" i="8"/>
  <c r="G80" i="8"/>
  <c r="G99" i="8"/>
  <c r="G122" i="8"/>
  <c r="G144" i="8"/>
  <c r="G163" i="8"/>
  <c r="G186" i="8"/>
  <c r="G208" i="8"/>
  <c r="G227" i="8"/>
  <c r="G250" i="8"/>
  <c r="G272" i="8"/>
  <c r="G291" i="8"/>
  <c r="G314" i="8"/>
  <c r="G336" i="8"/>
  <c r="G355" i="8"/>
  <c r="G378" i="8"/>
  <c r="G400" i="8"/>
  <c r="G419" i="8"/>
  <c r="G440" i="8"/>
  <c r="G456" i="8"/>
  <c r="G472" i="8"/>
  <c r="G482" i="8"/>
  <c r="G493" i="8"/>
  <c r="G504" i="8"/>
  <c r="G514" i="8"/>
  <c r="G525" i="8"/>
  <c r="G536" i="8"/>
  <c r="G546" i="8"/>
  <c r="G554" i="8"/>
  <c r="G562" i="8"/>
  <c r="G570" i="8"/>
  <c r="G578" i="8"/>
  <c r="G586" i="8"/>
  <c r="G594" i="8"/>
  <c r="G602" i="8"/>
  <c r="G610" i="8"/>
  <c r="G618" i="8"/>
  <c r="G626" i="8"/>
  <c r="G634" i="8"/>
  <c r="G642" i="8"/>
  <c r="G650" i="8"/>
  <c r="G658" i="8"/>
  <c r="G666" i="8"/>
  <c r="G674" i="8"/>
  <c r="G682" i="8"/>
  <c r="G690" i="8"/>
  <c r="G698" i="8"/>
  <c r="G706" i="8"/>
  <c r="G714" i="8"/>
  <c r="G722" i="8"/>
  <c r="G730" i="8"/>
  <c r="G738" i="8"/>
  <c r="G746" i="8"/>
  <c r="G59" i="8"/>
  <c r="G82" i="8"/>
  <c r="G104" i="8"/>
  <c r="G123" i="8"/>
  <c r="G146" i="8"/>
  <c r="G168" i="8"/>
  <c r="G187" i="8"/>
  <c r="G210" i="8"/>
  <c r="G232" i="8"/>
  <c r="G251" i="8"/>
  <c r="G274" i="8"/>
  <c r="G296" i="8"/>
  <c r="G315" i="8"/>
  <c r="G338" i="8"/>
  <c r="G360" i="8"/>
  <c r="G379" i="8"/>
  <c r="G402" i="8"/>
  <c r="G424" i="8"/>
  <c r="G442" i="8"/>
  <c r="G458" i="8"/>
  <c r="G473" i="8"/>
  <c r="G483" i="8"/>
  <c r="G494" i="8"/>
  <c r="G505" i="8"/>
  <c r="G515" i="8"/>
  <c r="G526" i="8"/>
  <c r="G537" i="8"/>
  <c r="G547" i="8"/>
  <c r="G555" i="8"/>
  <c r="G563" i="8"/>
  <c r="G571" i="8"/>
  <c r="G579" i="8"/>
  <c r="G587" i="8"/>
  <c r="G595" i="8"/>
  <c r="G603" i="8"/>
  <c r="G611" i="8"/>
  <c r="G619" i="8"/>
  <c r="G627" i="8"/>
  <c r="G635" i="8"/>
  <c r="G643" i="8"/>
  <c r="G651" i="8"/>
  <c r="G659" i="8"/>
  <c r="G667" i="8"/>
  <c r="G675" i="8"/>
  <c r="G683" i="8"/>
  <c r="G691" i="8"/>
  <c r="G699" i="8"/>
  <c r="G707" i="8"/>
  <c r="G715" i="8"/>
  <c r="G723" i="8"/>
  <c r="G731" i="8"/>
  <c r="G739" i="8"/>
  <c r="G747" i="8"/>
  <c r="G75" i="8"/>
  <c r="G120" i="8"/>
  <c r="G162" i="8"/>
  <c r="G203" i="8"/>
  <c r="G248" i="8"/>
  <c r="G331" i="8"/>
  <c r="G376" i="8"/>
  <c r="G418" i="8"/>
  <c r="G453" i="8"/>
  <c r="G481" i="8"/>
  <c r="G502" i="8"/>
  <c r="G553" i="8"/>
  <c r="G569" i="8"/>
  <c r="G585" i="8"/>
  <c r="G601" i="8"/>
  <c r="G617" i="8"/>
  <c r="G649" i="8"/>
  <c r="G665" i="8"/>
  <c r="G681" i="8"/>
  <c r="G705" i="8"/>
  <c r="G729" i="8"/>
  <c r="G52" i="8"/>
  <c r="R206" i="8"/>
  <c r="G64" i="8"/>
  <c r="G83" i="8"/>
  <c r="G106" i="8"/>
  <c r="G128" i="8"/>
  <c r="G147" i="8"/>
  <c r="G170" i="8"/>
  <c r="G192" i="8"/>
  <c r="G211" i="8"/>
  <c r="G234" i="8"/>
  <c r="G256" i="8"/>
  <c r="G275" i="8"/>
  <c r="G298" i="8"/>
  <c r="G320" i="8"/>
  <c r="G339" i="8"/>
  <c r="G362" i="8"/>
  <c r="G384" i="8"/>
  <c r="G403" i="8"/>
  <c r="G426" i="8"/>
  <c r="G443" i="8"/>
  <c r="G459" i="8"/>
  <c r="G474" i="8"/>
  <c r="G485" i="8"/>
  <c r="G496" i="8"/>
  <c r="G506" i="8"/>
  <c r="G517" i="8"/>
  <c r="G528" i="8"/>
  <c r="G538" i="8"/>
  <c r="G548" i="8"/>
  <c r="G556" i="8"/>
  <c r="G564" i="8"/>
  <c r="G572" i="8"/>
  <c r="G580" i="8"/>
  <c r="G588" i="8"/>
  <c r="G596" i="8"/>
  <c r="G604" i="8"/>
  <c r="G612" i="8"/>
  <c r="G620" i="8"/>
  <c r="G628" i="8"/>
  <c r="G636" i="8"/>
  <c r="G644" i="8"/>
  <c r="G652" i="8"/>
  <c r="G660" i="8"/>
  <c r="G668" i="8"/>
  <c r="G676" i="8"/>
  <c r="G684" i="8"/>
  <c r="G692" i="8"/>
  <c r="G700" i="8"/>
  <c r="G708" i="8"/>
  <c r="G716" i="8"/>
  <c r="G724" i="8"/>
  <c r="G732" i="8"/>
  <c r="G740" i="8"/>
  <c r="G748" i="8"/>
  <c r="G523" i="8"/>
  <c r="G745" i="8"/>
  <c r="R375" i="8"/>
  <c r="G66" i="8"/>
  <c r="G88" i="8"/>
  <c r="G107" i="8"/>
  <c r="G130" i="8"/>
  <c r="G152" i="8"/>
  <c r="G171" i="8"/>
  <c r="G194" i="8"/>
  <c r="G216" i="8"/>
  <c r="G235" i="8"/>
  <c r="G258" i="8"/>
  <c r="G280" i="8"/>
  <c r="G299" i="8"/>
  <c r="G322" i="8"/>
  <c r="G344" i="8"/>
  <c r="G363" i="8"/>
  <c r="G386" i="8"/>
  <c r="G408" i="8"/>
  <c r="G427" i="8"/>
  <c r="G445" i="8"/>
  <c r="G461" i="8"/>
  <c r="G475" i="8"/>
  <c r="G486" i="8"/>
  <c r="G497" i="8"/>
  <c r="G507" i="8"/>
  <c r="G518" i="8"/>
  <c r="G529" i="8"/>
  <c r="G539" i="8"/>
  <c r="G549" i="8"/>
  <c r="G557" i="8"/>
  <c r="G565" i="8"/>
  <c r="G573" i="8"/>
  <c r="G581" i="8"/>
  <c r="G589" i="8"/>
  <c r="G597" i="8"/>
  <c r="G605" i="8"/>
  <c r="G613" i="8"/>
  <c r="G621" i="8"/>
  <c r="G629" i="8"/>
  <c r="G637" i="8"/>
  <c r="G645" i="8"/>
  <c r="G653" i="8"/>
  <c r="G661" i="8"/>
  <c r="G669" i="8"/>
  <c r="G677" i="8"/>
  <c r="G685" i="8"/>
  <c r="G693" i="8"/>
  <c r="G701" i="8"/>
  <c r="G709" i="8"/>
  <c r="G717" i="8"/>
  <c r="G725" i="8"/>
  <c r="G733" i="8"/>
  <c r="G741" i="8"/>
  <c r="G749" i="8"/>
  <c r="G56" i="8"/>
  <c r="G98" i="8"/>
  <c r="G139" i="8"/>
  <c r="G184" i="8"/>
  <c r="G226" i="8"/>
  <c r="G312" i="8"/>
  <c r="G354" i="8"/>
  <c r="G395" i="8"/>
  <c r="G437" i="8"/>
  <c r="G469" i="8"/>
  <c r="G491" i="8"/>
  <c r="G513" i="8"/>
  <c r="G561" i="8"/>
  <c r="G577" i="8"/>
  <c r="G593" i="8"/>
  <c r="G609" i="8"/>
  <c r="G641" i="8"/>
  <c r="G657" i="8"/>
  <c r="G673" i="8"/>
  <c r="G689" i="8"/>
  <c r="G721" i="8"/>
  <c r="G737" i="8"/>
  <c r="R485" i="8"/>
  <c r="G67" i="8"/>
  <c r="G90" i="8"/>
  <c r="G112" i="8"/>
  <c r="G131" i="8"/>
  <c r="G154" i="8"/>
  <c r="G176" i="8"/>
  <c r="G195" i="8"/>
  <c r="G218" i="8"/>
  <c r="G240" i="8"/>
  <c r="G259" i="8"/>
  <c r="G282" i="8"/>
  <c r="G304" i="8"/>
  <c r="G323" i="8"/>
  <c r="G346" i="8"/>
  <c r="G368" i="8"/>
  <c r="G387" i="8"/>
  <c r="G410" i="8"/>
  <c r="G432" i="8"/>
  <c r="G448" i="8"/>
  <c r="G464" i="8"/>
  <c r="G477" i="8"/>
  <c r="G488" i="8"/>
  <c r="G498" i="8"/>
  <c r="G509" i="8"/>
  <c r="G520" i="8"/>
  <c r="G530" i="8"/>
  <c r="G541" i="8"/>
  <c r="G550" i="8"/>
  <c r="G558" i="8"/>
  <c r="G566" i="8"/>
  <c r="G574" i="8"/>
  <c r="G582" i="8"/>
  <c r="G590" i="8"/>
  <c r="G598" i="8"/>
  <c r="G606" i="8"/>
  <c r="G614" i="8"/>
  <c r="G622" i="8"/>
  <c r="G630" i="8"/>
  <c r="G638" i="8"/>
  <c r="G646" i="8"/>
  <c r="G654" i="8"/>
  <c r="G662" i="8"/>
  <c r="G670" i="8"/>
  <c r="G678" i="8"/>
  <c r="G686" i="8"/>
  <c r="G694" i="8"/>
  <c r="G702" i="8"/>
  <c r="G710" i="8"/>
  <c r="G718" i="8"/>
  <c r="G726" i="8"/>
  <c r="G734" i="8"/>
  <c r="G742" i="8"/>
  <c r="G750" i="8"/>
  <c r="R570" i="8"/>
  <c r="G72" i="8"/>
  <c r="G91" i="8"/>
  <c r="G114" i="8"/>
  <c r="G136" i="8"/>
  <c r="G155" i="8"/>
  <c r="G178" i="8"/>
  <c r="G200" i="8"/>
  <c r="G219" i="8"/>
  <c r="G242" i="8"/>
  <c r="G264" i="8"/>
  <c r="G283" i="8"/>
  <c r="G306" i="8"/>
  <c r="G328" i="8"/>
  <c r="G347" i="8"/>
  <c r="G370" i="8"/>
  <c r="G392" i="8"/>
  <c r="G411" i="8"/>
  <c r="G434" i="8"/>
  <c r="G450" i="8"/>
  <c r="G466" i="8"/>
  <c r="G478" i="8"/>
  <c r="G489" i="8"/>
  <c r="G499" i="8"/>
  <c r="G510" i="8"/>
  <c r="G521" i="8"/>
  <c r="G531" i="8"/>
  <c r="G542" i="8"/>
  <c r="G551" i="8"/>
  <c r="G559" i="8"/>
  <c r="G567" i="8"/>
  <c r="G575" i="8"/>
  <c r="G583" i="8"/>
  <c r="G591" i="8"/>
  <c r="G599" i="8"/>
  <c r="G607" i="8"/>
  <c r="G615" i="8"/>
  <c r="G623" i="8"/>
  <c r="G631" i="8"/>
  <c r="G639" i="8"/>
  <c r="G647" i="8"/>
  <c r="G655" i="8"/>
  <c r="G663" i="8"/>
  <c r="G671" i="8"/>
  <c r="G679" i="8"/>
  <c r="G687" i="8"/>
  <c r="G695" i="8"/>
  <c r="G703" i="8"/>
  <c r="G711" i="8"/>
  <c r="G719" i="8"/>
  <c r="G727" i="8"/>
  <c r="G735" i="8"/>
  <c r="G743" i="8"/>
  <c r="G751" i="8"/>
  <c r="G267" i="8"/>
  <c r="G534" i="8"/>
  <c r="G633" i="8"/>
  <c r="G713" i="8"/>
  <c r="R637" i="8"/>
  <c r="G74" i="8"/>
  <c r="G96" i="8"/>
  <c r="G115" i="8"/>
  <c r="G138" i="8"/>
  <c r="G160" i="8"/>
  <c r="G179" i="8"/>
  <c r="G202" i="8"/>
  <c r="G224" i="8"/>
  <c r="G243" i="8"/>
  <c r="G266" i="8"/>
  <c r="G288" i="8"/>
  <c r="G307" i="8"/>
  <c r="G330" i="8"/>
  <c r="G352" i="8"/>
  <c r="G371" i="8"/>
  <c r="G394" i="8"/>
  <c r="G416" i="8"/>
  <c r="G435" i="8"/>
  <c r="G451" i="8"/>
  <c r="G467" i="8"/>
  <c r="G480" i="8"/>
  <c r="G490" i="8"/>
  <c r="G501" i="8"/>
  <c r="G512" i="8"/>
  <c r="G522" i="8"/>
  <c r="G533" i="8"/>
  <c r="G544" i="8"/>
  <c r="G552" i="8"/>
  <c r="G560" i="8"/>
  <c r="G568" i="8"/>
  <c r="G576" i="8"/>
  <c r="G584" i="8"/>
  <c r="G592" i="8"/>
  <c r="G600" i="8"/>
  <c r="G608" i="8"/>
  <c r="G616" i="8"/>
  <c r="G624" i="8"/>
  <c r="G632" i="8"/>
  <c r="G640" i="8"/>
  <c r="G648" i="8"/>
  <c r="G656" i="8"/>
  <c r="G664" i="8"/>
  <c r="G672" i="8"/>
  <c r="G680" i="8"/>
  <c r="G688" i="8"/>
  <c r="G696" i="8"/>
  <c r="G704" i="8"/>
  <c r="G712" i="8"/>
  <c r="G720" i="8"/>
  <c r="G728" i="8"/>
  <c r="G736" i="8"/>
  <c r="G744" i="8"/>
  <c r="G752" i="8"/>
  <c r="R701" i="8"/>
  <c r="G290" i="8"/>
  <c r="G545" i="8"/>
  <c r="G625" i="8"/>
  <c r="G697" i="8"/>
  <c r="V55" i="8"/>
  <c r="V63" i="8"/>
  <c r="V71" i="8"/>
  <c r="V79" i="8"/>
  <c r="V87" i="8"/>
  <c r="V95" i="8"/>
  <c r="V103" i="8"/>
  <c r="V111" i="8"/>
  <c r="V119" i="8"/>
  <c r="V127" i="8"/>
  <c r="V135" i="8"/>
  <c r="V143" i="8"/>
  <c r="V151" i="8"/>
  <c r="V159" i="8"/>
  <c r="V167" i="8"/>
  <c r="V175" i="8"/>
  <c r="V183" i="8"/>
  <c r="V191" i="8"/>
  <c r="V199" i="8"/>
  <c r="V207" i="8"/>
  <c r="V215" i="8"/>
  <c r="V223" i="8"/>
  <c r="V231" i="8"/>
  <c r="V239" i="8"/>
  <c r="V247" i="8"/>
  <c r="V255" i="8"/>
  <c r="V263" i="8"/>
  <c r="V271" i="8"/>
  <c r="V279" i="8"/>
  <c r="V287" i="8"/>
  <c r="V295" i="8"/>
  <c r="V303" i="8"/>
  <c r="V311" i="8"/>
  <c r="V319" i="8"/>
  <c r="V327" i="8"/>
  <c r="V58" i="8"/>
  <c r="V66" i="8"/>
  <c r="V74" i="8"/>
  <c r="V82" i="8"/>
  <c r="V90" i="8"/>
  <c r="V98" i="8"/>
  <c r="V106" i="8"/>
  <c r="V114" i="8"/>
  <c r="V122" i="8"/>
  <c r="V130" i="8"/>
  <c r="V138" i="8"/>
  <c r="V146" i="8"/>
  <c r="V154" i="8"/>
  <c r="V162" i="8"/>
  <c r="V170" i="8"/>
  <c r="V178" i="8"/>
  <c r="V186" i="8"/>
  <c r="V194" i="8"/>
  <c r="V202" i="8"/>
  <c r="V210" i="8"/>
  <c r="V218" i="8"/>
  <c r="V226" i="8"/>
  <c r="V234" i="8"/>
  <c r="V242" i="8"/>
  <c r="V250" i="8"/>
  <c r="V258" i="8"/>
  <c r="V266" i="8"/>
  <c r="V274" i="8"/>
  <c r="V282" i="8"/>
  <c r="V290" i="8"/>
  <c r="V298" i="8"/>
  <c r="V306" i="8"/>
  <c r="V314" i="8"/>
  <c r="V322" i="8"/>
  <c r="V330" i="8"/>
  <c r="V54" i="8"/>
  <c r="V65" i="8"/>
  <c r="V76" i="8"/>
  <c r="V86" i="8"/>
  <c r="V97" i="8"/>
  <c r="V108" i="8"/>
  <c r="V118" i="8"/>
  <c r="V129" i="8"/>
  <c r="V140" i="8"/>
  <c r="V150" i="8"/>
  <c r="V161" i="8"/>
  <c r="V172" i="8"/>
  <c r="V182" i="8"/>
  <c r="V193" i="8"/>
  <c r="V204" i="8"/>
  <c r="V214" i="8"/>
  <c r="V225" i="8"/>
  <c r="V236" i="8"/>
  <c r="V246" i="8"/>
  <c r="V257" i="8"/>
  <c r="V268" i="8"/>
  <c r="V278" i="8"/>
  <c r="V289" i="8"/>
  <c r="V300" i="8"/>
  <c r="V310" i="8"/>
  <c r="V321" i="8"/>
  <c r="V332" i="8"/>
  <c r="V340" i="8"/>
  <c r="V348" i="8"/>
  <c r="V356" i="8"/>
  <c r="V364" i="8"/>
  <c r="V372" i="8"/>
  <c r="V380" i="8"/>
  <c r="V388" i="8"/>
  <c r="V396" i="8"/>
  <c r="V404" i="8"/>
  <c r="V412" i="8"/>
  <c r="V420" i="8"/>
  <c r="V428" i="8"/>
  <c r="V436" i="8"/>
  <c r="V444" i="8"/>
  <c r="V452" i="8"/>
  <c r="V460" i="8"/>
  <c r="V468" i="8"/>
  <c r="V476" i="8"/>
  <c r="V484" i="8"/>
  <c r="V492" i="8"/>
  <c r="V500" i="8"/>
  <c r="V508" i="8"/>
  <c r="V516" i="8"/>
  <c r="V524" i="8"/>
  <c r="V532" i="8"/>
  <c r="V540" i="8"/>
  <c r="V548" i="8"/>
  <c r="V57" i="8"/>
  <c r="V68" i="8"/>
  <c r="V78" i="8"/>
  <c r="V89" i="8"/>
  <c r="V100" i="8"/>
  <c r="V110" i="8"/>
  <c r="V121" i="8"/>
  <c r="V132" i="8"/>
  <c r="V142" i="8"/>
  <c r="V153" i="8"/>
  <c r="V164" i="8"/>
  <c r="V174" i="8"/>
  <c r="V185" i="8"/>
  <c r="V196" i="8"/>
  <c r="V206" i="8"/>
  <c r="V217" i="8"/>
  <c r="V59" i="8"/>
  <c r="V69" i="8"/>
  <c r="V80" i="8"/>
  <c r="V91" i="8"/>
  <c r="V101" i="8"/>
  <c r="V112" i="8"/>
  <c r="V123" i="8"/>
  <c r="V133" i="8"/>
  <c r="V144" i="8"/>
  <c r="V155" i="8"/>
  <c r="V165" i="8"/>
  <c r="V176" i="8"/>
  <c r="V187" i="8"/>
  <c r="V197" i="8"/>
  <c r="V208" i="8"/>
  <c r="V219" i="8"/>
  <c r="V229" i="8"/>
  <c r="V240" i="8"/>
  <c r="V251" i="8"/>
  <c r="V261" i="8"/>
  <c r="V272" i="8"/>
  <c r="V283" i="8"/>
  <c r="V293" i="8"/>
  <c r="V304" i="8"/>
  <c r="V315" i="8"/>
  <c r="V325" i="8"/>
  <c r="V335" i="8"/>
  <c r="V343" i="8"/>
  <c r="V351" i="8"/>
  <c r="V359" i="8"/>
  <c r="V367" i="8"/>
  <c r="V375" i="8"/>
  <c r="V383" i="8"/>
  <c r="V391" i="8"/>
  <c r="V399" i="8"/>
  <c r="V407" i="8"/>
  <c r="V415" i="8"/>
  <c r="V423" i="8"/>
  <c r="V431" i="8"/>
  <c r="V439" i="8"/>
  <c r="V447" i="8"/>
  <c r="V455" i="8"/>
  <c r="V463" i="8"/>
  <c r="V471" i="8"/>
  <c r="V479" i="8"/>
  <c r="V487" i="8"/>
  <c r="V495" i="8"/>
  <c r="V503" i="8"/>
  <c r="V511" i="8"/>
  <c r="V519" i="8"/>
  <c r="V527" i="8"/>
  <c r="V535" i="8"/>
  <c r="V543" i="8"/>
  <c r="V67" i="8"/>
  <c r="V84" i="8"/>
  <c r="V102" i="8"/>
  <c r="V117" i="8"/>
  <c r="V136" i="8"/>
  <c r="V152" i="8"/>
  <c r="V169" i="8"/>
  <c r="V188" i="8"/>
  <c r="V203" i="8"/>
  <c r="V221" i="8"/>
  <c r="V235" i="8"/>
  <c r="V249" i="8"/>
  <c r="V264" i="8"/>
  <c r="V277" i="8"/>
  <c r="V292" i="8"/>
  <c r="V307" i="8"/>
  <c r="V320" i="8"/>
  <c r="V334" i="8"/>
  <c r="V345" i="8"/>
  <c r="V355" i="8"/>
  <c r="V366" i="8"/>
  <c r="V377" i="8"/>
  <c r="V387" i="8"/>
  <c r="V398" i="8"/>
  <c r="V409" i="8"/>
  <c r="V419" i="8"/>
  <c r="V430" i="8"/>
  <c r="V441" i="8"/>
  <c r="V451" i="8"/>
  <c r="V462" i="8"/>
  <c r="V473" i="8"/>
  <c r="V483" i="8"/>
  <c r="V494" i="8"/>
  <c r="V505" i="8"/>
  <c r="V515" i="8"/>
  <c r="V526" i="8"/>
  <c r="V537" i="8"/>
  <c r="V547" i="8"/>
  <c r="V556" i="8"/>
  <c r="V564" i="8"/>
  <c r="V572" i="8"/>
  <c r="V580" i="8"/>
  <c r="V588" i="8"/>
  <c r="V596" i="8"/>
  <c r="V604" i="8"/>
  <c r="V612" i="8"/>
  <c r="V620" i="8"/>
  <c r="V628" i="8"/>
  <c r="V636" i="8"/>
  <c r="V644" i="8"/>
  <c r="V652" i="8"/>
  <c r="V70" i="8"/>
  <c r="V85" i="8"/>
  <c r="V104" i="8"/>
  <c r="V120" i="8"/>
  <c r="V137" i="8"/>
  <c r="V156" i="8"/>
  <c r="V171" i="8"/>
  <c r="V189" i="8"/>
  <c r="V205" i="8"/>
  <c r="V222" i="8"/>
  <c r="V237" i="8"/>
  <c r="V252" i="8"/>
  <c r="V265" i="8"/>
  <c r="V280" i="8"/>
  <c r="V294" i="8"/>
  <c r="V308" i="8"/>
  <c r="V323" i="8"/>
  <c r="V336" i="8"/>
  <c r="V346" i="8"/>
  <c r="V357" i="8"/>
  <c r="V368" i="8"/>
  <c r="V378" i="8"/>
  <c r="V389" i="8"/>
  <c r="V400" i="8"/>
  <c r="V410" i="8"/>
  <c r="V421" i="8"/>
  <c r="V432" i="8"/>
  <c r="V442" i="8"/>
  <c r="V453" i="8"/>
  <c r="V464" i="8"/>
  <c r="V474" i="8"/>
  <c r="V485" i="8"/>
  <c r="V496" i="8"/>
  <c r="V506" i="8"/>
  <c r="V517" i="8"/>
  <c r="V528" i="8"/>
  <c r="V538" i="8"/>
  <c r="V549" i="8"/>
  <c r="V557" i="8"/>
  <c r="V565" i="8"/>
  <c r="V573" i="8"/>
  <c r="V581" i="8"/>
  <c r="V589" i="8"/>
  <c r="V597" i="8"/>
  <c r="V605" i="8"/>
  <c r="V613" i="8"/>
  <c r="V621" i="8"/>
  <c r="V629" i="8"/>
  <c r="V637" i="8"/>
  <c r="V645" i="8"/>
  <c r="V56" i="8"/>
  <c r="V73" i="8"/>
  <c r="V92" i="8"/>
  <c r="V107" i="8"/>
  <c r="V125" i="8"/>
  <c r="V141" i="8"/>
  <c r="V158" i="8"/>
  <c r="V177" i="8"/>
  <c r="V192" i="8"/>
  <c r="V211" i="8"/>
  <c r="V227" i="8"/>
  <c r="V241" i="8"/>
  <c r="V254" i="8"/>
  <c r="V269" i="8"/>
  <c r="V284" i="8"/>
  <c r="V297" i="8"/>
  <c r="V312" i="8"/>
  <c r="V326" i="8"/>
  <c r="V338" i="8"/>
  <c r="V349" i="8"/>
  <c r="V360" i="8"/>
  <c r="V370" i="8"/>
  <c r="V381" i="8"/>
  <c r="V392" i="8"/>
  <c r="V402" i="8"/>
  <c r="V413" i="8"/>
  <c r="V424" i="8"/>
  <c r="V434" i="8"/>
  <c r="V445" i="8"/>
  <c r="V456" i="8"/>
  <c r="V466" i="8"/>
  <c r="V477" i="8"/>
  <c r="V488" i="8"/>
  <c r="V498" i="8"/>
  <c r="V509" i="8"/>
  <c r="V520" i="8"/>
  <c r="V530" i="8"/>
  <c r="V541" i="8"/>
  <c r="V551" i="8"/>
  <c r="V559" i="8"/>
  <c r="V567" i="8"/>
  <c r="V575" i="8"/>
  <c r="V583" i="8"/>
  <c r="V591" i="8"/>
  <c r="V599" i="8"/>
  <c r="V607" i="8"/>
  <c r="V615" i="8"/>
  <c r="V623" i="8"/>
  <c r="V631" i="8"/>
  <c r="V639" i="8"/>
  <c r="V647" i="8"/>
  <c r="V655" i="8"/>
  <c r="V663" i="8"/>
  <c r="V671" i="8"/>
  <c r="V679" i="8"/>
  <c r="V687" i="8"/>
  <c r="V695" i="8"/>
  <c r="V703" i="8"/>
  <c r="V711" i="8"/>
  <c r="V719" i="8"/>
  <c r="V727" i="8"/>
  <c r="V735" i="8"/>
  <c r="V743" i="8"/>
  <c r="V751" i="8"/>
  <c r="V60" i="8"/>
  <c r="V75" i="8"/>
  <c r="V93" i="8"/>
  <c r="V109" i="8"/>
  <c r="V126" i="8"/>
  <c r="V145" i="8"/>
  <c r="V160" i="8"/>
  <c r="V179" i="8"/>
  <c r="V195" i="8"/>
  <c r="V212" i="8"/>
  <c r="V228" i="8"/>
  <c r="V243" i="8"/>
  <c r="V256" i="8"/>
  <c r="V270" i="8"/>
  <c r="V285" i="8"/>
  <c r="V299" i="8"/>
  <c r="V313" i="8"/>
  <c r="V328" i="8"/>
  <c r="V339" i="8"/>
  <c r="V350" i="8"/>
  <c r="V361" i="8"/>
  <c r="V371" i="8"/>
  <c r="V382" i="8"/>
  <c r="V393" i="8"/>
  <c r="V403" i="8"/>
  <c r="V414" i="8"/>
  <c r="V425" i="8"/>
  <c r="V435" i="8"/>
  <c r="V446" i="8"/>
  <c r="V457" i="8"/>
  <c r="V467" i="8"/>
  <c r="V478" i="8"/>
  <c r="V489" i="8"/>
  <c r="V499" i="8"/>
  <c r="V510" i="8"/>
  <c r="V521" i="8"/>
  <c r="V531" i="8"/>
  <c r="V542" i="8"/>
  <c r="V552" i="8"/>
  <c r="V560" i="8"/>
  <c r="V568" i="8"/>
  <c r="V576" i="8"/>
  <c r="V584" i="8"/>
  <c r="V592" i="8"/>
  <c r="V600" i="8"/>
  <c r="V608" i="8"/>
  <c r="V616" i="8"/>
  <c r="V624" i="8"/>
  <c r="V632" i="8"/>
  <c r="V640" i="8"/>
  <c r="V648" i="8"/>
  <c r="V62" i="8"/>
  <c r="V81" i="8"/>
  <c r="V96" i="8"/>
  <c r="V115" i="8"/>
  <c r="V131" i="8"/>
  <c r="V148" i="8"/>
  <c r="V166" i="8"/>
  <c r="V181" i="8"/>
  <c r="V200" i="8"/>
  <c r="V216" i="8"/>
  <c r="V232" i="8"/>
  <c r="V245" i="8"/>
  <c r="V260" i="8"/>
  <c r="V275" i="8"/>
  <c r="V288" i="8"/>
  <c r="V302" i="8"/>
  <c r="V317" i="8"/>
  <c r="V331" i="8"/>
  <c r="V342" i="8"/>
  <c r="V353" i="8"/>
  <c r="V363" i="8"/>
  <c r="V374" i="8"/>
  <c r="V385" i="8"/>
  <c r="V395" i="8"/>
  <c r="V406" i="8"/>
  <c r="V417" i="8"/>
  <c r="V427" i="8"/>
  <c r="V438" i="8"/>
  <c r="V449" i="8"/>
  <c r="V459" i="8"/>
  <c r="V470" i="8"/>
  <c r="V481" i="8"/>
  <c r="V491" i="8"/>
  <c r="V502" i="8"/>
  <c r="V513" i="8"/>
  <c r="V523" i="8"/>
  <c r="V534" i="8"/>
  <c r="V545" i="8"/>
  <c r="V554" i="8"/>
  <c r="V562" i="8"/>
  <c r="V570" i="8"/>
  <c r="V578" i="8"/>
  <c r="V586" i="8"/>
  <c r="V594" i="8"/>
  <c r="V602" i="8"/>
  <c r="V610" i="8"/>
  <c r="V618" i="8"/>
  <c r="V626" i="8"/>
  <c r="V634" i="8"/>
  <c r="V642" i="8"/>
  <c r="V650" i="8"/>
  <c r="V64" i="8"/>
  <c r="V83" i="8"/>
  <c r="V99" i="8"/>
  <c r="V116" i="8"/>
  <c r="V134" i="8"/>
  <c r="V149" i="8"/>
  <c r="V168" i="8"/>
  <c r="V184" i="8"/>
  <c r="V201" i="8"/>
  <c r="V220" i="8"/>
  <c r="V233" i="8"/>
  <c r="V248" i="8"/>
  <c r="V262" i="8"/>
  <c r="V276" i="8"/>
  <c r="V291" i="8"/>
  <c r="V305" i="8"/>
  <c r="V318" i="8"/>
  <c r="V333" i="8"/>
  <c r="V344" i="8"/>
  <c r="V354" i="8"/>
  <c r="V365" i="8"/>
  <c r="V376" i="8"/>
  <c r="V386" i="8"/>
  <c r="V397" i="8"/>
  <c r="V408" i="8"/>
  <c r="V418" i="8"/>
  <c r="V429" i="8"/>
  <c r="V440" i="8"/>
  <c r="V450" i="8"/>
  <c r="V461" i="8"/>
  <c r="V472" i="8"/>
  <c r="V482" i="8"/>
  <c r="V493" i="8"/>
  <c r="V504" i="8"/>
  <c r="V514" i="8"/>
  <c r="V525" i="8"/>
  <c r="V536" i="8"/>
  <c r="V546" i="8"/>
  <c r="V555" i="8"/>
  <c r="V563" i="8"/>
  <c r="V571" i="8"/>
  <c r="V579" i="8"/>
  <c r="V587" i="8"/>
  <c r="V595" i="8"/>
  <c r="V603" i="8"/>
  <c r="V611" i="8"/>
  <c r="V619" i="8"/>
  <c r="V627" i="8"/>
  <c r="V635" i="8"/>
  <c r="V643" i="8"/>
  <c r="V651" i="8"/>
  <c r="V659" i="8"/>
  <c r="V667" i="8"/>
  <c r="V675" i="8"/>
  <c r="V683" i="8"/>
  <c r="V691" i="8"/>
  <c r="V699" i="8"/>
  <c r="V707" i="8"/>
  <c r="V715" i="8"/>
  <c r="V723" i="8"/>
  <c r="V731" i="8"/>
  <c r="V739" i="8"/>
  <c r="V747" i="8"/>
  <c r="V72" i="8"/>
  <c r="V139" i="8"/>
  <c r="V209" i="8"/>
  <c r="V267" i="8"/>
  <c r="V324" i="8"/>
  <c r="V369" i="8"/>
  <c r="V411" i="8"/>
  <c r="V454" i="8"/>
  <c r="V497" i="8"/>
  <c r="V539" i="8"/>
  <c r="V574" i="8"/>
  <c r="V606" i="8"/>
  <c r="V638" i="8"/>
  <c r="V658" i="8"/>
  <c r="V669" i="8"/>
  <c r="V680" i="8"/>
  <c r="V690" i="8"/>
  <c r="V701" i="8"/>
  <c r="V712" i="8"/>
  <c r="V722" i="8"/>
  <c r="V733" i="8"/>
  <c r="V744" i="8"/>
  <c r="V77" i="8"/>
  <c r="V147" i="8"/>
  <c r="V213" i="8"/>
  <c r="V273" i="8"/>
  <c r="V329" i="8"/>
  <c r="V373" i="8"/>
  <c r="V416" i="8"/>
  <c r="V458" i="8"/>
  <c r="V501" i="8"/>
  <c r="V544" i="8"/>
  <c r="V577" i="8"/>
  <c r="V609" i="8"/>
  <c r="V641" i="8"/>
  <c r="V660" i="8"/>
  <c r="V670" i="8"/>
  <c r="V681" i="8"/>
  <c r="V692" i="8"/>
  <c r="V702" i="8"/>
  <c r="V713" i="8"/>
  <c r="V724" i="8"/>
  <c r="V734" i="8"/>
  <c r="V745" i="8"/>
  <c r="V105" i="8"/>
  <c r="V173" i="8"/>
  <c r="V238" i="8"/>
  <c r="V296" i="8"/>
  <c r="V347" i="8"/>
  <c r="V390" i="8"/>
  <c r="V433" i="8"/>
  <c r="V475" i="8"/>
  <c r="V518" i="8"/>
  <c r="V558" i="8"/>
  <c r="V590" i="8"/>
  <c r="V622" i="8"/>
  <c r="V653" i="8"/>
  <c r="V664" i="8"/>
  <c r="V674" i="8"/>
  <c r="V685" i="8"/>
  <c r="V696" i="8"/>
  <c r="V706" i="8"/>
  <c r="V717" i="8"/>
  <c r="V728" i="8"/>
  <c r="V738" i="8"/>
  <c r="V749" i="8"/>
  <c r="V157" i="8"/>
  <c r="V253" i="8"/>
  <c r="V341" i="8"/>
  <c r="V405" i="8"/>
  <c r="V480" i="8"/>
  <c r="V550" i="8"/>
  <c r="V598" i="8"/>
  <c r="V649" i="8"/>
  <c r="V668" i="8"/>
  <c r="V686" i="8"/>
  <c r="V704" i="8"/>
  <c r="V720" i="8"/>
  <c r="V737" i="8"/>
  <c r="V52" i="8"/>
  <c r="V61" i="8"/>
  <c r="V180" i="8"/>
  <c r="V281" i="8"/>
  <c r="V358" i="8"/>
  <c r="V426" i="8"/>
  <c r="V490" i="8"/>
  <c r="V561" i="8"/>
  <c r="V614" i="8"/>
  <c r="V656" i="8"/>
  <c r="V673" i="8"/>
  <c r="V689" i="8"/>
  <c r="V708" i="8"/>
  <c r="V725" i="8"/>
  <c r="V741" i="8"/>
  <c r="V88" i="8"/>
  <c r="V190" i="8"/>
  <c r="V286" i="8"/>
  <c r="V362" i="8"/>
  <c r="V437" i="8"/>
  <c r="V507" i="8"/>
  <c r="V566" i="8"/>
  <c r="V617" i="8"/>
  <c r="V657" i="8"/>
  <c r="V676" i="8"/>
  <c r="V693" i="8"/>
  <c r="V709" i="8"/>
  <c r="V726" i="8"/>
  <c r="V742" i="8"/>
  <c r="U55" i="8"/>
  <c r="U63" i="8"/>
  <c r="U71" i="8"/>
  <c r="U79" i="8"/>
  <c r="U87" i="8"/>
  <c r="U95" i="8"/>
  <c r="U103" i="8"/>
  <c r="U111" i="8"/>
  <c r="U119" i="8"/>
  <c r="U127" i="8"/>
  <c r="V94" i="8"/>
  <c r="V198" i="8"/>
  <c r="V301" i="8"/>
  <c r="V379" i="8"/>
  <c r="V443" i="8"/>
  <c r="V512" i="8"/>
  <c r="V569" i="8"/>
  <c r="V625" i="8"/>
  <c r="V661" i="8"/>
  <c r="V677" i="8"/>
  <c r="V694" i="8"/>
  <c r="V710" i="8"/>
  <c r="V729" i="8"/>
  <c r="V746" i="8"/>
  <c r="V124" i="8"/>
  <c r="V230" i="8"/>
  <c r="V316" i="8"/>
  <c r="V394" i="8"/>
  <c r="V465" i="8"/>
  <c r="V529" i="8"/>
  <c r="V585" i="8"/>
  <c r="V633" i="8"/>
  <c r="V665" i="8"/>
  <c r="V682" i="8"/>
  <c r="V698" i="8"/>
  <c r="V716" i="8"/>
  <c r="V732" i="8"/>
  <c r="V750" i="8"/>
  <c r="U58" i="8"/>
  <c r="U66" i="8"/>
  <c r="U74" i="8"/>
  <c r="U82" i="8"/>
  <c r="U90" i="8"/>
  <c r="U98" i="8"/>
  <c r="U106" i="8"/>
  <c r="U114" i="8"/>
  <c r="U122" i="8"/>
  <c r="U130" i="8"/>
  <c r="V309" i="8"/>
  <c r="V486" i="8"/>
  <c r="V646" i="8"/>
  <c r="V697" i="8"/>
  <c r="V740" i="8"/>
  <c r="V53" i="8"/>
  <c r="V337" i="8"/>
  <c r="V522" i="8"/>
  <c r="V654" i="8"/>
  <c r="V700" i="8"/>
  <c r="V748" i="8"/>
  <c r="V113" i="8"/>
  <c r="V352" i="8"/>
  <c r="V533" i="8"/>
  <c r="V662" i="8"/>
  <c r="V705" i="8"/>
  <c r="V752" i="8"/>
  <c r="U57" i="8"/>
  <c r="U68" i="8"/>
  <c r="U78" i="8"/>
  <c r="U89" i="8"/>
  <c r="U100" i="8"/>
  <c r="U110" i="8"/>
  <c r="U121" i="8"/>
  <c r="U132" i="8"/>
  <c r="U140" i="8"/>
  <c r="U148" i="8"/>
  <c r="U156" i="8"/>
  <c r="U164" i="8"/>
  <c r="U172" i="8"/>
  <c r="U180" i="8"/>
  <c r="U188" i="8"/>
  <c r="U196" i="8"/>
  <c r="U204" i="8"/>
  <c r="V128" i="8"/>
  <c r="V384" i="8"/>
  <c r="V553" i="8"/>
  <c r="V666" i="8"/>
  <c r="V714" i="8"/>
  <c r="U59" i="8"/>
  <c r="U69" i="8"/>
  <c r="U80" i="8"/>
  <c r="U91" i="8"/>
  <c r="U101" i="8"/>
  <c r="U112" i="8"/>
  <c r="U123" i="8"/>
  <c r="U133" i="8"/>
  <c r="U141" i="8"/>
  <c r="U149" i="8"/>
  <c r="U157" i="8"/>
  <c r="U165" i="8"/>
  <c r="U173" i="8"/>
  <c r="U181" i="8"/>
  <c r="U189" i="8"/>
  <c r="U197" i="8"/>
  <c r="U205" i="8"/>
  <c r="U213" i="8"/>
  <c r="U221" i="8"/>
  <c r="U229" i="8"/>
  <c r="U237" i="8"/>
  <c r="U245" i="8"/>
  <c r="U253" i="8"/>
  <c r="U261" i="8"/>
  <c r="U269" i="8"/>
  <c r="U277" i="8"/>
  <c r="U285" i="8"/>
  <c r="U293" i="8"/>
  <c r="U301" i="8"/>
  <c r="U309" i="8"/>
  <c r="U317" i="8"/>
  <c r="U325" i="8"/>
  <c r="U333" i="8"/>
  <c r="U341" i="8"/>
  <c r="U349" i="8"/>
  <c r="U357" i="8"/>
  <c r="U365" i="8"/>
  <c r="U373" i="8"/>
  <c r="U381" i="8"/>
  <c r="U389" i="8"/>
  <c r="U397" i="8"/>
  <c r="U405" i="8"/>
  <c r="U413" i="8"/>
  <c r="U421" i="8"/>
  <c r="U429" i="8"/>
  <c r="U437" i="8"/>
  <c r="U445" i="8"/>
  <c r="U453" i="8"/>
  <c r="U461" i="8"/>
  <c r="U469" i="8"/>
  <c r="U477" i="8"/>
  <c r="U485" i="8"/>
  <c r="U493" i="8"/>
  <c r="U501" i="8"/>
  <c r="U509" i="8"/>
  <c r="U517" i="8"/>
  <c r="U525" i="8"/>
  <c r="U533" i="8"/>
  <c r="U541" i="8"/>
  <c r="U549" i="8"/>
  <c r="U557" i="8"/>
  <c r="U565" i="8"/>
  <c r="V163" i="8"/>
  <c r="V401" i="8"/>
  <c r="V582" i="8"/>
  <c r="V672" i="8"/>
  <c r="V718" i="8"/>
  <c r="V224" i="8"/>
  <c r="V422" i="8"/>
  <c r="V593" i="8"/>
  <c r="V678" i="8"/>
  <c r="V721" i="8"/>
  <c r="V244" i="8"/>
  <c r="V448" i="8"/>
  <c r="V601" i="8"/>
  <c r="V684" i="8"/>
  <c r="V730" i="8"/>
  <c r="U62" i="8"/>
  <c r="U73" i="8"/>
  <c r="U84" i="8"/>
  <c r="U94" i="8"/>
  <c r="U105" i="8"/>
  <c r="U116" i="8"/>
  <c r="U126" i="8"/>
  <c r="U136" i="8"/>
  <c r="U144" i="8"/>
  <c r="U152" i="8"/>
  <c r="U160" i="8"/>
  <c r="U168" i="8"/>
  <c r="U176" i="8"/>
  <c r="U184" i="8"/>
  <c r="U192" i="8"/>
  <c r="U200" i="8"/>
  <c r="U208" i="8"/>
  <c r="U216" i="8"/>
  <c r="U224" i="8"/>
  <c r="U232" i="8"/>
  <c r="U240" i="8"/>
  <c r="U248" i="8"/>
  <c r="U256" i="8"/>
  <c r="U264" i="8"/>
  <c r="U272" i="8"/>
  <c r="U280" i="8"/>
  <c r="U288" i="8"/>
  <c r="U296" i="8"/>
  <c r="U304" i="8"/>
  <c r="U312" i="8"/>
  <c r="U320" i="8"/>
  <c r="U328" i="8"/>
  <c r="U336" i="8"/>
  <c r="U344" i="8"/>
  <c r="U352" i="8"/>
  <c r="U360" i="8"/>
  <c r="U368" i="8"/>
  <c r="U376" i="8"/>
  <c r="U384" i="8"/>
  <c r="U392" i="8"/>
  <c r="U400" i="8"/>
  <c r="U408" i="8"/>
  <c r="U416" i="8"/>
  <c r="U424" i="8"/>
  <c r="U432" i="8"/>
  <c r="U440" i="8"/>
  <c r="U448" i="8"/>
  <c r="U456" i="8"/>
  <c r="U464" i="8"/>
  <c r="U472" i="8"/>
  <c r="U480" i="8"/>
  <c r="U488" i="8"/>
  <c r="U496" i="8"/>
  <c r="U504" i="8"/>
  <c r="U512" i="8"/>
  <c r="U520" i="8"/>
  <c r="U528" i="8"/>
  <c r="U536" i="8"/>
  <c r="U544" i="8"/>
  <c r="U552" i="8"/>
  <c r="U560" i="8"/>
  <c r="V259" i="8"/>
  <c r="V469" i="8"/>
  <c r="V630" i="8"/>
  <c r="V688" i="8"/>
  <c r="V736" i="8"/>
  <c r="U53" i="8"/>
  <c r="U64" i="8"/>
  <c r="U75" i="8"/>
  <c r="U85" i="8"/>
  <c r="U96" i="8"/>
  <c r="U107" i="8"/>
  <c r="U117" i="8"/>
  <c r="U128" i="8"/>
  <c r="U137" i="8"/>
  <c r="U145" i="8"/>
  <c r="U153" i="8"/>
  <c r="U161" i="8"/>
  <c r="U169" i="8"/>
  <c r="U177" i="8"/>
  <c r="U185" i="8"/>
  <c r="U193" i="8"/>
  <c r="U201" i="8"/>
  <c r="U72" i="8"/>
  <c r="U93" i="8"/>
  <c r="U115" i="8"/>
  <c r="U135" i="8"/>
  <c r="U151" i="8"/>
  <c r="U167" i="8"/>
  <c r="U183" i="8"/>
  <c r="U199" i="8"/>
  <c r="U212" i="8"/>
  <c r="U223" i="8"/>
  <c r="U234" i="8"/>
  <c r="U244" i="8"/>
  <c r="U255" i="8"/>
  <c r="U266" i="8"/>
  <c r="U276" i="8"/>
  <c r="U287" i="8"/>
  <c r="U298" i="8"/>
  <c r="U308" i="8"/>
  <c r="U319" i="8"/>
  <c r="U330" i="8"/>
  <c r="U340" i="8"/>
  <c r="U351" i="8"/>
  <c r="U362" i="8"/>
  <c r="U372" i="8"/>
  <c r="U383" i="8"/>
  <c r="U394" i="8"/>
  <c r="U404" i="8"/>
  <c r="U415" i="8"/>
  <c r="U426" i="8"/>
  <c r="U436" i="8"/>
  <c r="U447" i="8"/>
  <c r="U458" i="8"/>
  <c r="U468" i="8"/>
  <c r="U479" i="8"/>
  <c r="U490" i="8"/>
  <c r="U500" i="8"/>
  <c r="U511" i="8"/>
  <c r="U522" i="8"/>
  <c r="U532" i="8"/>
  <c r="U543" i="8"/>
  <c r="U554" i="8"/>
  <c r="U564" i="8"/>
  <c r="U573" i="8"/>
  <c r="U581" i="8"/>
  <c r="U589" i="8"/>
  <c r="U597" i="8"/>
  <c r="U605" i="8"/>
  <c r="U613" i="8"/>
  <c r="U621" i="8"/>
  <c r="U629" i="8"/>
  <c r="U637" i="8"/>
  <c r="U645" i="8"/>
  <c r="U653" i="8"/>
  <c r="U661" i="8"/>
  <c r="U669" i="8"/>
  <c r="U677" i="8"/>
  <c r="U685" i="8"/>
  <c r="U693" i="8"/>
  <c r="U701" i="8"/>
  <c r="U709" i="8"/>
  <c r="U717" i="8"/>
  <c r="U725" i="8"/>
  <c r="U733" i="8"/>
  <c r="U741" i="8"/>
  <c r="U749" i="8"/>
  <c r="U54" i="8"/>
  <c r="U76" i="8"/>
  <c r="U97" i="8"/>
  <c r="U118" i="8"/>
  <c r="U138" i="8"/>
  <c r="U154" i="8"/>
  <c r="U170" i="8"/>
  <c r="U186" i="8"/>
  <c r="U202" i="8"/>
  <c r="U214" i="8"/>
  <c r="U225" i="8"/>
  <c r="U235" i="8"/>
  <c r="U246" i="8"/>
  <c r="U257" i="8"/>
  <c r="U267" i="8"/>
  <c r="U278" i="8"/>
  <c r="U289" i="8"/>
  <c r="U299" i="8"/>
  <c r="U310" i="8"/>
  <c r="U321" i="8"/>
  <c r="U331" i="8"/>
  <c r="U342" i="8"/>
  <c r="U353" i="8"/>
  <c r="U363" i="8"/>
  <c r="U374" i="8"/>
  <c r="U385" i="8"/>
  <c r="U395" i="8"/>
  <c r="U406" i="8"/>
  <c r="U417" i="8"/>
  <c r="U427" i="8"/>
  <c r="U438" i="8"/>
  <c r="U449" i="8"/>
  <c r="U459" i="8"/>
  <c r="U470" i="8"/>
  <c r="U481" i="8"/>
  <c r="U491" i="8"/>
  <c r="U502" i="8"/>
  <c r="U513" i="8"/>
  <c r="U523" i="8"/>
  <c r="U534" i="8"/>
  <c r="U545" i="8"/>
  <c r="U555" i="8"/>
  <c r="U60" i="8"/>
  <c r="U81" i="8"/>
  <c r="U102" i="8"/>
  <c r="U124" i="8"/>
  <c r="U142" i="8"/>
  <c r="U158" i="8"/>
  <c r="U174" i="8"/>
  <c r="U190" i="8"/>
  <c r="U206" i="8"/>
  <c r="U217" i="8"/>
  <c r="U227" i="8"/>
  <c r="U238" i="8"/>
  <c r="U249" i="8"/>
  <c r="U259" i="8"/>
  <c r="U61" i="8"/>
  <c r="U83" i="8"/>
  <c r="U104" i="8"/>
  <c r="U125" i="8"/>
  <c r="U143" i="8"/>
  <c r="U159" i="8"/>
  <c r="U175" i="8"/>
  <c r="U191" i="8"/>
  <c r="U207" i="8"/>
  <c r="U218" i="8"/>
  <c r="U228" i="8"/>
  <c r="U239" i="8"/>
  <c r="U250" i="8"/>
  <c r="U260" i="8"/>
  <c r="U271" i="8"/>
  <c r="U282" i="8"/>
  <c r="U292" i="8"/>
  <c r="U303" i="8"/>
  <c r="U314" i="8"/>
  <c r="U324" i="8"/>
  <c r="U335" i="8"/>
  <c r="U346" i="8"/>
  <c r="U356" i="8"/>
  <c r="U367" i="8"/>
  <c r="U378" i="8"/>
  <c r="U388" i="8"/>
  <c r="U399" i="8"/>
  <c r="U410" i="8"/>
  <c r="U420" i="8"/>
  <c r="U431" i="8"/>
  <c r="U442" i="8"/>
  <c r="U452" i="8"/>
  <c r="U463" i="8"/>
  <c r="U474" i="8"/>
  <c r="U484" i="8"/>
  <c r="U495" i="8"/>
  <c r="U506" i="8"/>
  <c r="U516" i="8"/>
  <c r="U527" i="8"/>
  <c r="U538" i="8"/>
  <c r="U548" i="8"/>
  <c r="U559" i="8"/>
  <c r="U569" i="8"/>
  <c r="U577" i="8"/>
  <c r="U585" i="8"/>
  <c r="U593" i="8"/>
  <c r="U601" i="8"/>
  <c r="U609" i="8"/>
  <c r="U617" i="8"/>
  <c r="U625" i="8"/>
  <c r="U633" i="8"/>
  <c r="U641" i="8"/>
  <c r="U649" i="8"/>
  <c r="U657" i="8"/>
  <c r="U665" i="8"/>
  <c r="U673" i="8"/>
  <c r="U681" i="8"/>
  <c r="U689" i="8"/>
  <c r="U697" i="8"/>
  <c r="U705" i="8"/>
  <c r="U713" i="8"/>
  <c r="U721" i="8"/>
  <c r="U729" i="8"/>
  <c r="U737" i="8"/>
  <c r="U745" i="8"/>
  <c r="U65" i="8"/>
  <c r="U86" i="8"/>
  <c r="U108" i="8"/>
  <c r="U129" i="8"/>
  <c r="U146" i="8"/>
  <c r="U162" i="8"/>
  <c r="U178" i="8"/>
  <c r="U194" i="8"/>
  <c r="U209" i="8"/>
  <c r="U219" i="8"/>
  <c r="U230" i="8"/>
  <c r="U241" i="8"/>
  <c r="U251" i="8"/>
  <c r="U262" i="8"/>
  <c r="U273" i="8"/>
  <c r="U283" i="8"/>
  <c r="U294" i="8"/>
  <c r="U305" i="8"/>
  <c r="U315" i="8"/>
  <c r="U326" i="8"/>
  <c r="U337" i="8"/>
  <c r="U347" i="8"/>
  <c r="U358" i="8"/>
  <c r="U369" i="8"/>
  <c r="U379" i="8"/>
  <c r="U390" i="8"/>
  <c r="U401" i="8"/>
  <c r="U411" i="8"/>
  <c r="U422" i="8"/>
  <c r="U433" i="8"/>
  <c r="U443" i="8"/>
  <c r="U454" i="8"/>
  <c r="U465" i="8"/>
  <c r="U475" i="8"/>
  <c r="U486" i="8"/>
  <c r="U497" i="8"/>
  <c r="U507" i="8"/>
  <c r="U518" i="8"/>
  <c r="U529" i="8"/>
  <c r="U539" i="8"/>
  <c r="U550" i="8"/>
  <c r="U88" i="8"/>
  <c r="U139" i="8"/>
  <c r="U182" i="8"/>
  <c r="U220" i="8"/>
  <c r="U247" i="8"/>
  <c r="U274" i="8"/>
  <c r="U295" i="8"/>
  <c r="U316" i="8"/>
  <c r="U338" i="8"/>
  <c r="U359" i="8"/>
  <c r="U380" i="8"/>
  <c r="U402" i="8"/>
  <c r="U423" i="8"/>
  <c r="U444" i="8"/>
  <c r="U466" i="8"/>
  <c r="U487" i="8"/>
  <c r="U508" i="8"/>
  <c r="U530" i="8"/>
  <c r="U551" i="8"/>
  <c r="U567" i="8"/>
  <c r="U578" i="8"/>
  <c r="U588" i="8"/>
  <c r="U599" i="8"/>
  <c r="U610" i="8"/>
  <c r="U620" i="8"/>
  <c r="U631" i="8"/>
  <c r="U642" i="8"/>
  <c r="U652" i="8"/>
  <c r="U663" i="8"/>
  <c r="U674" i="8"/>
  <c r="U684" i="8"/>
  <c r="U695" i="8"/>
  <c r="U706" i="8"/>
  <c r="U716" i="8"/>
  <c r="U727" i="8"/>
  <c r="U738" i="8"/>
  <c r="U748" i="8"/>
  <c r="U92" i="8"/>
  <c r="U147" i="8"/>
  <c r="U187" i="8"/>
  <c r="U222" i="8"/>
  <c r="U252" i="8"/>
  <c r="U275" i="8"/>
  <c r="U297" i="8"/>
  <c r="U318" i="8"/>
  <c r="U339" i="8"/>
  <c r="U361" i="8"/>
  <c r="U382" i="8"/>
  <c r="U403" i="8"/>
  <c r="U425" i="8"/>
  <c r="U446" i="8"/>
  <c r="U467" i="8"/>
  <c r="U489" i="8"/>
  <c r="U510" i="8"/>
  <c r="U531" i="8"/>
  <c r="U553" i="8"/>
  <c r="U568" i="8"/>
  <c r="U579" i="8"/>
  <c r="U590" i="8"/>
  <c r="U600" i="8"/>
  <c r="U611" i="8"/>
  <c r="U622" i="8"/>
  <c r="U632" i="8"/>
  <c r="U643" i="8"/>
  <c r="U654" i="8"/>
  <c r="U664" i="8"/>
  <c r="U675" i="8"/>
  <c r="U686" i="8"/>
  <c r="U696" i="8"/>
  <c r="U707" i="8"/>
  <c r="U718" i="8"/>
  <c r="U728" i="8"/>
  <c r="U739" i="8"/>
  <c r="U750" i="8"/>
  <c r="U109" i="8"/>
  <c r="U155" i="8"/>
  <c r="U198" i="8"/>
  <c r="U231" i="8"/>
  <c r="U258" i="8"/>
  <c r="U281" i="8"/>
  <c r="U302" i="8"/>
  <c r="U323" i="8"/>
  <c r="U345" i="8"/>
  <c r="U366" i="8"/>
  <c r="U387" i="8"/>
  <c r="U409" i="8"/>
  <c r="U430" i="8"/>
  <c r="U451" i="8"/>
  <c r="U473" i="8"/>
  <c r="U494" i="8"/>
  <c r="U515" i="8"/>
  <c r="U537" i="8"/>
  <c r="U558" i="8"/>
  <c r="U571" i="8"/>
  <c r="U582" i="8"/>
  <c r="U592" i="8"/>
  <c r="U603" i="8"/>
  <c r="U614" i="8"/>
  <c r="U624" i="8"/>
  <c r="U635" i="8"/>
  <c r="U646" i="8"/>
  <c r="U656" i="8"/>
  <c r="U667" i="8"/>
  <c r="U678" i="8"/>
  <c r="U688" i="8"/>
  <c r="U699" i="8"/>
  <c r="U710" i="8"/>
  <c r="U720" i="8"/>
  <c r="U731" i="8"/>
  <c r="U742" i="8"/>
  <c r="U752" i="8"/>
  <c r="U56" i="8"/>
  <c r="U113" i="8"/>
  <c r="U163" i="8"/>
  <c r="U203" i="8"/>
  <c r="U233" i="8"/>
  <c r="U263" i="8"/>
  <c r="U284" i="8"/>
  <c r="U306" i="8"/>
  <c r="U327" i="8"/>
  <c r="U348" i="8"/>
  <c r="U370" i="8"/>
  <c r="U391" i="8"/>
  <c r="U412" i="8"/>
  <c r="U434" i="8"/>
  <c r="U455" i="8"/>
  <c r="U476" i="8"/>
  <c r="U498" i="8"/>
  <c r="U519" i="8"/>
  <c r="U540" i="8"/>
  <c r="U561" i="8"/>
  <c r="U572" i="8"/>
  <c r="U583" i="8"/>
  <c r="U594" i="8"/>
  <c r="U604" i="8"/>
  <c r="U615" i="8"/>
  <c r="U626" i="8"/>
  <c r="U636" i="8"/>
  <c r="U647" i="8"/>
  <c r="U658" i="8"/>
  <c r="U668" i="8"/>
  <c r="U679" i="8"/>
  <c r="U690" i="8"/>
  <c r="U700" i="8"/>
  <c r="U711" i="8"/>
  <c r="U722" i="8"/>
  <c r="U732" i="8"/>
  <c r="U743" i="8"/>
  <c r="U52" i="8"/>
  <c r="U67" i="8"/>
  <c r="U120" i="8"/>
  <c r="U166" i="8"/>
  <c r="U210" i="8"/>
  <c r="U236" i="8"/>
  <c r="U265" i="8"/>
  <c r="U286" i="8"/>
  <c r="U307" i="8"/>
  <c r="U329" i="8"/>
  <c r="U350" i="8"/>
  <c r="U371" i="8"/>
  <c r="U393" i="8"/>
  <c r="U414" i="8"/>
  <c r="U435" i="8"/>
  <c r="U457" i="8"/>
  <c r="U478" i="8"/>
  <c r="U499" i="8"/>
  <c r="U521" i="8"/>
  <c r="U542" i="8"/>
  <c r="U562" i="8"/>
  <c r="U574" i="8"/>
  <c r="U584" i="8"/>
  <c r="U595" i="8"/>
  <c r="U606" i="8"/>
  <c r="U616" i="8"/>
  <c r="U627" i="8"/>
  <c r="U638" i="8"/>
  <c r="U648" i="8"/>
  <c r="U659" i="8"/>
  <c r="U670" i="8"/>
  <c r="U680" i="8"/>
  <c r="U691" i="8"/>
  <c r="U702" i="8"/>
  <c r="U712" i="8"/>
  <c r="U723" i="8"/>
  <c r="U734" i="8"/>
  <c r="U744" i="8"/>
  <c r="U77" i="8"/>
  <c r="U211" i="8"/>
  <c r="U279" i="8"/>
  <c r="U334" i="8"/>
  <c r="U396" i="8"/>
  <c r="U450" i="8"/>
  <c r="U505" i="8"/>
  <c r="U563" i="8"/>
  <c r="U591" i="8"/>
  <c r="U619" i="8"/>
  <c r="U650" i="8"/>
  <c r="U676" i="8"/>
  <c r="U704" i="8"/>
  <c r="U735" i="8"/>
  <c r="H60" i="8"/>
  <c r="H68" i="8"/>
  <c r="H76" i="8"/>
  <c r="H84" i="8"/>
  <c r="H92" i="8"/>
  <c r="H100" i="8"/>
  <c r="H108" i="8"/>
  <c r="H116" i="8"/>
  <c r="U99" i="8"/>
  <c r="U215" i="8"/>
  <c r="U290" i="8"/>
  <c r="U343" i="8"/>
  <c r="U398" i="8"/>
  <c r="U460" i="8"/>
  <c r="U514" i="8"/>
  <c r="U566" i="8"/>
  <c r="U596" i="8"/>
  <c r="U623" i="8"/>
  <c r="U651" i="8"/>
  <c r="U682" i="8"/>
  <c r="U708" i="8"/>
  <c r="U736" i="8"/>
  <c r="U131" i="8"/>
  <c r="U226" i="8"/>
  <c r="U291" i="8"/>
  <c r="U354" i="8"/>
  <c r="U407" i="8"/>
  <c r="U462" i="8"/>
  <c r="U524" i="8"/>
  <c r="U570" i="8"/>
  <c r="U598" i="8"/>
  <c r="U628" i="8"/>
  <c r="U655" i="8"/>
  <c r="U683" i="8"/>
  <c r="U714" i="8"/>
  <c r="U740" i="8"/>
  <c r="H54" i="8"/>
  <c r="H62" i="8"/>
  <c r="H70" i="8"/>
  <c r="H78" i="8"/>
  <c r="H86" i="8"/>
  <c r="H94" i="8"/>
  <c r="H102" i="8"/>
  <c r="H110" i="8"/>
  <c r="H118" i="8"/>
  <c r="U134" i="8"/>
  <c r="U242" i="8"/>
  <c r="U300" i="8"/>
  <c r="U355" i="8"/>
  <c r="U418" i="8"/>
  <c r="U471" i="8"/>
  <c r="U526" i="8"/>
  <c r="U575" i="8"/>
  <c r="U602" i="8"/>
  <c r="U630" i="8"/>
  <c r="U660" i="8"/>
  <c r="U687" i="8"/>
  <c r="U715" i="8"/>
  <c r="U746" i="8"/>
  <c r="U150" i="8"/>
  <c r="U243" i="8"/>
  <c r="U311" i="8"/>
  <c r="U364" i="8"/>
  <c r="U419" i="8"/>
  <c r="U482" i="8"/>
  <c r="U535" i="8"/>
  <c r="U576" i="8"/>
  <c r="U607" i="8"/>
  <c r="U634" i="8"/>
  <c r="U662" i="8"/>
  <c r="U692" i="8"/>
  <c r="U719" i="8"/>
  <c r="U747" i="8"/>
  <c r="H56" i="8"/>
  <c r="H64" i="8"/>
  <c r="H72" i="8"/>
  <c r="H80" i="8"/>
  <c r="H88" i="8"/>
  <c r="H96" i="8"/>
  <c r="H104" i="8"/>
  <c r="H112" i="8"/>
  <c r="H120" i="8"/>
  <c r="H128" i="8"/>
  <c r="H136" i="8"/>
  <c r="H144" i="8"/>
  <c r="U171" i="8"/>
  <c r="U254" i="8"/>
  <c r="U313" i="8"/>
  <c r="U375" i="8"/>
  <c r="U428" i="8"/>
  <c r="U483" i="8"/>
  <c r="U546" i="8"/>
  <c r="U580" i="8"/>
  <c r="U608" i="8"/>
  <c r="U639" i="8"/>
  <c r="U666" i="8"/>
  <c r="U694" i="8"/>
  <c r="U724" i="8"/>
  <c r="U751" i="8"/>
  <c r="H57" i="8"/>
  <c r="H65" i="8"/>
  <c r="H73" i="8"/>
  <c r="H81" i="8"/>
  <c r="H89" i="8"/>
  <c r="H97" i="8"/>
  <c r="H105" i="8"/>
  <c r="H113" i="8"/>
  <c r="H121" i="8"/>
  <c r="H129" i="8"/>
  <c r="H137" i="8"/>
  <c r="H145" i="8"/>
  <c r="U179" i="8"/>
  <c r="U268" i="8"/>
  <c r="U322" i="8"/>
  <c r="U377" i="8"/>
  <c r="U439" i="8"/>
  <c r="U492" i="8"/>
  <c r="U547" i="8"/>
  <c r="U586" i="8"/>
  <c r="U612" i="8"/>
  <c r="U640" i="8"/>
  <c r="U671" i="8"/>
  <c r="U698" i="8"/>
  <c r="U726" i="8"/>
  <c r="H58" i="8"/>
  <c r="H66" i="8"/>
  <c r="H74" i="8"/>
  <c r="H82" i="8"/>
  <c r="H90" i="8"/>
  <c r="H98" i="8"/>
  <c r="H106" i="8"/>
  <c r="H114" i="8"/>
  <c r="H122" i="8"/>
  <c r="H130" i="8"/>
  <c r="H138" i="8"/>
  <c r="H146" i="8"/>
  <c r="U503" i="8"/>
  <c r="H63" i="8"/>
  <c r="H85" i="8"/>
  <c r="H107" i="8"/>
  <c r="H125" i="8"/>
  <c r="H139" i="8"/>
  <c r="H150" i="8"/>
  <c r="H158" i="8"/>
  <c r="H166" i="8"/>
  <c r="H174" i="8"/>
  <c r="H182" i="8"/>
  <c r="H190" i="8"/>
  <c r="H198" i="8"/>
  <c r="H206" i="8"/>
  <c r="H214" i="8"/>
  <c r="H222" i="8"/>
  <c r="H230" i="8"/>
  <c r="H238" i="8"/>
  <c r="H246" i="8"/>
  <c r="H254" i="8"/>
  <c r="H262" i="8"/>
  <c r="H270" i="8"/>
  <c r="H278" i="8"/>
  <c r="H286" i="8"/>
  <c r="H294" i="8"/>
  <c r="H302" i="8"/>
  <c r="H310" i="8"/>
  <c r="H318" i="8"/>
  <c r="H326" i="8"/>
  <c r="H334" i="8"/>
  <c r="H342" i="8"/>
  <c r="H350" i="8"/>
  <c r="H358" i="8"/>
  <c r="H366" i="8"/>
  <c r="H374" i="8"/>
  <c r="H382" i="8"/>
  <c r="H390" i="8"/>
  <c r="H398" i="8"/>
  <c r="H406" i="8"/>
  <c r="H414" i="8"/>
  <c r="H422" i="8"/>
  <c r="H430" i="8"/>
  <c r="H438" i="8"/>
  <c r="H446" i="8"/>
  <c r="H454" i="8"/>
  <c r="H462" i="8"/>
  <c r="H470" i="8"/>
  <c r="H478" i="8"/>
  <c r="H486" i="8"/>
  <c r="H494" i="8"/>
  <c r="H502" i="8"/>
  <c r="H510" i="8"/>
  <c r="H518" i="8"/>
  <c r="H526" i="8"/>
  <c r="H534" i="8"/>
  <c r="H542" i="8"/>
  <c r="H550" i="8"/>
  <c r="H558" i="8"/>
  <c r="H566" i="8"/>
  <c r="H574" i="8"/>
  <c r="H582" i="8"/>
  <c r="H590" i="8"/>
  <c r="H598" i="8"/>
  <c r="H606" i="8"/>
  <c r="H614" i="8"/>
  <c r="H622" i="8"/>
  <c r="H630" i="8"/>
  <c r="H638" i="8"/>
  <c r="H646" i="8"/>
  <c r="H654" i="8"/>
  <c r="H662" i="8"/>
  <c r="H670" i="8"/>
  <c r="H678" i="8"/>
  <c r="H686" i="8"/>
  <c r="H694" i="8"/>
  <c r="H702" i="8"/>
  <c r="H710" i="8"/>
  <c r="H718" i="8"/>
  <c r="H726" i="8"/>
  <c r="H734" i="8"/>
  <c r="H742" i="8"/>
  <c r="H750" i="8"/>
  <c r="U556" i="8"/>
  <c r="H67" i="8"/>
  <c r="H87" i="8"/>
  <c r="H109" i="8"/>
  <c r="H126" i="8"/>
  <c r="H140" i="8"/>
  <c r="H151" i="8"/>
  <c r="H159" i="8"/>
  <c r="H167" i="8"/>
  <c r="H175" i="8"/>
  <c r="H183" i="8"/>
  <c r="H191" i="8"/>
  <c r="H199" i="8"/>
  <c r="H207" i="8"/>
  <c r="H215" i="8"/>
  <c r="H223" i="8"/>
  <c r="H231" i="8"/>
  <c r="H239" i="8"/>
  <c r="H247" i="8"/>
  <c r="H255" i="8"/>
  <c r="H263" i="8"/>
  <c r="H271" i="8"/>
  <c r="H279" i="8"/>
  <c r="H287" i="8"/>
  <c r="H295" i="8"/>
  <c r="H303" i="8"/>
  <c r="H311" i="8"/>
  <c r="H319" i="8"/>
  <c r="H327" i="8"/>
  <c r="H335" i="8"/>
  <c r="H343" i="8"/>
  <c r="H351" i="8"/>
  <c r="H359" i="8"/>
  <c r="H367" i="8"/>
  <c r="H375" i="8"/>
  <c r="H383" i="8"/>
  <c r="H391" i="8"/>
  <c r="H399" i="8"/>
  <c r="H407" i="8"/>
  <c r="H415" i="8"/>
  <c r="H423" i="8"/>
  <c r="H431" i="8"/>
  <c r="H439" i="8"/>
  <c r="H447" i="8"/>
  <c r="H455" i="8"/>
  <c r="H463" i="8"/>
  <c r="H471" i="8"/>
  <c r="H479" i="8"/>
  <c r="H487" i="8"/>
  <c r="U70" i="8"/>
  <c r="U587" i="8"/>
  <c r="H69" i="8"/>
  <c r="H91" i="8"/>
  <c r="H111" i="8"/>
  <c r="H127" i="8"/>
  <c r="H141" i="8"/>
  <c r="H152" i="8"/>
  <c r="H160" i="8"/>
  <c r="H168" i="8"/>
  <c r="H176" i="8"/>
  <c r="H184" i="8"/>
  <c r="H192" i="8"/>
  <c r="H200" i="8"/>
  <c r="H208" i="8"/>
  <c r="H216" i="8"/>
  <c r="H224" i="8"/>
  <c r="H232" i="8"/>
  <c r="H240" i="8"/>
  <c r="H248" i="8"/>
  <c r="H256" i="8"/>
  <c r="H264" i="8"/>
  <c r="H272" i="8"/>
  <c r="H280" i="8"/>
  <c r="H288" i="8"/>
  <c r="H296" i="8"/>
  <c r="H304" i="8"/>
  <c r="H312" i="8"/>
  <c r="H320" i="8"/>
  <c r="H328" i="8"/>
  <c r="H336" i="8"/>
  <c r="H344" i="8"/>
  <c r="H352" i="8"/>
  <c r="H360" i="8"/>
  <c r="H368" i="8"/>
  <c r="H376" i="8"/>
  <c r="H384" i="8"/>
  <c r="H392" i="8"/>
  <c r="H400" i="8"/>
  <c r="H408" i="8"/>
  <c r="H416" i="8"/>
  <c r="H424" i="8"/>
  <c r="H432" i="8"/>
  <c r="H440" i="8"/>
  <c r="H448" i="8"/>
  <c r="H456" i="8"/>
  <c r="H464" i="8"/>
  <c r="H472" i="8"/>
  <c r="H480" i="8"/>
  <c r="H488" i="8"/>
  <c r="U195" i="8"/>
  <c r="U618" i="8"/>
  <c r="H71" i="8"/>
  <c r="H93" i="8"/>
  <c r="H115" i="8"/>
  <c r="H131" i="8"/>
  <c r="H142" i="8"/>
  <c r="H153" i="8"/>
  <c r="H161" i="8"/>
  <c r="H169" i="8"/>
  <c r="H177" i="8"/>
  <c r="H185" i="8"/>
  <c r="H193" i="8"/>
  <c r="H201" i="8"/>
  <c r="H209" i="8"/>
  <c r="H217" i="8"/>
  <c r="H225" i="8"/>
  <c r="H233" i="8"/>
  <c r="H241" i="8"/>
  <c r="H249" i="8"/>
  <c r="H257" i="8"/>
  <c r="H265" i="8"/>
  <c r="H273" i="8"/>
  <c r="H281" i="8"/>
  <c r="H289" i="8"/>
  <c r="H297" i="8"/>
  <c r="H305" i="8"/>
  <c r="H313" i="8"/>
  <c r="H321" i="8"/>
  <c r="H329" i="8"/>
  <c r="H337" i="8"/>
  <c r="H345" i="8"/>
  <c r="H353" i="8"/>
  <c r="H361" i="8"/>
  <c r="H369" i="8"/>
  <c r="H377" i="8"/>
  <c r="H385" i="8"/>
  <c r="H393" i="8"/>
  <c r="H401" i="8"/>
  <c r="H409" i="8"/>
  <c r="H417" i="8"/>
  <c r="H425" i="8"/>
  <c r="H433" i="8"/>
  <c r="H441" i="8"/>
  <c r="H449" i="8"/>
  <c r="H457" i="8"/>
  <c r="H465" i="8"/>
  <c r="H473" i="8"/>
  <c r="H481" i="8"/>
  <c r="H489" i="8"/>
  <c r="H497" i="8"/>
  <c r="H505" i="8"/>
  <c r="H513" i="8"/>
  <c r="H521" i="8"/>
  <c r="H529" i="8"/>
  <c r="H537" i="8"/>
  <c r="H545" i="8"/>
  <c r="H553" i="8"/>
  <c r="H561" i="8"/>
  <c r="H569" i="8"/>
  <c r="H577" i="8"/>
  <c r="H585" i="8"/>
  <c r="H593" i="8"/>
  <c r="H601" i="8"/>
  <c r="H609" i="8"/>
  <c r="H617" i="8"/>
  <c r="H625" i="8"/>
  <c r="H633" i="8"/>
  <c r="H641" i="8"/>
  <c r="H649" i="8"/>
  <c r="H657" i="8"/>
  <c r="H665" i="8"/>
  <c r="H673" i="8"/>
  <c r="H681" i="8"/>
  <c r="H689" i="8"/>
  <c r="H697" i="8"/>
  <c r="H705" i="8"/>
  <c r="H713" i="8"/>
  <c r="H721" i="8"/>
  <c r="H729" i="8"/>
  <c r="H737" i="8"/>
  <c r="H745" i="8"/>
  <c r="H52" i="8"/>
  <c r="U270" i="8"/>
  <c r="U644" i="8"/>
  <c r="H53" i="8"/>
  <c r="H75" i="8"/>
  <c r="H95" i="8"/>
  <c r="H117" i="8"/>
  <c r="H132" i="8"/>
  <c r="H143" i="8"/>
  <c r="H154" i="8"/>
  <c r="H162" i="8"/>
  <c r="H170" i="8"/>
  <c r="H178" i="8"/>
  <c r="H186" i="8"/>
  <c r="H194" i="8"/>
  <c r="H202" i="8"/>
  <c r="H210" i="8"/>
  <c r="H218" i="8"/>
  <c r="H226" i="8"/>
  <c r="H234" i="8"/>
  <c r="H242" i="8"/>
  <c r="H250" i="8"/>
  <c r="H258" i="8"/>
  <c r="H266" i="8"/>
  <c r="H274" i="8"/>
  <c r="H282" i="8"/>
  <c r="H290" i="8"/>
  <c r="H298" i="8"/>
  <c r="H306" i="8"/>
  <c r="H314" i="8"/>
  <c r="H322" i="8"/>
  <c r="H330" i="8"/>
  <c r="H338" i="8"/>
  <c r="H346" i="8"/>
  <c r="H354" i="8"/>
  <c r="H362" i="8"/>
  <c r="H370" i="8"/>
  <c r="H378" i="8"/>
  <c r="H386" i="8"/>
  <c r="H394" i="8"/>
  <c r="H402" i="8"/>
  <c r="H410" i="8"/>
  <c r="H418" i="8"/>
  <c r="H426" i="8"/>
  <c r="H434" i="8"/>
  <c r="H442" i="8"/>
  <c r="H450" i="8"/>
  <c r="H458" i="8"/>
  <c r="H466" i="8"/>
  <c r="H474" i="8"/>
  <c r="H482" i="8"/>
  <c r="H490" i="8"/>
  <c r="H498" i="8"/>
  <c r="H506" i="8"/>
  <c r="H514" i="8"/>
  <c r="H522" i="8"/>
  <c r="H530" i="8"/>
  <c r="H538" i="8"/>
  <c r="H546" i="8"/>
  <c r="H554" i="8"/>
  <c r="H562" i="8"/>
  <c r="H570" i="8"/>
  <c r="H578" i="8"/>
  <c r="H586" i="8"/>
  <c r="H594" i="8"/>
  <c r="H602" i="8"/>
  <c r="H610" i="8"/>
  <c r="H618" i="8"/>
  <c r="H626" i="8"/>
  <c r="H634" i="8"/>
  <c r="H642" i="8"/>
  <c r="H650" i="8"/>
  <c r="H658" i="8"/>
  <c r="H666" i="8"/>
  <c r="H674" i="8"/>
  <c r="H682" i="8"/>
  <c r="H690" i="8"/>
  <c r="H698" i="8"/>
  <c r="H706" i="8"/>
  <c r="H714" i="8"/>
  <c r="H722" i="8"/>
  <c r="H730" i="8"/>
  <c r="H738" i="8"/>
  <c r="H746" i="8"/>
  <c r="U332" i="8"/>
  <c r="U672" i="8"/>
  <c r="H55" i="8"/>
  <c r="H77" i="8"/>
  <c r="H99" i="8"/>
  <c r="H119" i="8"/>
  <c r="H133" i="8"/>
  <c r="H147" i="8"/>
  <c r="H155" i="8"/>
  <c r="H163" i="8"/>
  <c r="H171" i="8"/>
  <c r="H179" i="8"/>
  <c r="H187" i="8"/>
  <c r="H195" i="8"/>
  <c r="H203" i="8"/>
  <c r="H211" i="8"/>
  <c r="H219" i="8"/>
  <c r="H227" i="8"/>
  <c r="H235" i="8"/>
  <c r="H243" i="8"/>
  <c r="H251" i="8"/>
  <c r="H259" i="8"/>
  <c r="H267" i="8"/>
  <c r="H275" i="8"/>
  <c r="H283" i="8"/>
  <c r="H291" i="8"/>
  <c r="H299" i="8"/>
  <c r="H307" i="8"/>
  <c r="H315" i="8"/>
  <c r="H323" i="8"/>
  <c r="H331" i="8"/>
  <c r="H339" i="8"/>
  <c r="H347" i="8"/>
  <c r="H355" i="8"/>
  <c r="H363" i="8"/>
  <c r="H371" i="8"/>
  <c r="H379" i="8"/>
  <c r="H387" i="8"/>
  <c r="H395" i="8"/>
  <c r="H403" i="8"/>
  <c r="H411" i="8"/>
  <c r="H419" i="8"/>
  <c r="H427" i="8"/>
  <c r="H435" i="8"/>
  <c r="H443" i="8"/>
  <c r="H451" i="8"/>
  <c r="H459" i="8"/>
  <c r="H467" i="8"/>
  <c r="H475" i="8"/>
  <c r="H483" i="8"/>
  <c r="H491" i="8"/>
  <c r="H499" i="8"/>
  <c r="H507" i="8"/>
  <c r="H515" i="8"/>
  <c r="H523" i="8"/>
  <c r="H531" i="8"/>
  <c r="H539" i="8"/>
  <c r="H547" i="8"/>
  <c r="H555" i="8"/>
  <c r="H563" i="8"/>
  <c r="H571" i="8"/>
  <c r="H579" i="8"/>
  <c r="H587" i="8"/>
  <c r="H595" i="8"/>
  <c r="H603" i="8"/>
  <c r="H611" i="8"/>
  <c r="H619" i="8"/>
  <c r="H627" i="8"/>
  <c r="H635" i="8"/>
  <c r="H643" i="8"/>
  <c r="H651" i="8"/>
  <c r="H659" i="8"/>
  <c r="H667" i="8"/>
  <c r="H675" i="8"/>
  <c r="H683" i="8"/>
  <c r="H691" i="8"/>
  <c r="H699" i="8"/>
  <c r="H707" i="8"/>
  <c r="H715" i="8"/>
  <c r="H723" i="8"/>
  <c r="H731" i="8"/>
  <c r="H739" i="8"/>
  <c r="H747" i="8"/>
  <c r="U386" i="8"/>
  <c r="U703" i="8"/>
  <c r="H59" i="8"/>
  <c r="H79" i="8"/>
  <c r="H101" i="8"/>
  <c r="H123" i="8"/>
  <c r="H134" i="8"/>
  <c r="H148" i="8"/>
  <c r="H156" i="8"/>
  <c r="H164" i="8"/>
  <c r="H172" i="8"/>
  <c r="H180" i="8"/>
  <c r="H188" i="8"/>
  <c r="H196" i="8"/>
  <c r="H204" i="8"/>
  <c r="H212" i="8"/>
  <c r="H220" i="8"/>
  <c r="H228" i="8"/>
  <c r="H236" i="8"/>
  <c r="H244" i="8"/>
  <c r="H252" i="8"/>
  <c r="H260" i="8"/>
  <c r="H268" i="8"/>
  <c r="H276" i="8"/>
  <c r="H284" i="8"/>
  <c r="H292" i="8"/>
  <c r="H300" i="8"/>
  <c r="H308" i="8"/>
  <c r="H316" i="8"/>
  <c r="H324" i="8"/>
  <c r="H332" i="8"/>
  <c r="H340" i="8"/>
  <c r="H348" i="8"/>
  <c r="H356" i="8"/>
  <c r="H364" i="8"/>
  <c r="H372" i="8"/>
  <c r="H380" i="8"/>
  <c r="H388" i="8"/>
  <c r="H396" i="8"/>
  <c r="H404" i="8"/>
  <c r="H412" i="8"/>
  <c r="H420" i="8"/>
  <c r="H428" i="8"/>
  <c r="H436" i="8"/>
  <c r="H444" i="8"/>
  <c r="H452" i="8"/>
  <c r="H460" i="8"/>
  <c r="H468" i="8"/>
  <c r="H476" i="8"/>
  <c r="H484" i="8"/>
  <c r="H492" i="8"/>
  <c r="H500" i="8"/>
  <c r="H508" i="8"/>
  <c r="H516" i="8"/>
  <c r="H524" i="8"/>
  <c r="H532" i="8"/>
  <c r="H540" i="8"/>
  <c r="H548" i="8"/>
  <c r="H556" i="8"/>
  <c r="H564" i="8"/>
  <c r="H572" i="8"/>
  <c r="H580" i="8"/>
  <c r="H588" i="8"/>
  <c r="H596" i="8"/>
  <c r="H604" i="8"/>
  <c r="H612" i="8"/>
  <c r="H620" i="8"/>
  <c r="H628" i="8"/>
  <c r="H636" i="8"/>
  <c r="H644" i="8"/>
  <c r="H652" i="8"/>
  <c r="H660" i="8"/>
  <c r="H668" i="8"/>
  <c r="H676" i="8"/>
  <c r="H684" i="8"/>
  <c r="H692" i="8"/>
  <c r="H700" i="8"/>
  <c r="H708" i="8"/>
  <c r="H716" i="8"/>
  <c r="H724" i="8"/>
  <c r="H732" i="8"/>
  <c r="H740" i="8"/>
  <c r="H748" i="8"/>
  <c r="U441" i="8"/>
  <c r="H135" i="8"/>
  <c r="H205" i="8"/>
  <c r="H269" i="8"/>
  <c r="H333" i="8"/>
  <c r="H397" i="8"/>
  <c r="H461" i="8"/>
  <c r="H503" i="8"/>
  <c r="H525" i="8"/>
  <c r="H544" i="8"/>
  <c r="H567" i="8"/>
  <c r="H589" i="8"/>
  <c r="H608" i="8"/>
  <c r="H631" i="8"/>
  <c r="H653" i="8"/>
  <c r="H672" i="8"/>
  <c r="H695" i="8"/>
  <c r="H717" i="8"/>
  <c r="H736" i="8"/>
  <c r="H261" i="8"/>
  <c r="U730" i="8"/>
  <c r="H149" i="8"/>
  <c r="H213" i="8"/>
  <c r="H277" i="8"/>
  <c r="H341" i="8"/>
  <c r="H405" i="8"/>
  <c r="H469" i="8"/>
  <c r="H504" i="8"/>
  <c r="H527" i="8"/>
  <c r="H549" i="8"/>
  <c r="H568" i="8"/>
  <c r="H591" i="8"/>
  <c r="H613" i="8"/>
  <c r="H632" i="8"/>
  <c r="H655" i="8"/>
  <c r="H677" i="8"/>
  <c r="H696" i="8"/>
  <c r="H719" i="8"/>
  <c r="H741" i="8"/>
  <c r="H325" i="8"/>
  <c r="H453" i="8"/>
  <c r="H520" i="8"/>
  <c r="H565" i="8"/>
  <c r="H607" i="8"/>
  <c r="H648" i="8"/>
  <c r="H693" i="8"/>
  <c r="H735" i="8"/>
  <c r="H157" i="8"/>
  <c r="H221" i="8"/>
  <c r="H285" i="8"/>
  <c r="H349" i="8"/>
  <c r="H413" i="8"/>
  <c r="H477" i="8"/>
  <c r="H509" i="8"/>
  <c r="H528" i="8"/>
  <c r="H551" i="8"/>
  <c r="H573" i="8"/>
  <c r="H592" i="8"/>
  <c r="H615" i="8"/>
  <c r="H637" i="8"/>
  <c r="H656" i="8"/>
  <c r="H679" i="8"/>
  <c r="H701" i="8"/>
  <c r="H720" i="8"/>
  <c r="H743" i="8"/>
  <c r="H197" i="8"/>
  <c r="H165" i="8"/>
  <c r="H229" i="8"/>
  <c r="H293" i="8"/>
  <c r="H357" i="8"/>
  <c r="H421" i="8"/>
  <c r="H485" i="8"/>
  <c r="H511" i="8"/>
  <c r="H533" i="8"/>
  <c r="H552" i="8"/>
  <c r="H575" i="8"/>
  <c r="H597" i="8"/>
  <c r="H616" i="8"/>
  <c r="H639" i="8"/>
  <c r="H661" i="8"/>
  <c r="H680" i="8"/>
  <c r="H703" i="8"/>
  <c r="H725" i="8"/>
  <c r="H744" i="8"/>
  <c r="H389" i="8"/>
  <c r="H501" i="8"/>
  <c r="H543" i="8"/>
  <c r="H584" i="8"/>
  <c r="H629" i="8"/>
  <c r="H671" i="8"/>
  <c r="H712" i="8"/>
  <c r="H61" i="8"/>
  <c r="H173" i="8"/>
  <c r="H237" i="8"/>
  <c r="H301" i="8"/>
  <c r="H365" i="8"/>
  <c r="H429" i="8"/>
  <c r="H493" i="8"/>
  <c r="H512" i="8"/>
  <c r="H535" i="8"/>
  <c r="H557" i="8"/>
  <c r="H576" i="8"/>
  <c r="H599" i="8"/>
  <c r="H621" i="8"/>
  <c r="H640" i="8"/>
  <c r="H663" i="8"/>
  <c r="H685" i="8"/>
  <c r="H704" i="8"/>
  <c r="H727" i="8"/>
  <c r="H749" i="8"/>
  <c r="H124" i="8"/>
  <c r="H83" i="8"/>
  <c r="H181" i="8"/>
  <c r="H245" i="8"/>
  <c r="H309" i="8"/>
  <c r="H373" i="8"/>
  <c r="H437" i="8"/>
  <c r="H495" i="8"/>
  <c r="H517" i="8"/>
  <c r="H536" i="8"/>
  <c r="H559" i="8"/>
  <c r="H581" i="8"/>
  <c r="H600" i="8"/>
  <c r="H623" i="8"/>
  <c r="H645" i="8"/>
  <c r="H664" i="8"/>
  <c r="H687" i="8"/>
  <c r="H709" i="8"/>
  <c r="H728" i="8"/>
  <c r="H751" i="8"/>
  <c r="H103" i="8"/>
  <c r="H189" i="8"/>
  <c r="H253" i="8"/>
  <c r="H317" i="8"/>
  <c r="H381" i="8"/>
  <c r="H445" i="8"/>
  <c r="H496" i="8"/>
  <c r="H519" i="8"/>
  <c r="H541" i="8"/>
  <c r="H560" i="8"/>
  <c r="H583" i="8"/>
  <c r="H605" i="8"/>
  <c r="H624" i="8"/>
  <c r="H647" i="8"/>
  <c r="H669" i="8"/>
  <c r="H688" i="8"/>
  <c r="H711" i="8"/>
  <c r="H733" i="8"/>
  <c r="H752" i="8"/>
  <c r="Y53" i="8"/>
  <c r="Y61" i="8"/>
  <c r="Y69" i="8"/>
  <c r="Y77" i="8"/>
  <c r="Y85" i="8"/>
  <c r="Y93" i="8"/>
  <c r="Y101" i="8"/>
  <c r="Y109" i="8"/>
  <c r="Y117" i="8"/>
  <c r="Y125" i="8"/>
  <c r="Y133" i="8"/>
  <c r="Y141" i="8"/>
  <c r="Y149" i="8"/>
  <c r="Y157" i="8"/>
  <c r="Y165" i="8"/>
  <c r="Y173" i="8"/>
  <c r="Y181" i="8"/>
  <c r="Y189" i="8"/>
  <c r="Y197" i="8"/>
  <c r="Y205" i="8"/>
  <c r="Y213" i="8"/>
  <c r="Y221" i="8"/>
  <c r="Y229" i="8"/>
  <c r="Y237" i="8"/>
  <c r="Y245" i="8"/>
  <c r="Y253" i="8"/>
  <c r="Y261" i="8"/>
  <c r="Y269" i="8"/>
  <c r="Y277" i="8"/>
  <c r="Y285" i="8"/>
  <c r="Y293" i="8"/>
  <c r="Y301" i="8"/>
  <c r="Y309" i="8"/>
  <c r="Y317" i="8"/>
  <c r="Y325" i="8"/>
  <c r="Y333" i="8"/>
  <c r="Y341" i="8"/>
  <c r="Y349" i="8"/>
  <c r="Y357" i="8"/>
  <c r="Y365" i="8"/>
  <c r="Y373" i="8"/>
  <c r="Y381" i="8"/>
  <c r="Y389" i="8"/>
  <c r="Y397" i="8"/>
  <c r="Y405" i="8"/>
  <c r="Y413" i="8"/>
  <c r="Y421" i="8"/>
  <c r="Y429" i="8"/>
  <c r="Y437" i="8"/>
  <c r="Y445" i="8"/>
  <c r="Y453" i="8"/>
  <c r="Y461" i="8"/>
  <c r="Y469" i="8"/>
  <c r="Y477" i="8"/>
  <c r="Y485" i="8"/>
  <c r="Y493" i="8"/>
  <c r="Y501" i="8"/>
  <c r="Y509" i="8"/>
  <c r="Y517" i="8"/>
  <c r="Y525" i="8"/>
  <c r="Y533" i="8"/>
  <c r="Y541" i="8"/>
  <c r="Y549" i="8"/>
  <c r="Y557" i="8"/>
  <c r="Y565" i="8"/>
  <c r="Y573" i="8"/>
  <c r="Y581" i="8"/>
  <c r="Y589" i="8"/>
  <c r="Y597" i="8"/>
  <c r="Y605" i="8"/>
  <c r="Y613" i="8"/>
  <c r="Y621" i="8"/>
  <c r="Y629" i="8"/>
  <c r="Y637" i="8"/>
  <c r="Y645" i="8"/>
  <c r="Y653" i="8"/>
  <c r="Y661" i="8"/>
  <c r="Y669" i="8"/>
  <c r="Y677" i="8"/>
  <c r="Y685" i="8"/>
  <c r="Y693" i="8"/>
  <c r="Y701" i="8"/>
  <c r="Y709" i="8"/>
  <c r="Y717" i="8"/>
  <c r="Y725" i="8"/>
  <c r="Y56" i="8"/>
  <c r="Y64" i="8"/>
  <c r="Y72" i="8"/>
  <c r="Y80" i="8"/>
  <c r="Y88" i="8"/>
  <c r="Y96" i="8"/>
  <c r="Y104" i="8"/>
  <c r="Y112" i="8"/>
  <c r="Y120" i="8"/>
  <c r="Y128" i="8"/>
  <c r="Y136" i="8"/>
  <c r="Y144" i="8"/>
  <c r="Y152" i="8"/>
  <c r="Y160" i="8"/>
  <c r="Y168" i="8"/>
  <c r="Y176" i="8"/>
  <c r="Y184" i="8"/>
  <c r="Y192" i="8"/>
  <c r="Y200" i="8"/>
  <c r="Y208" i="8"/>
  <c r="Y216" i="8"/>
  <c r="Y224" i="8"/>
  <c r="Y232" i="8"/>
  <c r="Y240" i="8"/>
  <c r="Y248" i="8"/>
  <c r="Y256" i="8"/>
  <c r="Y264" i="8"/>
  <c r="Y272" i="8"/>
  <c r="Y280" i="8"/>
  <c r="Y288" i="8"/>
  <c r="Y296" i="8"/>
  <c r="Y304" i="8"/>
  <c r="Y312" i="8"/>
  <c r="Y320" i="8"/>
  <c r="Y328" i="8"/>
  <c r="Y336" i="8"/>
  <c r="Y344" i="8"/>
  <c r="Y352" i="8"/>
  <c r="Y360" i="8"/>
  <c r="Y368" i="8"/>
  <c r="Y376" i="8"/>
  <c r="Y384" i="8"/>
  <c r="Y392" i="8"/>
  <c r="Y400" i="8"/>
  <c r="Y408" i="8"/>
  <c r="Y416" i="8"/>
  <c r="Y424" i="8"/>
  <c r="Y432" i="8"/>
  <c r="Y440" i="8"/>
  <c r="Y448" i="8"/>
  <c r="Y456" i="8"/>
  <c r="Y464" i="8"/>
  <c r="Y472" i="8"/>
  <c r="Y480" i="8"/>
  <c r="Y488" i="8"/>
  <c r="Y496" i="8"/>
  <c r="Y504" i="8"/>
  <c r="Y512" i="8"/>
  <c r="Y520" i="8"/>
  <c r="Y528" i="8"/>
  <c r="Y536" i="8"/>
  <c r="Y544" i="8"/>
  <c r="Y552" i="8"/>
  <c r="Y560" i="8"/>
  <c r="Y568" i="8"/>
  <c r="Y576" i="8"/>
  <c r="Y584" i="8"/>
  <c r="Y592" i="8"/>
  <c r="Y600" i="8"/>
  <c r="Y608" i="8"/>
  <c r="Y616" i="8"/>
  <c r="Y624" i="8"/>
  <c r="Y632" i="8"/>
  <c r="Y640" i="8"/>
  <c r="Y648" i="8"/>
  <c r="Y656" i="8"/>
  <c r="Y664" i="8"/>
  <c r="Y672" i="8"/>
  <c r="Y680" i="8"/>
  <c r="Y688" i="8"/>
  <c r="Y696" i="8"/>
  <c r="Y704" i="8"/>
  <c r="Y712" i="8"/>
  <c r="Y720" i="8"/>
  <c r="Y728" i="8"/>
  <c r="Y57" i="8"/>
  <c r="Y65" i="8"/>
  <c r="Y73" i="8"/>
  <c r="Y81" i="8"/>
  <c r="Y89" i="8"/>
  <c r="Y97" i="8"/>
  <c r="Y105" i="8"/>
  <c r="Y113" i="8"/>
  <c r="Y121" i="8"/>
  <c r="Y129" i="8"/>
  <c r="Y137" i="8"/>
  <c r="Y145" i="8"/>
  <c r="Y153" i="8"/>
  <c r="Y161" i="8"/>
  <c r="Y169" i="8"/>
  <c r="Y177" i="8"/>
  <c r="Y185" i="8"/>
  <c r="Y193" i="8"/>
  <c r="Y201" i="8"/>
  <c r="Y209" i="8"/>
  <c r="Y217" i="8"/>
  <c r="Y225" i="8"/>
  <c r="Y233" i="8"/>
  <c r="Y241" i="8"/>
  <c r="Y249" i="8"/>
  <c r="Y257" i="8"/>
  <c r="Y265" i="8"/>
  <c r="Y273" i="8"/>
  <c r="Y281" i="8"/>
  <c r="Y289" i="8"/>
  <c r="Y297" i="8"/>
  <c r="Y305" i="8"/>
  <c r="Y313" i="8"/>
  <c r="Y321" i="8"/>
  <c r="Y329" i="8"/>
  <c r="Y337" i="8"/>
  <c r="Y345" i="8"/>
  <c r="Y353" i="8"/>
  <c r="Y361" i="8"/>
  <c r="Y369" i="8"/>
  <c r="Y377" i="8"/>
  <c r="Y385" i="8"/>
  <c r="Y393" i="8"/>
  <c r="Y401" i="8"/>
  <c r="Y409" i="8"/>
  <c r="Y417" i="8"/>
  <c r="Y425" i="8"/>
  <c r="Y433" i="8"/>
  <c r="Y441" i="8"/>
  <c r="Y449" i="8"/>
  <c r="Y457" i="8"/>
  <c r="Y465" i="8"/>
  <c r="Y473" i="8"/>
  <c r="Y481" i="8"/>
  <c r="Y489" i="8"/>
  <c r="Y497" i="8"/>
  <c r="Y505" i="8"/>
  <c r="Y513" i="8"/>
  <c r="Y521" i="8"/>
  <c r="Y529" i="8"/>
  <c r="Y537" i="8"/>
  <c r="Y545" i="8"/>
  <c r="Y553" i="8"/>
  <c r="Y561" i="8"/>
  <c r="Y569" i="8"/>
  <c r="Y60" i="8"/>
  <c r="Y68" i="8"/>
  <c r="Y76" i="8"/>
  <c r="Y84" i="8"/>
  <c r="Y92" i="8"/>
  <c r="Y100" i="8"/>
  <c r="Y108" i="8"/>
  <c r="Y116" i="8"/>
  <c r="Y124" i="8"/>
  <c r="Y132" i="8"/>
  <c r="Y140" i="8"/>
  <c r="Y148" i="8"/>
  <c r="Y156" i="8"/>
  <c r="Y164" i="8"/>
  <c r="Y172" i="8"/>
  <c r="Y180" i="8"/>
  <c r="Y188" i="8"/>
  <c r="Y196" i="8"/>
  <c r="Y204" i="8"/>
  <c r="Y212" i="8"/>
  <c r="Y220" i="8"/>
  <c r="Y228" i="8"/>
  <c r="Y236" i="8"/>
  <c r="Y244" i="8"/>
  <c r="Y252" i="8"/>
  <c r="Y260" i="8"/>
  <c r="Y268" i="8"/>
  <c r="Y276" i="8"/>
  <c r="Y284" i="8"/>
  <c r="Y292" i="8"/>
  <c r="Y300" i="8"/>
  <c r="Y308" i="8"/>
  <c r="Y316" i="8"/>
  <c r="Y324" i="8"/>
  <c r="Y332" i="8"/>
  <c r="Y340" i="8"/>
  <c r="Y348" i="8"/>
  <c r="Y356" i="8"/>
  <c r="Y364" i="8"/>
  <c r="Y372" i="8"/>
  <c r="Y380" i="8"/>
  <c r="Y388" i="8"/>
  <c r="Y396" i="8"/>
  <c r="Y404" i="8"/>
  <c r="Y412" i="8"/>
  <c r="Y420" i="8"/>
  <c r="Y428" i="8"/>
  <c r="Y436" i="8"/>
  <c r="Y444" i="8"/>
  <c r="Y452" i="8"/>
  <c r="Y460" i="8"/>
  <c r="Y468" i="8"/>
  <c r="Y476" i="8"/>
  <c r="Y484" i="8"/>
  <c r="Y492" i="8"/>
  <c r="Y500" i="8"/>
  <c r="Y508" i="8"/>
  <c r="Y516" i="8"/>
  <c r="Y524" i="8"/>
  <c r="Y532" i="8"/>
  <c r="Y540" i="8"/>
  <c r="Y548" i="8"/>
  <c r="Y556" i="8"/>
  <c r="Y564" i="8"/>
  <c r="Y572" i="8"/>
  <c r="Y59" i="8"/>
  <c r="Y75" i="8"/>
  <c r="Y91" i="8"/>
  <c r="Y107" i="8"/>
  <c r="Y123" i="8"/>
  <c r="Y139" i="8"/>
  <c r="Y155" i="8"/>
  <c r="Y171" i="8"/>
  <c r="Y187" i="8"/>
  <c r="Y203" i="8"/>
  <c r="Y219" i="8"/>
  <c r="Y235" i="8"/>
  <c r="Y251" i="8"/>
  <c r="Y267" i="8"/>
  <c r="Y283" i="8"/>
  <c r="Y299" i="8"/>
  <c r="Y315" i="8"/>
  <c r="Y331" i="8"/>
  <c r="Y347" i="8"/>
  <c r="Y363" i="8"/>
  <c r="Y379" i="8"/>
  <c r="Y395" i="8"/>
  <c r="Y411" i="8"/>
  <c r="Y427" i="8"/>
  <c r="Y443" i="8"/>
  <c r="Y459" i="8"/>
  <c r="Y475" i="8"/>
  <c r="Y491" i="8"/>
  <c r="Y507" i="8"/>
  <c r="Y523" i="8"/>
  <c r="Y539" i="8"/>
  <c r="Y555" i="8"/>
  <c r="Y571" i="8"/>
  <c r="Y583" i="8"/>
  <c r="Y594" i="8"/>
  <c r="Y604" i="8"/>
  <c r="Y615" i="8"/>
  <c r="Y626" i="8"/>
  <c r="Y636" i="8"/>
  <c r="Y647" i="8"/>
  <c r="Y658" i="8"/>
  <c r="Y668" i="8"/>
  <c r="Y679" i="8"/>
  <c r="Y690" i="8"/>
  <c r="Y700" i="8"/>
  <c r="Y711" i="8"/>
  <c r="Y722" i="8"/>
  <c r="Y732" i="8"/>
  <c r="Y740" i="8"/>
  <c r="Y748" i="8"/>
  <c r="Y63" i="8"/>
  <c r="Y79" i="8"/>
  <c r="Y95" i="8"/>
  <c r="Y111" i="8"/>
  <c r="Y127" i="8"/>
  <c r="Y143" i="8"/>
  <c r="Y159" i="8"/>
  <c r="Y175" i="8"/>
  <c r="Y191" i="8"/>
  <c r="Y207" i="8"/>
  <c r="Y223" i="8"/>
  <c r="Y239" i="8"/>
  <c r="Y255" i="8"/>
  <c r="Y271" i="8"/>
  <c r="Y287" i="8"/>
  <c r="Y303" i="8"/>
  <c r="Y319" i="8"/>
  <c r="Y335" i="8"/>
  <c r="Y351" i="8"/>
  <c r="Y367" i="8"/>
  <c r="Y383" i="8"/>
  <c r="Y399" i="8"/>
  <c r="Y415" i="8"/>
  <c r="Y431" i="8"/>
  <c r="Y447" i="8"/>
  <c r="Y463" i="8"/>
  <c r="Y479" i="8"/>
  <c r="Y495" i="8"/>
  <c r="Y511" i="8"/>
  <c r="Y527" i="8"/>
  <c r="Y543" i="8"/>
  <c r="Y559" i="8"/>
  <c r="Y575" i="8"/>
  <c r="Y586" i="8"/>
  <c r="Y596" i="8"/>
  <c r="Y607" i="8"/>
  <c r="Y618" i="8"/>
  <c r="Y628" i="8"/>
  <c r="Y639" i="8"/>
  <c r="Y650" i="8"/>
  <c r="Y660" i="8"/>
  <c r="Y671" i="8"/>
  <c r="Y682" i="8"/>
  <c r="Y66" i="8"/>
  <c r="Y82" i="8"/>
  <c r="Y98" i="8"/>
  <c r="Y114" i="8"/>
  <c r="Y130" i="8"/>
  <c r="Y146" i="8"/>
  <c r="Y162" i="8"/>
  <c r="Y178" i="8"/>
  <c r="Y194" i="8"/>
  <c r="Y210" i="8"/>
  <c r="Y226" i="8"/>
  <c r="Y242" i="8"/>
  <c r="Y258" i="8"/>
  <c r="Y274" i="8"/>
  <c r="Y290" i="8"/>
  <c r="Y306" i="8"/>
  <c r="Y322" i="8"/>
  <c r="Y338" i="8"/>
  <c r="Y354" i="8"/>
  <c r="Y370" i="8"/>
  <c r="Y386" i="8"/>
  <c r="Y402" i="8"/>
  <c r="Y418" i="8"/>
  <c r="Y434" i="8"/>
  <c r="Y450" i="8"/>
  <c r="Y466" i="8"/>
  <c r="Y482" i="8"/>
  <c r="Y498" i="8"/>
  <c r="Y514" i="8"/>
  <c r="Y530" i="8"/>
  <c r="Y546" i="8"/>
  <c r="Y562" i="8"/>
  <c r="Y577" i="8"/>
  <c r="Y587" i="8"/>
  <c r="Y598" i="8"/>
  <c r="Y609" i="8"/>
  <c r="Y619" i="8"/>
  <c r="Y630" i="8"/>
  <c r="Y641" i="8"/>
  <c r="Y651" i="8"/>
  <c r="Y662" i="8"/>
  <c r="Y673" i="8"/>
  <c r="Y683" i="8"/>
  <c r="Y694" i="8"/>
  <c r="Y705" i="8"/>
  <c r="Y715" i="8"/>
  <c r="Y726" i="8"/>
  <c r="Y735" i="8"/>
  <c r="Y743" i="8"/>
  <c r="Y751" i="8"/>
  <c r="Y62" i="8"/>
  <c r="Y87" i="8"/>
  <c r="Y115" i="8"/>
  <c r="Y138" i="8"/>
  <c r="Y166" i="8"/>
  <c r="Y190" i="8"/>
  <c r="Y215" i="8"/>
  <c r="Y243" i="8"/>
  <c r="Y266" i="8"/>
  <c r="Y294" i="8"/>
  <c r="Y318" i="8"/>
  <c r="Y343" i="8"/>
  <c r="Y371" i="8"/>
  <c r="Y394" i="8"/>
  <c r="Y422" i="8"/>
  <c r="Y446" i="8"/>
  <c r="Y471" i="8"/>
  <c r="Y499" i="8"/>
  <c r="Y522" i="8"/>
  <c r="Y550" i="8"/>
  <c r="Y574" i="8"/>
  <c r="Y591" i="8"/>
  <c r="Y610" i="8"/>
  <c r="Y625" i="8"/>
  <c r="Y643" i="8"/>
  <c r="Y659" i="8"/>
  <c r="Y676" i="8"/>
  <c r="Y692" i="8"/>
  <c r="Y707" i="8"/>
  <c r="Y721" i="8"/>
  <c r="Y734" i="8"/>
  <c r="Y745" i="8"/>
  <c r="Y70" i="8"/>
  <c r="Y94" i="8"/>
  <c r="Y119" i="8"/>
  <c r="Y147" i="8"/>
  <c r="Y170" i="8"/>
  <c r="Y198" i="8"/>
  <c r="Y222" i="8"/>
  <c r="Y247" i="8"/>
  <c r="Y275" i="8"/>
  <c r="Y298" i="8"/>
  <c r="Y326" i="8"/>
  <c r="Y350" i="8"/>
  <c r="Y375" i="8"/>
  <c r="Y403" i="8"/>
  <c r="Y426" i="8"/>
  <c r="Y454" i="8"/>
  <c r="Y478" i="8"/>
  <c r="Y503" i="8"/>
  <c r="Y531" i="8"/>
  <c r="Y554" i="8"/>
  <c r="Y579" i="8"/>
  <c r="Y595" i="8"/>
  <c r="Y612" i="8"/>
  <c r="Y631" i="8"/>
  <c r="Y646" i="8"/>
  <c r="Y665" i="8"/>
  <c r="Y681" i="8"/>
  <c r="Y697" i="8"/>
  <c r="Y710" i="8"/>
  <c r="Y724" i="8"/>
  <c r="Y737" i="8"/>
  <c r="Y747" i="8"/>
  <c r="Y71" i="8"/>
  <c r="Y99" i="8"/>
  <c r="Y122" i="8"/>
  <c r="Y150" i="8"/>
  <c r="Y174" i="8"/>
  <c r="Y199" i="8"/>
  <c r="Y227" i="8"/>
  <c r="Y250" i="8"/>
  <c r="Y278" i="8"/>
  <c r="Y302" i="8"/>
  <c r="Y327" i="8"/>
  <c r="Y355" i="8"/>
  <c r="Y378" i="8"/>
  <c r="Y406" i="8"/>
  <c r="Y430" i="8"/>
  <c r="Y455" i="8"/>
  <c r="Y483" i="8"/>
  <c r="Y506" i="8"/>
  <c r="Y534" i="8"/>
  <c r="Y558" i="8"/>
  <c r="Y580" i="8"/>
  <c r="Y599" i="8"/>
  <c r="Y614" i="8"/>
  <c r="Y633" i="8"/>
  <c r="Y649" i="8"/>
  <c r="Y666" i="8"/>
  <c r="Y684" i="8"/>
  <c r="Y698" i="8"/>
  <c r="Y713" i="8"/>
  <c r="Y727" i="8"/>
  <c r="Y738" i="8"/>
  <c r="Y749" i="8"/>
  <c r="Y54" i="8"/>
  <c r="Y90" i="8"/>
  <c r="Y134" i="8"/>
  <c r="Y179" i="8"/>
  <c r="Y214" i="8"/>
  <c r="Y259" i="8"/>
  <c r="Y295" i="8"/>
  <c r="Y339" i="8"/>
  <c r="Y382" i="8"/>
  <c r="Y419" i="8"/>
  <c r="Y462" i="8"/>
  <c r="Y502" i="8"/>
  <c r="Y542" i="8"/>
  <c r="Y582" i="8"/>
  <c r="Y606" i="8"/>
  <c r="Y635" i="8"/>
  <c r="Y663" i="8"/>
  <c r="Y689" i="8"/>
  <c r="Y714" i="8"/>
  <c r="Y733" i="8"/>
  <c r="Y752" i="8"/>
  <c r="Y55" i="8"/>
  <c r="Y102" i="8"/>
  <c r="Y135" i="8"/>
  <c r="Y182" i="8"/>
  <c r="Y218" i="8"/>
  <c r="Y262" i="8"/>
  <c r="Y307" i="8"/>
  <c r="Y342" i="8"/>
  <c r="Y387" i="8"/>
  <c r="Y423" i="8"/>
  <c r="Y467" i="8"/>
  <c r="Y510" i="8"/>
  <c r="Y547" i="8"/>
  <c r="Y585" i="8"/>
  <c r="Y611" i="8"/>
  <c r="Y638" i="8"/>
  <c r="Y667" i="8"/>
  <c r="Y691" i="8"/>
  <c r="Y716" i="8"/>
  <c r="Y736" i="8"/>
  <c r="Y52" i="8"/>
  <c r="Y67" i="8"/>
  <c r="Y106" i="8"/>
  <c r="Y151" i="8"/>
  <c r="Y186" i="8"/>
  <c r="Y231" i="8"/>
  <c r="Y270" i="8"/>
  <c r="Y311" i="8"/>
  <c r="Y358" i="8"/>
  <c r="Y391" i="8"/>
  <c r="Y438" i="8"/>
  <c r="Y474" i="8"/>
  <c r="Y518" i="8"/>
  <c r="Y563" i="8"/>
  <c r="Y590" i="8"/>
  <c r="Y620" i="8"/>
  <c r="Y644" i="8"/>
  <c r="Y674" i="8"/>
  <c r="Y699" i="8"/>
  <c r="Y719" i="8"/>
  <c r="Y741" i="8"/>
  <c r="Y74" i="8"/>
  <c r="Y110" i="8"/>
  <c r="Y154" i="8"/>
  <c r="Y195" i="8"/>
  <c r="Y234" i="8"/>
  <c r="Y279" i="8"/>
  <c r="Y314" i="8"/>
  <c r="Y359" i="8"/>
  <c r="Y398" i="8"/>
  <c r="Y439" i="8"/>
  <c r="Y486" i="8"/>
  <c r="Y519" i="8"/>
  <c r="Y566" i="8"/>
  <c r="Y593" i="8"/>
  <c r="Y622" i="8"/>
  <c r="Y652" i="8"/>
  <c r="Y675" i="8"/>
  <c r="Y702" i="8"/>
  <c r="Y723" i="8"/>
  <c r="Y742" i="8"/>
  <c r="Y83" i="8"/>
  <c r="Y126" i="8"/>
  <c r="Y163" i="8"/>
  <c r="Y206" i="8"/>
  <c r="Y246" i="8"/>
  <c r="Y286" i="8"/>
  <c r="Y330" i="8"/>
  <c r="Y366" i="8"/>
  <c r="Y410" i="8"/>
  <c r="Y451" i="8"/>
  <c r="Y490" i="8"/>
  <c r="Y535" i="8"/>
  <c r="Y570" i="8"/>
  <c r="Y602" i="8"/>
  <c r="Y627" i="8"/>
  <c r="Y655" i="8"/>
  <c r="Y686" i="8"/>
  <c r="Y706" i="8"/>
  <c r="Y730" i="8"/>
  <c r="Y746" i="8"/>
  <c r="Y86" i="8"/>
  <c r="Y131" i="8"/>
  <c r="Y167" i="8"/>
  <c r="Y211" i="8"/>
  <c r="Y254" i="8"/>
  <c r="Y291" i="8"/>
  <c r="Y334" i="8"/>
  <c r="Y374" i="8"/>
  <c r="Y414" i="8"/>
  <c r="Y458" i="8"/>
  <c r="Y494" i="8"/>
  <c r="Y538" i="8"/>
  <c r="Y578" i="8"/>
  <c r="Y603" i="8"/>
  <c r="Y634" i="8"/>
  <c r="Y657" i="8"/>
  <c r="Y687" i="8"/>
  <c r="Y708" i="8"/>
  <c r="Y731" i="8"/>
  <c r="Y750" i="8"/>
  <c r="Y103" i="8"/>
  <c r="Y263" i="8"/>
  <c r="Y435" i="8"/>
  <c r="Y588" i="8"/>
  <c r="Y695" i="8"/>
  <c r="Y118" i="8"/>
  <c r="Y282" i="8"/>
  <c r="Y442" i="8"/>
  <c r="Y601" i="8"/>
  <c r="Y703" i="8"/>
  <c r="X53" i="8"/>
  <c r="X61" i="8"/>
  <c r="X69" i="8"/>
  <c r="X77" i="8"/>
  <c r="X85" i="8"/>
  <c r="X93" i="8"/>
  <c r="X101" i="8"/>
  <c r="X109" i="8"/>
  <c r="X117" i="8"/>
  <c r="X125" i="8"/>
  <c r="X133" i="8"/>
  <c r="Y183" i="8"/>
  <c r="Y346" i="8"/>
  <c r="Y515" i="8"/>
  <c r="Y642" i="8"/>
  <c r="Y739" i="8"/>
  <c r="X56" i="8"/>
  <c r="X64" i="8"/>
  <c r="X72" i="8"/>
  <c r="X80" i="8"/>
  <c r="X88" i="8"/>
  <c r="X96" i="8"/>
  <c r="X104" i="8"/>
  <c r="X112" i="8"/>
  <c r="X120" i="8"/>
  <c r="X128" i="8"/>
  <c r="X136" i="8"/>
  <c r="Y58" i="8"/>
  <c r="Y323" i="8"/>
  <c r="Y567" i="8"/>
  <c r="Y744" i="8"/>
  <c r="Y142" i="8"/>
  <c r="Y390" i="8"/>
  <c r="Y623" i="8"/>
  <c r="X54" i="8"/>
  <c r="X65" i="8"/>
  <c r="X75" i="8"/>
  <c r="X86" i="8"/>
  <c r="X97" i="8"/>
  <c r="X107" i="8"/>
  <c r="X118" i="8"/>
  <c r="X129" i="8"/>
  <c r="X139" i="8"/>
  <c r="X147" i="8"/>
  <c r="X155" i="8"/>
  <c r="X163" i="8"/>
  <c r="X171" i="8"/>
  <c r="X179" i="8"/>
  <c r="X187" i="8"/>
  <c r="X195" i="8"/>
  <c r="X203" i="8"/>
  <c r="X211" i="8"/>
  <c r="X219" i="8"/>
  <c r="X227" i="8"/>
  <c r="X235" i="8"/>
  <c r="Y158" i="8"/>
  <c r="Y407" i="8"/>
  <c r="Y654" i="8"/>
  <c r="X55" i="8"/>
  <c r="X66" i="8"/>
  <c r="X76" i="8"/>
  <c r="X87" i="8"/>
  <c r="X98" i="8"/>
  <c r="X108" i="8"/>
  <c r="X119" i="8"/>
  <c r="X130" i="8"/>
  <c r="X140" i="8"/>
  <c r="X148" i="8"/>
  <c r="X156" i="8"/>
  <c r="X164" i="8"/>
  <c r="X172" i="8"/>
  <c r="X180" i="8"/>
  <c r="X188" i="8"/>
  <c r="X196" i="8"/>
  <c r="X204" i="8"/>
  <c r="X212" i="8"/>
  <c r="X220" i="8"/>
  <c r="X228" i="8"/>
  <c r="X236" i="8"/>
  <c r="X244" i="8"/>
  <c r="X252" i="8"/>
  <c r="X260" i="8"/>
  <c r="X268" i="8"/>
  <c r="X276" i="8"/>
  <c r="X284" i="8"/>
  <c r="X292" i="8"/>
  <c r="X300" i="8"/>
  <c r="X308" i="8"/>
  <c r="X316" i="8"/>
  <c r="X324" i="8"/>
  <c r="X332" i="8"/>
  <c r="X340" i="8"/>
  <c r="X348" i="8"/>
  <c r="X356" i="8"/>
  <c r="X364" i="8"/>
  <c r="X372" i="8"/>
  <c r="X380" i="8"/>
  <c r="X388" i="8"/>
  <c r="X396" i="8"/>
  <c r="X404" i="8"/>
  <c r="X412" i="8"/>
  <c r="X420" i="8"/>
  <c r="X428" i="8"/>
  <c r="X436" i="8"/>
  <c r="X444" i="8"/>
  <c r="X452" i="8"/>
  <c r="X460" i="8"/>
  <c r="X468" i="8"/>
  <c r="X476" i="8"/>
  <c r="X484" i="8"/>
  <c r="X492" i="8"/>
  <c r="X500" i="8"/>
  <c r="X508" i="8"/>
  <c r="X516" i="8"/>
  <c r="X524" i="8"/>
  <c r="X532" i="8"/>
  <c r="X540" i="8"/>
  <c r="X548" i="8"/>
  <c r="X556" i="8"/>
  <c r="X564" i="8"/>
  <c r="X572" i="8"/>
  <c r="X580" i="8"/>
  <c r="X588" i="8"/>
  <c r="X596" i="8"/>
  <c r="X604" i="8"/>
  <c r="X612" i="8"/>
  <c r="X620" i="8"/>
  <c r="X628" i="8"/>
  <c r="X636" i="8"/>
  <c r="X644" i="8"/>
  <c r="X652" i="8"/>
  <c r="X660" i="8"/>
  <c r="X668" i="8"/>
  <c r="X676" i="8"/>
  <c r="X684" i="8"/>
  <c r="X692" i="8"/>
  <c r="X700" i="8"/>
  <c r="X708" i="8"/>
  <c r="X716" i="8"/>
  <c r="X724" i="8"/>
  <c r="X732" i="8"/>
  <c r="X740" i="8"/>
  <c r="X748" i="8"/>
  <c r="Y202" i="8"/>
  <c r="Y470" i="8"/>
  <c r="Y670" i="8"/>
  <c r="Y238" i="8"/>
  <c r="Y526" i="8"/>
  <c r="Y718" i="8"/>
  <c r="X59" i="8"/>
  <c r="X70" i="8"/>
  <c r="X81" i="8"/>
  <c r="X91" i="8"/>
  <c r="X102" i="8"/>
  <c r="X113" i="8"/>
  <c r="X123" i="8"/>
  <c r="X134" i="8"/>
  <c r="X143" i="8"/>
  <c r="X151" i="8"/>
  <c r="X159" i="8"/>
  <c r="X167" i="8"/>
  <c r="X175" i="8"/>
  <c r="X183" i="8"/>
  <c r="X191" i="8"/>
  <c r="X199" i="8"/>
  <c r="X207" i="8"/>
  <c r="X215" i="8"/>
  <c r="X223" i="8"/>
  <c r="X231" i="8"/>
  <c r="X239" i="8"/>
  <c r="X247" i="8"/>
  <c r="X255" i="8"/>
  <c r="X263" i="8"/>
  <c r="X271" i="8"/>
  <c r="X279" i="8"/>
  <c r="X287" i="8"/>
  <c r="X295" i="8"/>
  <c r="X303" i="8"/>
  <c r="X311" i="8"/>
  <c r="X319" i="8"/>
  <c r="X327" i="8"/>
  <c r="X335" i="8"/>
  <c r="X343" i="8"/>
  <c r="X351" i="8"/>
  <c r="X359" i="8"/>
  <c r="X367" i="8"/>
  <c r="X375" i="8"/>
  <c r="X383" i="8"/>
  <c r="X391" i="8"/>
  <c r="X399" i="8"/>
  <c r="X407" i="8"/>
  <c r="X415" i="8"/>
  <c r="X423" i="8"/>
  <c r="X431" i="8"/>
  <c r="X439" i="8"/>
  <c r="X447" i="8"/>
  <c r="X455" i="8"/>
  <c r="X463" i="8"/>
  <c r="X471" i="8"/>
  <c r="X479" i="8"/>
  <c r="X487" i="8"/>
  <c r="X495" i="8"/>
  <c r="X503" i="8"/>
  <c r="X511" i="8"/>
  <c r="X519" i="8"/>
  <c r="X527" i="8"/>
  <c r="X535" i="8"/>
  <c r="X543" i="8"/>
  <c r="X551" i="8"/>
  <c r="X559" i="8"/>
  <c r="X567" i="8"/>
  <c r="X575" i="8"/>
  <c r="X583" i="8"/>
  <c r="X591" i="8"/>
  <c r="X599" i="8"/>
  <c r="X607" i="8"/>
  <c r="X615" i="8"/>
  <c r="X623" i="8"/>
  <c r="X631" i="8"/>
  <c r="X639" i="8"/>
  <c r="X647" i="8"/>
  <c r="X655" i="8"/>
  <c r="X663" i="8"/>
  <c r="X671" i="8"/>
  <c r="X679" i="8"/>
  <c r="X687" i="8"/>
  <c r="X695" i="8"/>
  <c r="X703" i="8"/>
  <c r="X711" i="8"/>
  <c r="X719" i="8"/>
  <c r="X727" i="8"/>
  <c r="X735" i="8"/>
  <c r="X743" i="8"/>
  <c r="X751" i="8"/>
  <c r="Y78" i="8"/>
  <c r="Y729" i="8"/>
  <c r="Y230" i="8"/>
  <c r="X60" i="8"/>
  <c r="X78" i="8"/>
  <c r="X94" i="8"/>
  <c r="X111" i="8"/>
  <c r="X127" i="8"/>
  <c r="X144" i="8"/>
  <c r="X157" i="8"/>
  <c r="X169" i="8"/>
  <c r="X182" i="8"/>
  <c r="X194" i="8"/>
  <c r="X208" i="8"/>
  <c r="X221" i="8"/>
  <c r="X233" i="8"/>
  <c r="X245" i="8"/>
  <c r="X256" i="8"/>
  <c r="X266" i="8"/>
  <c r="X277" i="8"/>
  <c r="X288" i="8"/>
  <c r="X298" i="8"/>
  <c r="X309" i="8"/>
  <c r="X320" i="8"/>
  <c r="X330" i="8"/>
  <c r="X341" i="8"/>
  <c r="X352" i="8"/>
  <c r="X362" i="8"/>
  <c r="X373" i="8"/>
  <c r="X384" i="8"/>
  <c r="X394" i="8"/>
  <c r="X405" i="8"/>
  <c r="X416" i="8"/>
  <c r="X426" i="8"/>
  <c r="X437" i="8"/>
  <c r="X448" i="8"/>
  <c r="X458" i="8"/>
  <c r="X469" i="8"/>
  <c r="X480" i="8"/>
  <c r="X490" i="8"/>
  <c r="X501" i="8"/>
  <c r="X512" i="8"/>
  <c r="X522" i="8"/>
  <c r="X533" i="8"/>
  <c r="X544" i="8"/>
  <c r="X554" i="8"/>
  <c r="X565" i="8"/>
  <c r="X576" i="8"/>
  <c r="X586" i="8"/>
  <c r="X597" i="8"/>
  <c r="X608" i="8"/>
  <c r="X618" i="8"/>
  <c r="X629" i="8"/>
  <c r="Y310" i="8"/>
  <c r="X62" i="8"/>
  <c r="X79" i="8"/>
  <c r="X95" i="8"/>
  <c r="X114" i="8"/>
  <c r="X131" i="8"/>
  <c r="X145" i="8"/>
  <c r="X158" i="8"/>
  <c r="X170" i="8"/>
  <c r="X184" i="8"/>
  <c r="X197" i="8"/>
  <c r="X209" i="8"/>
  <c r="X222" i="8"/>
  <c r="X234" i="8"/>
  <c r="X246" i="8"/>
  <c r="X257" i="8"/>
  <c r="X267" i="8"/>
  <c r="X278" i="8"/>
  <c r="X289" i="8"/>
  <c r="X299" i="8"/>
  <c r="X310" i="8"/>
  <c r="X321" i="8"/>
  <c r="X331" i="8"/>
  <c r="X342" i="8"/>
  <c r="X353" i="8"/>
  <c r="X363" i="8"/>
  <c r="X374" i="8"/>
  <c r="X385" i="8"/>
  <c r="X395" i="8"/>
  <c r="X406" i="8"/>
  <c r="X417" i="8"/>
  <c r="X427" i="8"/>
  <c r="X438" i="8"/>
  <c r="X449" i="8"/>
  <c r="X459" i="8"/>
  <c r="X470" i="8"/>
  <c r="X481" i="8"/>
  <c r="X491" i="8"/>
  <c r="X502" i="8"/>
  <c r="X513" i="8"/>
  <c r="X523" i="8"/>
  <c r="X534" i="8"/>
  <c r="X545" i="8"/>
  <c r="X555" i="8"/>
  <c r="X566" i="8"/>
  <c r="X577" i="8"/>
  <c r="X587" i="8"/>
  <c r="X598" i="8"/>
  <c r="X609" i="8"/>
  <c r="X619" i="8"/>
  <c r="X630" i="8"/>
  <c r="X641" i="8"/>
  <c r="X651" i="8"/>
  <c r="X662" i="8"/>
  <c r="X673" i="8"/>
  <c r="X683" i="8"/>
  <c r="X694" i="8"/>
  <c r="X705" i="8"/>
  <c r="X715" i="8"/>
  <c r="X726" i="8"/>
  <c r="X737" i="8"/>
  <c r="X747" i="8"/>
  <c r="Y362" i="8"/>
  <c r="X63" i="8"/>
  <c r="X82" i="8"/>
  <c r="X99" i="8"/>
  <c r="X115" i="8"/>
  <c r="X132" i="8"/>
  <c r="X146" i="8"/>
  <c r="X160" i="8"/>
  <c r="X173" i="8"/>
  <c r="X185" i="8"/>
  <c r="X198" i="8"/>
  <c r="X210" i="8"/>
  <c r="X224" i="8"/>
  <c r="X237" i="8"/>
  <c r="X248" i="8"/>
  <c r="X258" i="8"/>
  <c r="X269" i="8"/>
  <c r="X280" i="8"/>
  <c r="X290" i="8"/>
  <c r="X301" i="8"/>
  <c r="X312" i="8"/>
  <c r="X322" i="8"/>
  <c r="X333" i="8"/>
  <c r="X344" i="8"/>
  <c r="X354" i="8"/>
  <c r="X365" i="8"/>
  <c r="X376" i="8"/>
  <c r="X386" i="8"/>
  <c r="X397" i="8"/>
  <c r="X408" i="8"/>
  <c r="X418" i="8"/>
  <c r="X429" i="8"/>
  <c r="X440" i="8"/>
  <c r="X450" i="8"/>
  <c r="X461" i="8"/>
  <c r="X472" i="8"/>
  <c r="X482" i="8"/>
  <c r="X493" i="8"/>
  <c r="X504" i="8"/>
  <c r="X514" i="8"/>
  <c r="X525" i="8"/>
  <c r="X536" i="8"/>
  <c r="X546" i="8"/>
  <c r="X557" i="8"/>
  <c r="X568" i="8"/>
  <c r="X578" i="8"/>
  <c r="X589" i="8"/>
  <c r="X600" i="8"/>
  <c r="X610" i="8"/>
  <c r="X621" i="8"/>
  <c r="X632" i="8"/>
  <c r="X642" i="8"/>
  <c r="X653" i="8"/>
  <c r="X664" i="8"/>
  <c r="X674" i="8"/>
  <c r="X685" i="8"/>
  <c r="X696" i="8"/>
  <c r="X706" i="8"/>
  <c r="X717" i="8"/>
  <c r="X728" i="8"/>
  <c r="X738" i="8"/>
  <c r="X749" i="8"/>
  <c r="Y487" i="8"/>
  <c r="X67" i="8"/>
  <c r="X83" i="8"/>
  <c r="Y551" i="8"/>
  <c r="X68" i="8"/>
  <c r="X84" i="8"/>
  <c r="X103" i="8"/>
  <c r="X121" i="8"/>
  <c r="X137" i="8"/>
  <c r="X150" i="8"/>
  <c r="X162" i="8"/>
  <c r="X176" i="8"/>
  <c r="X189" i="8"/>
  <c r="X201" i="8"/>
  <c r="X214" i="8"/>
  <c r="X226" i="8"/>
  <c r="X240" i="8"/>
  <c r="X250" i="8"/>
  <c r="X261" i="8"/>
  <c r="X272" i="8"/>
  <c r="X282" i="8"/>
  <c r="X293" i="8"/>
  <c r="X304" i="8"/>
  <c r="X314" i="8"/>
  <c r="X325" i="8"/>
  <c r="X336" i="8"/>
  <c r="X346" i="8"/>
  <c r="X357" i="8"/>
  <c r="X368" i="8"/>
  <c r="X378" i="8"/>
  <c r="X389" i="8"/>
  <c r="X400" i="8"/>
  <c r="X410" i="8"/>
  <c r="X421" i="8"/>
  <c r="X432" i="8"/>
  <c r="X442" i="8"/>
  <c r="X453" i="8"/>
  <c r="X464" i="8"/>
  <c r="X474" i="8"/>
  <c r="X485" i="8"/>
  <c r="X496" i="8"/>
  <c r="X506" i="8"/>
  <c r="X517" i="8"/>
  <c r="X528" i="8"/>
  <c r="X538" i="8"/>
  <c r="X549" i="8"/>
  <c r="X560" i="8"/>
  <c r="X570" i="8"/>
  <c r="X581" i="8"/>
  <c r="X592" i="8"/>
  <c r="X602" i="8"/>
  <c r="X613" i="8"/>
  <c r="X624" i="8"/>
  <c r="X634" i="8"/>
  <c r="Y617" i="8"/>
  <c r="X71" i="8"/>
  <c r="X89" i="8"/>
  <c r="X105" i="8"/>
  <c r="X122" i="8"/>
  <c r="X138" i="8"/>
  <c r="X152" i="8"/>
  <c r="X165" i="8"/>
  <c r="X177" i="8"/>
  <c r="X190" i="8"/>
  <c r="X202" i="8"/>
  <c r="X216" i="8"/>
  <c r="X229" i="8"/>
  <c r="X241" i="8"/>
  <c r="X251" i="8"/>
  <c r="X262" i="8"/>
  <c r="X273" i="8"/>
  <c r="X283" i="8"/>
  <c r="X294" i="8"/>
  <c r="X305" i="8"/>
  <c r="X315" i="8"/>
  <c r="X326" i="8"/>
  <c r="X337" i="8"/>
  <c r="X347" i="8"/>
  <c r="X358" i="8"/>
  <c r="X369" i="8"/>
  <c r="X379" i="8"/>
  <c r="X390" i="8"/>
  <c r="X401" i="8"/>
  <c r="X411" i="8"/>
  <c r="X422" i="8"/>
  <c r="X433" i="8"/>
  <c r="X443" i="8"/>
  <c r="X454" i="8"/>
  <c r="X465" i="8"/>
  <c r="X475" i="8"/>
  <c r="X486" i="8"/>
  <c r="X497" i="8"/>
  <c r="X507" i="8"/>
  <c r="X518" i="8"/>
  <c r="X529" i="8"/>
  <c r="X539" i="8"/>
  <c r="X550" i="8"/>
  <c r="X561" i="8"/>
  <c r="X571" i="8"/>
  <c r="X582" i="8"/>
  <c r="X593" i="8"/>
  <c r="X603" i="8"/>
  <c r="X614" i="8"/>
  <c r="X625" i="8"/>
  <c r="X635" i="8"/>
  <c r="X646" i="8"/>
  <c r="X657" i="8"/>
  <c r="X667" i="8"/>
  <c r="X678" i="8"/>
  <c r="X689" i="8"/>
  <c r="X699" i="8"/>
  <c r="X710" i="8"/>
  <c r="X721" i="8"/>
  <c r="X731" i="8"/>
  <c r="X742" i="8"/>
  <c r="X52" i="8"/>
  <c r="Y678" i="8"/>
  <c r="X57" i="8"/>
  <c r="X73" i="8"/>
  <c r="X90" i="8"/>
  <c r="X106" i="8"/>
  <c r="X124" i="8"/>
  <c r="X141" i="8"/>
  <c r="X153" i="8"/>
  <c r="X166" i="8"/>
  <c r="X178" i="8"/>
  <c r="X192" i="8"/>
  <c r="X205" i="8"/>
  <c r="X217" i="8"/>
  <c r="X230" i="8"/>
  <c r="X242" i="8"/>
  <c r="X253" i="8"/>
  <c r="X264" i="8"/>
  <c r="X274" i="8"/>
  <c r="X285" i="8"/>
  <c r="X296" i="8"/>
  <c r="X306" i="8"/>
  <c r="X317" i="8"/>
  <c r="X328" i="8"/>
  <c r="X338" i="8"/>
  <c r="X349" i="8"/>
  <c r="X360" i="8"/>
  <c r="X370" i="8"/>
  <c r="X381" i="8"/>
  <c r="X392" i="8"/>
  <c r="X402" i="8"/>
  <c r="X413" i="8"/>
  <c r="X424" i="8"/>
  <c r="X434" i="8"/>
  <c r="X445" i="8"/>
  <c r="X456" i="8"/>
  <c r="X466" i="8"/>
  <c r="X477" i="8"/>
  <c r="X488" i="8"/>
  <c r="X498" i="8"/>
  <c r="X509" i="8"/>
  <c r="X520" i="8"/>
  <c r="X530" i="8"/>
  <c r="X541" i="8"/>
  <c r="X552" i="8"/>
  <c r="X562" i="8"/>
  <c r="X573" i="8"/>
  <c r="X584" i="8"/>
  <c r="X594" i="8"/>
  <c r="X605" i="8"/>
  <c r="X616" i="8"/>
  <c r="X626" i="8"/>
  <c r="X637" i="8"/>
  <c r="X648" i="8"/>
  <c r="X658" i="8"/>
  <c r="X669" i="8"/>
  <c r="X680" i="8"/>
  <c r="X690" i="8"/>
  <c r="X701" i="8"/>
  <c r="X712" i="8"/>
  <c r="X722" i="8"/>
  <c r="X733" i="8"/>
  <c r="X744" i="8"/>
  <c r="X116" i="8"/>
  <c r="X174" i="8"/>
  <c r="X225" i="8"/>
  <c r="X270" i="8"/>
  <c r="X313" i="8"/>
  <c r="X355" i="8"/>
  <c r="X398" i="8"/>
  <c r="X441" i="8"/>
  <c r="X483" i="8"/>
  <c r="X526" i="8"/>
  <c r="X569" i="8"/>
  <c r="X611" i="8"/>
  <c r="X645" i="8"/>
  <c r="X666" i="8"/>
  <c r="X688" i="8"/>
  <c r="X709" i="8"/>
  <c r="X730" i="8"/>
  <c r="X752" i="8"/>
  <c r="X126" i="8"/>
  <c r="X181" i="8"/>
  <c r="X232" i="8"/>
  <c r="X275" i="8"/>
  <c r="X318" i="8"/>
  <c r="X361" i="8"/>
  <c r="X403" i="8"/>
  <c r="X446" i="8"/>
  <c r="X489" i="8"/>
  <c r="X531" i="8"/>
  <c r="X574" i="8"/>
  <c r="X617" i="8"/>
  <c r="X649" i="8"/>
  <c r="X670" i="8"/>
  <c r="X691" i="8"/>
  <c r="X713" i="8"/>
  <c r="X734" i="8"/>
  <c r="X58" i="8"/>
  <c r="X142" i="8"/>
  <c r="X193" i="8"/>
  <c r="X243" i="8"/>
  <c r="X286" i="8"/>
  <c r="X329" i="8"/>
  <c r="X371" i="8"/>
  <c r="X414" i="8"/>
  <c r="X457" i="8"/>
  <c r="X499" i="8"/>
  <c r="X542" i="8"/>
  <c r="X585" i="8"/>
  <c r="X627" i="8"/>
  <c r="X654" i="8"/>
  <c r="X675" i="8"/>
  <c r="X697" i="8"/>
  <c r="X718" i="8"/>
  <c r="X739" i="8"/>
  <c r="X74" i="8"/>
  <c r="X149" i="8"/>
  <c r="X200" i="8"/>
  <c r="X249" i="8"/>
  <c r="X291" i="8"/>
  <c r="X334" i="8"/>
  <c r="X377" i="8"/>
  <c r="X419" i="8"/>
  <c r="X462" i="8"/>
  <c r="X505" i="8"/>
  <c r="X547" i="8"/>
  <c r="X590" i="8"/>
  <c r="X633" i="8"/>
  <c r="X656" i="8"/>
  <c r="X677" i="8"/>
  <c r="X698" i="8"/>
  <c r="X720" i="8"/>
  <c r="X741" i="8"/>
  <c r="X92" i="8"/>
  <c r="X154" i="8"/>
  <c r="X206" i="8"/>
  <c r="X254" i="8"/>
  <c r="X297" i="8"/>
  <c r="X339" i="8"/>
  <c r="X382" i="8"/>
  <c r="X425" i="8"/>
  <c r="X467" i="8"/>
  <c r="X510" i="8"/>
  <c r="X553" i="8"/>
  <c r="X595" i="8"/>
  <c r="X638" i="8"/>
  <c r="X659" i="8"/>
  <c r="X681" i="8"/>
  <c r="X702" i="8"/>
  <c r="X723" i="8"/>
  <c r="X745" i="8"/>
  <c r="X110" i="8"/>
  <c r="X259" i="8"/>
  <c r="X366" i="8"/>
  <c r="X478" i="8"/>
  <c r="X601" i="8"/>
  <c r="X672" i="8"/>
  <c r="X729" i="8"/>
  <c r="X135" i="8"/>
  <c r="X265" i="8"/>
  <c r="X387" i="8"/>
  <c r="X494" i="8"/>
  <c r="X606" i="8"/>
  <c r="X682" i="8"/>
  <c r="X736" i="8"/>
  <c r="X168" i="8"/>
  <c r="X302" i="8"/>
  <c r="X409" i="8"/>
  <c r="X521" i="8"/>
  <c r="X640" i="8"/>
  <c r="X693" i="8"/>
  <c r="X750" i="8"/>
  <c r="X186" i="8"/>
  <c r="X307" i="8"/>
  <c r="X430" i="8"/>
  <c r="X537" i="8"/>
  <c r="X643" i="8"/>
  <c r="X704" i="8"/>
  <c r="X213" i="8"/>
  <c r="X323" i="8"/>
  <c r="X435" i="8"/>
  <c r="X558" i="8"/>
  <c r="X650" i="8"/>
  <c r="X707" i="8"/>
  <c r="X345" i="8"/>
  <c r="X622" i="8"/>
  <c r="I57" i="8"/>
  <c r="I65" i="8"/>
  <c r="I73" i="8"/>
  <c r="I81" i="8"/>
  <c r="I89" i="8"/>
  <c r="I97" i="8"/>
  <c r="I105" i="8"/>
  <c r="I113" i="8"/>
  <c r="I121" i="8"/>
  <c r="I129" i="8"/>
  <c r="I137" i="8"/>
  <c r="I145" i="8"/>
  <c r="I153" i="8"/>
  <c r="I161" i="8"/>
  <c r="I169" i="8"/>
  <c r="I177" i="8"/>
  <c r="I185" i="8"/>
  <c r="I193" i="8"/>
  <c r="I201" i="8"/>
  <c r="I209" i="8"/>
  <c r="I217" i="8"/>
  <c r="I225" i="8"/>
  <c r="I233" i="8"/>
  <c r="I241" i="8"/>
  <c r="I249" i="8"/>
  <c r="I257" i="8"/>
  <c r="I265" i="8"/>
  <c r="I273" i="8"/>
  <c r="I281" i="8"/>
  <c r="I289" i="8"/>
  <c r="I297" i="8"/>
  <c r="I305" i="8"/>
  <c r="I313" i="8"/>
  <c r="I321" i="8"/>
  <c r="I329" i="8"/>
  <c r="I337" i="8"/>
  <c r="I345" i="8"/>
  <c r="I353" i="8"/>
  <c r="I361" i="8"/>
  <c r="I369" i="8"/>
  <c r="I377" i="8"/>
  <c r="I385" i="8"/>
  <c r="I393" i="8"/>
  <c r="I401" i="8"/>
  <c r="I409" i="8"/>
  <c r="I417" i="8"/>
  <c r="I425" i="8"/>
  <c r="I433" i="8"/>
  <c r="I441" i="8"/>
  <c r="I449" i="8"/>
  <c r="I457" i="8"/>
  <c r="I465" i="8"/>
  <c r="I473" i="8"/>
  <c r="I481" i="8"/>
  <c r="I489" i="8"/>
  <c r="I497" i="8"/>
  <c r="I505" i="8"/>
  <c r="I513" i="8"/>
  <c r="I521" i="8"/>
  <c r="I529" i="8"/>
  <c r="I537" i="8"/>
  <c r="I545" i="8"/>
  <c r="I553" i="8"/>
  <c r="I561" i="8"/>
  <c r="I569" i="8"/>
  <c r="I577" i="8"/>
  <c r="I585" i="8"/>
  <c r="I593" i="8"/>
  <c r="I601" i="8"/>
  <c r="I609" i="8"/>
  <c r="I617" i="8"/>
  <c r="I625" i="8"/>
  <c r="I633" i="8"/>
  <c r="I641" i="8"/>
  <c r="I649" i="8"/>
  <c r="I657" i="8"/>
  <c r="I665" i="8"/>
  <c r="I673" i="8"/>
  <c r="I681" i="8"/>
  <c r="I689" i="8"/>
  <c r="I697" i="8"/>
  <c r="I705" i="8"/>
  <c r="I713" i="8"/>
  <c r="I721" i="8"/>
  <c r="I729" i="8"/>
  <c r="I737" i="8"/>
  <c r="I745" i="8"/>
  <c r="I52" i="8"/>
  <c r="X350" i="8"/>
  <c r="X661" i="8"/>
  <c r="I58" i="8"/>
  <c r="I66" i="8"/>
  <c r="I74" i="8"/>
  <c r="I82" i="8"/>
  <c r="I90" i="8"/>
  <c r="I98" i="8"/>
  <c r="I106" i="8"/>
  <c r="I114" i="8"/>
  <c r="I122" i="8"/>
  <c r="I130" i="8"/>
  <c r="I138" i="8"/>
  <c r="I146" i="8"/>
  <c r="I154" i="8"/>
  <c r="I162" i="8"/>
  <c r="I170" i="8"/>
  <c r="I178" i="8"/>
  <c r="I186" i="8"/>
  <c r="I194" i="8"/>
  <c r="I202" i="8"/>
  <c r="I210" i="8"/>
  <c r="X393" i="8"/>
  <c r="X665" i="8"/>
  <c r="I59" i="8"/>
  <c r="I67" i="8"/>
  <c r="I75" i="8"/>
  <c r="I83" i="8"/>
  <c r="I91" i="8"/>
  <c r="I99" i="8"/>
  <c r="I107" i="8"/>
  <c r="I115" i="8"/>
  <c r="I123" i="8"/>
  <c r="I131" i="8"/>
  <c r="I139" i="8"/>
  <c r="I147" i="8"/>
  <c r="I155" i="8"/>
  <c r="I163" i="8"/>
  <c r="I171" i="8"/>
  <c r="I179" i="8"/>
  <c r="I187" i="8"/>
  <c r="I195" i="8"/>
  <c r="I203" i="8"/>
  <c r="I211" i="8"/>
  <c r="I219" i="8"/>
  <c r="I227" i="8"/>
  <c r="I235" i="8"/>
  <c r="I243" i="8"/>
  <c r="I251" i="8"/>
  <c r="I259" i="8"/>
  <c r="I267" i="8"/>
  <c r="I275" i="8"/>
  <c r="I283" i="8"/>
  <c r="I291" i="8"/>
  <c r="I299" i="8"/>
  <c r="I307" i="8"/>
  <c r="I315" i="8"/>
  <c r="I323" i="8"/>
  <c r="I331" i="8"/>
  <c r="I339" i="8"/>
  <c r="I347" i="8"/>
  <c r="I355" i="8"/>
  <c r="I363" i="8"/>
  <c r="I371" i="8"/>
  <c r="I379" i="8"/>
  <c r="I387" i="8"/>
  <c r="I395" i="8"/>
  <c r="I403" i="8"/>
  <c r="I411" i="8"/>
  <c r="I419" i="8"/>
  <c r="I427" i="8"/>
  <c r="I435" i="8"/>
  <c r="I443" i="8"/>
  <c r="I451" i="8"/>
  <c r="I459" i="8"/>
  <c r="I467" i="8"/>
  <c r="I475" i="8"/>
  <c r="I483" i="8"/>
  <c r="I491" i="8"/>
  <c r="I499" i="8"/>
  <c r="I507" i="8"/>
  <c r="I515" i="8"/>
  <c r="I523" i="8"/>
  <c r="I531" i="8"/>
  <c r="I539" i="8"/>
  <c r="I547" i="8"/>
  <c r="I555" i="8"/>
  <c r="I563" i="8"/>
  <c r="I571" i="8"/>
  <c r="I579" i="8"/>
  <c r="I587" i="8"/>
  <c r="I595" i="8"/>
  <c r="I603" i="8"/>
  <c r="I611" i="8"/>
  <c r="I619" i="8"/>
  <c r="I627" i="8"/>
  <c r="I635" i="8"/>
  <c r="I643" i="8"/>
  <c r="I651" i="8"/>
  <c r="I659" i="8"/>
  <c r="I667" i="8"/>
  <c r="I675" i="8"/>
  <c r="I683" i="8"/>
  <c r="I691" i="8"/>
  <c r="I699" i="8"/>
  <c r="I707" i="8"/>
  <c r="I715" i="8"/>
  <c r="I723" i="8"/>
  <c r="I731" i="8"/>
  <c r="I739" i="8"/>
  <c r="I747" i="8"/>
  <c r="X100" i="8"/>
  <c r="X451" i="8"/>
  <c r="X686" i="8"/>
  <c r="I60" i="8"/>
  <c r="I68" i="8"/>
  <c r="I76" i="8"/>
  <c r="I84" i="8"/>
  <c r="I92" i="8"/>
  <c r="I100" i="8"/>
  <c r="I108" i="8"/>
  <c r="I116" i="8"/>
  <c r="I124" i="8"/>
  <c r="I132" i="8"/>
  <c r="I140" i="8"/>
  <c r="I148" i="8"/>
  <c r="I156" i="8"/>
  <c r="I164" i="8"/>
  <c r="I172" i="8"/>
  <c r="I180" i="8"/>
  <c r="I188" i="8"/>
  <c r="I196" i="8"/>
  <c r="I204" i="8"/>
  <c r="I212" i="8"/>
  <c r="X161" i="8"/>
  <c r="X473" i="8"/>
  <c r="X714" i="8"/>
  <c r="I53" i="8"/>
  <c r="I61" i="8"/>
  <c r="I69" i="8"/>
  <c r="I77" i="8"/>
  <c r="I85" i="8"/>
  <c r="I93" i="8"/>
  <c r="I101" i="8"/>
  <c r="I109" i="8"/>
  <c r="I117" i="8"/>
  <c r="I125" i="8"/>
  <c r="I133" i="8"/>
  <c r="I141" i="8"/>
  <c r="I149" i="8"/>
  <c r="I157" i="8"/>
  <c r="I165" i="8"/>
  <c r="I173" i="8"/>
  <c r="I181" i="8"/>
  <c r="I189" i="8"/>
  <c r="I197" i="8"/>
  <c r="I205" i="8"/>
  <c r="I213" i="8"/>
  <c r="I221" i="8"/>
  <c r="I229" i="8"/>
  <c r="I237" i="8"/>
  <c r="I245" i="8"/>
  <c r="I253" i="8"/>
  <c r="I261" i="8"/>
  <c r="I269" i="8"/>
  <c r="I277" i="8"/>
  <c r="I285" i="8"/>
  <c r="I293" i="8"/>
  <c r="I301" i="8"/>
  <c r="I309" i="8"/>
  <c r="I317" i="8"/>
  <c r="I325" i="8"/>
  <c r="I333" i="8"/>
  <c r="I341" i="8"/>
  <c r="I349" i="8"/>
  <c r="I357" i="8"/>
  <c r="I365" i="8"/>
  <c r="I373" i="8"/>
  <c r="I381" i="8"/>
  <c r="I389" i="8"/>
  <c r="I397" i="8"/>
  <c r="I405" i="8"/>
  <c r="I413" i="8"/>
  <c r="I421" i="8"/>
  <c r="I429" i="8"/>
  <c r="I437" i="8"/>
  <c r="I445" i="8"/>
  <c r="I453" i="8"/>
  <c r="I461" i="8"/>
  <c r="I469" i="8"/>
  <c r="I477" i="8"/>
  <c r="I485" i="8"/>
  <c r="I493" i="8"/>
  <c r="I501" i="8"/>
  <c r="I509" i="8"/>
  <c r="I517" i="8"/>
  <c r="I525" i="8"/>
  <c r="I533" i="8"/>
  <c r="I541" i="8"/>
  <c r="I549" i="8"/>
  <c r="I557" i="8"/>
  <c r="I565" i="8"/>
  <c r="I573" i="8"/>
  <c r="I581" i="8"/>
  <c r="I589" i="8"/>
  <c r="I597" i="8"/>
  <c r="I605" i="8"/>
  <c r="I613" i="8"/>
  <c r="I621" i="8"/>
  <c r="I629" i="8"/>
  <c r="I637" i="8"/>
  <c r="I645" i="8"/>
  <c r="I653" i="8"/>
  <c r="I661" i="8"/>
  <c r="I669" i="8"/>
  <c r="I677" i="8"/>
  <c r="I685" i="8"/>
  <c r="I693" i="8"/>
  <c r="I701" i="8"/>
  <c r="I709" i="8"/>
  <c r="I717" i="8"/>
  <c r="I725" i="8"/>
  <c r="I733" i="8"/>
  <c r="I741" i="8"/>
  <c r="I749" i="8"/>
  <c r="X218" i="8"/>
  <c r="X515" i="8"/>
  <c r="X725" i="8"/>
  <c r="I54" i="8"/>
  <c r="I62" i="8"/>
  <c r="I70" i="8"/>
  <c r="I78" i="8"/>
  <c r="I86" i="8"/>
  <c r="I94" i="8"/>
  <c r="I102" i="8"/>
  <c r="I110" i="8"/>
  <c r="I118" i="8"/>
  <c r="I126" i="8"/>
  <c r="I134" i="8"/>
  <c r="I142" i="8"/>
  <c r="I150" i="8"/>
  <c r="I158" i="8"/>
  <c r="I166" i="8"/>
  <c r="I174" i="8"/>
  <c r="I182" i="8"/>
  <c r="I190" i="8"/>
  <c r="I198" i="8"/>
  <c r="I206" i="8"/>
  <c r="I214" i="8"/>
  <c r="I222" i="8"/>
  <c r="I230" i="8"/>
  <c r="I238" i="8"/>
  <c r="I246" i="8"/>
  <c r="I254" i="8"/>
  <c r="I262" i="8"/>
  <c r="I270" i="8"/>
  <c r="I278" i="8"/>
  <c r="I286" i="8"/>
  <c r="I294" i="8"/>
  <c r="I302" i="8"/>
  <c r="I310" i="8"/>
  <c r="I318" i="8"/>
  <c r="I326" i="8"/>
  <c r="I334" i="8"/>
  <c r="I342" i="8"/>
  <c r="I350" i="8"/>
  <c r="I358" i="8"/>
  <c r="I366" i="8"/>
  <c r="I374" i="8"/>
  <c r="I382" i="8"/>
  <c r="I390" i="8"/>
  <c r="I398" i="8"/>
  <c r="I406" i="8"/>
  <c r="I414" i="8"/>
  <c r="I422" i="8"/>
  <c r="I430" i="8"/>
  <c r="I438" i="8"/>
  <c r="I446" i="8"/>
  <c r="I454" i="8"/>
  <c r="I462" i="8"/>
  <c r="I470" i="8"/>
  <c r="I478" i="8"/>
  <c r="I486" i="8"/>
  <c r="I494" i="8"/>
  <c r="I502" i="8"/>
  <c r="I510" i="8"/>
  <c r="I518" i="8"/>
  <c r="I526" i="8"/>
  <c r="I534" i="8"/>
  <c r="I542" i="8"/>
  <c r="I550" i="8"/>
  <c r="I558" i="8"/>
  <c r="I566" i="8"/>
  <c r="I574" i="8"/>
  <c r="I582" i="8"/>
  <c r="I590" i="8"/>
  <c r="I598" i="8"/>
  <c r="I606" i="8"/>
  <c r="I614" i="8"/>
  <c r="I622" i="8"/>
  <c r="I630" i="8"/>
  <c r="I638" i="8"/>
  <c r="I646" i="8"/>
  <c r="I654" i="8"/>
  <c r="I662" i="8"/>
  <c r="I670" i="8"/>
  <c r="I678" i="8"/>
  <c r="I686" i="8"/>
  <c r="I694" i="8"/>
  <c r="I702" i="8"/>
  <c r="I710" i="8"/>
  <c r="I718" i="8"/>
  <c r="I726" i="8"/>
  <c r="I734" i="8"/>
  <c r="I742" i="8"/>
  <c r="I750" i="8"/>
  <c r="X238" i="8"/>
  <c r="X563" i="8"/>
  <c r="X746" i="8"/>
  <c r="I55" i="8"/>
  <c r="I63" i="8"/>
  <c r="I71" i="8"/>
  <c r="I79" i="8"/>
  <c r="I87" i="8"/>
  <c r="I95" i="8"/>
  <c r="I103" i="8"/>
  <c r="I111" i="8"/>
  <c r="I119" i="8"/>
  <c r="I127" i="8"/>
  <c r="I135" i="8"/>
  <c r="I143" i="8"/>
  <c r="I151" i="8"/>
  <c r="I159" i="8"/>
  <c r="I167" i="8"/>
  <c r="I175" i="8"/>
  <c r="I183" i="8"/>
  <c r="I191" i="8"/>
  <c r="I199" i="8"/>
  <c r="I207" i="8"/>
  <c r="I215" i="8"/>
  <c r="I223" i="8"/>
  <c r="I231" i="8"/>
  <c r="I239" i="8"/>
  <c r="I247" i="8"/>
  <c r="I255" i="8"/>
  <c r="I263" i="8"/>
  <c r="I271" i="8"/>
  <c r="I279" i="8"/>
  <c r="I287" i="8"/>
  <c r="I295" i="8"/>
  <c r="I303" i="8"/>
  <c r="I311" i="8"/>
  <c r="I319" i="8"/>
  <c r="I327" i="8"/>
  <c r="I335" i="8"/>
  <c r="I343" i="8"/>
  <c r="I351" i="8"/>
  <c r="I359" i="8"/>
  <c r="I367" i="8"/>
  <c r="I375" i="8"/>
  <c r="I383" i="8"/>
  <c r="I391" i="8"/>
  <c r="I399" i="8"/>
  <c r="I407" i="8"/>
  <c r="I415" i="8"/>
  <c r="I423" i="8"/>
  <c r="I431" i="8"/>
  <c r="I439" i="8"/>
  <c r="I447" i="8"/>
  <c r="I455" i="8"/>
  <c r="I463" i="8"/>
  <c r="I471" i="8"/>
  <c r="I479" i="8"/>
  <c r="I487" i="8"/>
  <c r="I495" i="8"/>
  <c r="I503" i="8"/>
  <c r="I511" i="8"/>
  <c r="I519" i="8"/>
  <c r="I527" i="8"/>
  <c r="I535" i="8"/>
  <c r="I543" i="8"/>
  <c r="I551" i="8"/>
  <c r="I559" i="8"/>
  <c r="I567" i="8"/>
  <c r="I575" i="8"/>
  <c r="I583" i="8"/>
  <c r="I591" i="8"/>
  <c r="I599" i="8"/>
  <c r="I607" i="8"/>
  <c r="I615" i="8"/>
  <c r="I623" i="8"/>
  <c r="I631" i="8"/>
  <c r="I639" i="8"/>
  <c r="I647" i="8"/>
  <c r="I655" i="8"/>
  <c r="I663" i="8"/>
  <c r="I671" i="8"/>
  <c r="I679" i="8"/>
  <c r="I687" i="8"/>
  <c r="I695" i="8"/>
  <c r="I703" i="8"/>
  <c r="I711" i="8"/>
  <c r="I719" i="8"/>
  <c r="I727" i="8"/>
  <c r="I735" i="8"/>
  <c r="I743" i="8"/>
  <c r="I751" i="8"/>
  <c r="X281" i="8"/>
  <c r="I72" i="8"/>
  <c r="I136" i="8"/>
  <c r="I200" i="8"/>
  <c r="I232" i="8"/>
  <c r="I252" i="8"/>
  <c r="I274" i="8"/>
  <c r="I296" i="8"/>
  <c r="I316" i="8"/>
  <c r="I338" i="8"/>
  <c r="I360" i="8"/>
  <c r="I380" i="8"/>
  <c r="I402" i="8"/>
  <c r="I424" i="8"/>
  <c r="I444" i="8"/>
  <c r="I466" i="8"/>
  <c r="I488" i="8"/>
  <c r="I508" i="8"/>
  <c r="I530" i="8"/>
  <c r="I552" i="8"/>
  <c r="I572" i="8"/>
  <c r="I594" i="8"/>
  <c r="I616" i="8"/>
  <c r="I636" i="8"/>
  <c r="I658" i="8"/>
  <c r="I680" i="8"/>
  <c r="I700" i="8"/>
  <c r="I722" i="8"/>
  <c r="I744" i="8"/>
  <c r="X579" i="8"/>
  <c r="I80" i="8"/>
  <c r="I144" i="8"/>
  <c r="I208" i="8"/>
  <c r="I234" i="8"/>
  <c r="I256" i="8"/>
  <c r="I276" i="8"/>
  <c r="I298" i="8"/>
  <c r="I320" i="8"/>
  <c r="I340" i="8"/>
  <c r="I362" i="8"/>
  <c r="I384" i="8"/>
  <c r="I404" i="8"/>
  <c r="I426" i="8"/>
  <c r="I448" i="8"/>
  <c r="I468" i="8"/>
  <c r="I490" i="8"/>
  <c r="I512" i="8"/>
  <c r="I532" i="8"/>
  <c r="I554" i="8"/>
  <c r="I576" i="8"/>
  <c r="I596" i="8"/>
  <c r="I618" i="8"/>
  <c r="I640" i="8"/>
  <c r="I660" i="8"/>
  <c r="I682" i="8"/>
  <c r="I704" i="8"/>
  <c r="I724" i="8"/>
  <c r="I746" i="8"/>
  <c r="I88" i="8"/>
  <c r="I152" i="8"/>
  <c r="I216" i="8"/>
  <c r="I236" i="8"/>
  <c r="I258" i="8"/>
  <c r="I280" i="8"/>
  <c r="I300" i="8"/>
  <c r="I322" i="8"/>
  <c r="I344" i="8"/>
  <c r="I364" i="8"/>
  <c r="I386" i="8"/>
  <c r="I408" i="8"/>
  <c r="I428" i="8"/>
  <c r="I450" i="8"/>
  <c r="I472" i="8"/>
  <c r="I492" i="8"/>
  <c r="I514" i="8"/>
  <c r="I536" i="8"/>
  <c r="I556" i="8"/>
  <c r="I578" i="8"/>
  <c r="I600" i="8"/>
  <c r="I620" i="8"/>
  <c r="I642" i="8"/>
  <c r="I664" i="8"/>
  <c r="I684" i="8"/>
  <c r="I706" i="8"/>
  <c r="I728" i="8"/>
  <c r="I748" i="8"/>
  <c r="I96" i="8"/>
  <c r="I160" i="8"/>
  <c r="I218" i="8"/>
  <c r="I240" i="8"/>
  <c r="I260" i="8"/>
  <c r="I282" i="8"/>
  <c r="I304" i="8"/>
  <c r="I324" i="8"/>
  <c r="I346" i="8"/>
  <c r="I368" i="8"/>
  <c r="I388" i="8"/>
  <c r="I410" i="8"/>
  <c r="I432" i="8"/>
  <c r="I452" i="8"/>
  <c r="I474" i="8"/>
  <c r="I496" i="8"/>
  <c r="I516" i="8"/>
  <c r="I538" i="8"/>
  <c r="I560" i="8"/>
  <c r="I580" i="8"/>
  <c r="I602" i="8"/>
  <c r="I624" i="8"/>
  <c r="I644" i="8"/>
  <c r="I666" i="8"/>
  <c r="I688" i="8"/>
  <c r="I708" i="8"/>
  <c r="I730" i="8"/>
  <c r="I752" i="8"/>
  <c r="I104" i="8"/>
  <c r="I168" i="8"/>
  <c r="I220" i="8"/>
  <c r="I242" i="8"/>
  <c r="I264" i="8"/>
  <c r="I284" i="8"/>
  <c r="I306" i="8"/>
  <c r="I328" i="8"/>
  <c r="I348" i="8"/>
  <c r="I370" i="8"/>
  <c r="I392" i="8"/>
  <c r="I412" i="8"/>
  <c r="I434" i="8"/>
  <c r="I456" i="8"/>
  <c r="I476" i="8"/>
  <c r="I498" i="8"/>
  <c r="I520" i="8"/>
  <c r="I540" i="8"/>
  <c r="I562" i="8"/>
  <c r="I584" i="8"/>
  <c r="I604" i="8"/>
  <c r="I626" i="8"/>
  <c r="I648" i="8"/>
  <c r="I668" i="8"/>
  <c r="I690" i="8"/>
  <c r="I712" i="8"/>
  <c r="I732" i="8"/>
  <c r="I112" i="8"/>
  <c r="I176" i="8"/>
  <c r="I224" i="8"/>
  <c r="I244" i="8"/>
  <c r="I266" i="8"/>
  <c r="I288" i="8"/>
  <c r="I308" i="8"/>
  <c r="I330" i="8"/>
  <c r="I352" i="8"/>
  <c r="I372" i="8"/>
  <c r="I394" i="8"/>
  <c r="I416" i="8"/>
  <c r="I436" i="8"/>
  <c r="I458" i="8"/>
  <c r="I480" i="8"/>
  <c r="I500" i="8"/>
  <c r="I522" i="8"/>
  <c r="I544" i="8"/>
  <c r="I564" i="8"/>
  <c r="I586" i="8"/>
  <c r="I608" i="8"/>
  <c r="I628" i="8"/>
  <c r="I650" i="8"/>
  <c r="I672" i="8"/>
  <c r="I692" i="8"/>
  <c r="I714" i="8"/>
  <c r="I736" i="8"/>
  <c r="I56" i="8"/>
  <c r="I120" i="8"/>
  <c r="I184" i="8"/>
  <c r="I226" i="8"/>
  <c r="I248" i="8"/>
  <c r="I268" i="8"/>
  <c r="I290" i="8"/>
  <c r="I312" i="8"/>
  <c r="I332" i="8"/>
  <c r="I354" i="8"/>
  <c r="I376" i="8"/>
  <c r="I396" i="8"/>
  <c r="I418" i="8"/>
  <c r="I440" i="8"/>
  <c r="I460" i="8"/>
  <c r="I482" i="8"/>
  <c r="I504" i="8"/>
  <c r="I524" i="8"/>
  <c r="I546" i="8"/>
  <c r="I568" i="8"/>
  <c r="I588" i="8"/>
  <c r="I610" i="8"/>
  <c r="I632" i="8"/>
  <c r="I652" i="8"/>
  <c r="I674" i="8"/>
  <c r="I696" i="8"/>
  <c r="I716" i="8"/>
  <c r="I738" i="8"/>
  <c r="I64" i="8"/>
  <c r="I336" i="8"/>
  <c r="I506" i="8"/>
  <c r="I676" i="8"/>
  <c r="I128" i="8"/>
  <c r="I356" i="8"/>
  <c r="I528" i="8"/>
  <c r="I698" i="8"/>
  <c r="I656" i="8"/>
  <c r="I192" i="8"/>
  <c r="I378" i="8"/>
  <c r="I548" i="8"/>
  <c r="I720" i="8"/>
  <c r="I228" i="8"/>
  <c r="I400" i="8"/>
  <c r="I570" i="8"/>
  <c r="I740" i="8"/>
  <c r="I484" i="8"/>
  <c r="I250" i="8"/>
  <c r="I420" i="8"/>
  <c r="I592" i="8"/>
  <c r="I272" i="8"/>
  <c r="I442" i="8"/>
  <c r="I612" i="8"/>
  <c r="I314" i="8"/>
  <c r="I292" i="8"/>
  <c r="I464" i="8"/>
  <c r="I634" i="8"/>
  <c r="B53" i="8"/>
  <c r="B54" i="8" s="1"/>
  <c r="C52" i="8"/>
  <c r="N52" i="8" l="1"/>
  <c r="C54" i="8"/>
  <c r="B55" i="8"/>
  <c r="C53" i="8"/>
  <c r="H4" i="7"/>
  <c r="H10" i="7" s="1"/>
  <c r="H3" i="7"/>
  <c r="H2" i="7"/>
  <c r="E4" i="7"/>
  <c r="E3" i="7"/>
  <c r="E2" i="7"/>
  <c r="B4" i="7"/>
  <c r="B3" i="7"/>
  <c r="B2" i="7"/>
  <c r="H172" i="7"/>
  <c r="H182" i="7"/>
  <c r="H194" i="7"/>
  <c r="H204" i="7"/>
  <c r="H214" i="7"/>
  <c r="H226" i="7"/>
  <c r="H236" i="7"/>
  <c r="H246" i="7"/>
  <c r="H258" i="7"/>
  <c r="H268" i="7"/>
  <c r="H278" i="7"/>
  <c r="H290" i="7"/>
  <c r="H300" i="7"/>
  <c r="K52" i="8" l="1"/>
  <c r="L52" i="8"/>
  <c r="J52" i="8"/>
  <c r="N54" i="8"/>
  <c r="N53" i="8"/>
  <c r="B56" i="8"/>
  <c r="C55" i="8"/>
  <c r="H299" i="7"/>
  <c r="H267" i="7"/>
  <c r="H257" i="7"/>
  <c r="H225" i="7"/>
  <c r="H213" i="7"/>
  <c r="H203" i="7"/>
  <c r="H193" i="7"/>
  <c r="H181" i="7"/>
  <c r="H171" i="7"/>
  <c r="H133" i="7"/>
  <c r="H122" i="7"/>
  <c r="H108" i="7"/>
  <c r="H94" i="7"/>
  <c r="H83" i="7"/>
  <c r="H69" i="7"/>
  <c r="H58" i="7"/>
  <c r="H44" i="7"/>
  <c r="H30" i="7"/>
  <c r="H19" i="7"/>
  <c r="H298" i="7"/>
  <c r="H286" i="7"/>
  <c r="H276" i="7"/>
  <c r="H266" i="7"/>
  <c r="H254" i="7"/>
  <c r="H244" i="7"/>
  <c r="H234" i="7"/>
  <c r="H222" i="7"/>
  <c r="H212" i="7"/>
  <c r="H202" i="7"/>
  <c r="H190" i="7"/>
  <c r="H180" i="7"/>
  <c r="H170" i="7"/>
  <c r="H157" i="7"/>
  <c r="H146" i="7"/>
  <c r="H132" i="7"/>
  <c r="H118" i="7"/>
  <c r="H107" i="7"/>
  <c r="H93" i="7"/>
  <c r="H82" i="7"/>
  <c r="H68" i="7"/>
  <c r="H54" i="7"/>
  <c r="H43" i="7"/>
  <c r="H29" i="7"/>
  <c r="H18" i="7"/>
  <c r="H7" i="7"/>
  <c r="H297" i="7"/>
  <c r="H285" i="7"/>
  <c r="H275" i="7"/>
  <c r="H265" i="7"/>
  <c r="H253" i="7"/>
  <c r="H243" i="7"/>
  <c r="H233" i="7"/>
  <c r="H221" i="7"/>
  <c r="H211" i="7"/>
  <c r="H201" i="7"/>
  <c r="H189" i="7"/>
  <c r="H179" i="7"/>
  <c r="H169" i="7"/>
  <c r="H156" i="7"/>
  <c r="H142" i="7"/>
  <c r="H131" i="7"/>
  <c r="H117" i="7"/>
  <c r="H106" i="7"/>
  <c r="H92" i="7"/>
  <c r="H78" i="7"/>
  <c r="H67" i="7"/>
  <c r="H53" i="7"/>
  <c r="H42" i="7"/>
  <c r="H28" i="7"/>
  <c r="H14" i="7"/>
  <c r="H148" i="7"/>
  <c r="H123" i="7"/>
  <c r="H98" i="7"/>
  <c r="H70" i="7"/>
  <c r="H45" i="7"/>
  <c r="H20" i="7"/>
  <c r="H277" i="7"/>
  <c r="H235" i="7"/>
  <c r="H158" i="7"/>
  <c r="H284" i="7"/>
  <c r="H262" i="7"/>
  <c r="H230" i="7"/>
  <c r="H210" i="7"/>
  <c r="H188" i="7"/>
  <c r="H166" i="7"/>
  <c r="H141" i="7"/>
  <c r="H116" i="7"/>
  <c r="H91" i="7"/>
  <c r="H66" i="7"/>
  <c r="H38" i="7"/>
  <c r="H13" i="7"/>
  <c r="H305" i="7"/>
  <c r="H283" i="7"/>
  <c r="H261" i="7"/>
  <c r="H241" i="7"/>
  <c r="H209" i="7"/>
  <c r="H187" i="7"/>
  <c r="H165" i="7"/>
  <c r="H140" i="7"/>
  <c r="H115" i="7"/>
  <c r="H90" i="7"/>
  <c r="H62" i="7"/>
  <c r="H37" i="7"/>
  <c r="H302" i="7"/>
  <c r="H292" i="7"/>
  <c r="H282" i="7"/>
  <c r="H270" i="7"/>
  <c r="H260" i="7"/>
  <c r="H250" i="7"/>
  <c r="H238" i="7"/>
  <c r="H228" i="7"/>
  <c r="H218" i="7"/>
  <c r="H206" i="7"/>
  <c r="H196" i="7"/>
  <c r="H186" i="7"/>
  <c r="H174" i="7"/>
  <c r="H164" i="7"/>
  <c r="H150" i="7"/>
  <c r="H139" i="7"/>
  <c r="H125" i="7"/>
  <c r="H114" i="7"/>
  <c r="H100" i="7"/>
  <c r="H86" i="7"/>
  <c r="H75" i="7"/>
  <c r="H61" i="7"/>
  <c r="H50" i="7"/>
  <c r="H36" i="7"/>
  <c r="H22" i="7"/>
  <c r="H11" i="7"/>
  <c r="H15" i="7"/>
  <c r="H162" i="7"/>
  <c r="H134" i="7"/>
  <c r="H109" i="7"/>
  <c r="H84" i="7"/>
  <c r="H59" i="7"/>
  <c r="H34" i="7"/>
  <c r="H289" i="7"/>
  <c r="H245" i="7"/>
  <c r="H147" i="7"/>
  <c r="H306" i="7"/>
  <c r="H294" i="7"/>
  <c r="H274" i="7"/>
  <c r="H252" i="7"/>
  <c r="H242" i="7"/>
  <c r="H220" i="7"/>
  <c r="H198" i="7"/>
  <c r="H178" i="7"/>
  <c r="H155" i="7"/>
  <c r="H130" i="7"/>
  <c r="H102" i="7"/>
  <c r="H77" i="7"/>
  <c r="H52" i="7"/>
  <c r="H27" i="7"/>
  <c r="H293" i="7"/>
  <c r="H273" i="7"/>
  <c r="H251" i="7"/>
  <c r="H229" i="7"/>
  <c r="H219" i="7"/>
  <c r="H197" i="7"/>
  <c r="H177" i="7"/>
  <c r="H154" i="7"/>
  <c r="H126" i="7"/>
  <c r="H101" i="7"/>
  <c r="H76" i="7"/>
  <c r="H51" i="7"/>
  <c r="H26" i="7"/>
  <c r="H12" i="7"/>
  <c r="H301" i="7"/>
  <c r="H291" i="7"/>
  <c r="H281" i="7"/>
  <c r="H269" i="7"/>
  <c r="H259" i="7"/>
  <c r="H249" i="7"/>
  <c r="H237" i="7"/>
  <c r="H227" i="7"/>
  <c r="H217" i="7"/>
  <c r="H205" i="7"/>
  <c r="H195" i="7"/>
  <c r="H185" i="7"/>
  <c r="H173" i="7"/>
  <c r="H163" i="7"/>
  <c r="H149" i="7"/>
  <c r="H138" i="7"/>
  <c r="H124" i="7"/>
  <c r="H110" i="7"/>
  <c r="H99" i="7"/>
  <c r="H85" i="7"/>
  <c r="H74" i="7"/>
  <c r="H60" i="7"/>
  <c r="H46" i="7"/>
  <c r="H35" i="7"/>
  <c r="H21" i="7"/>
  <c r="H304" i="7"/>
  <c r="H296" i="7"/>
  <c r="H288" i="7"/>
  <c r="H280" i="7"/>
  <c r="H272" i="7"/>
  <c r="H264" i="7"/>
  <c r="H256" i="7"/>
  <c r="H248" i="7"/>
  <c r="H240" i="7"/>
  <c r="H232" i="7"/>
  <c r="H224" i="7"/>
  <c r="H216" i="7"/>
  <c r="H208" i="7"/>
  <c r="H200" i="7"/>
  <c r="H192" i="7"/>
  <c r="H184" i="7"/>
  <c r="H176" i="7"/>
  <c r="H168" i="7"/>
  <c r="H160" i="7"/>
  <c r="H152" i="7"/>
  <c r="H144" i="7"/>
  <c r="H136" i="7"/>
  <c r="H128" i="7"/>
  <c r="H120" i="7"/>
  <c r="H112" i="7"/>
  <c r="H104" i="7"/>
  <c r="H96" i="7"/>
  <c r="H88" i="7"/>
  <c r="H80" i="7"/>
  <c r="H72" i="7"/>
  <c r="H64" i="7"/>
  <c r="H56" i="7"/>
  <c r="H48" i="7"/>
  <c r="H40" i="7"/>
  <c r="H32" i="7"/>
  <c r="H24" i="7"/>
  <c r="H16" i="7"/>
  <c r="H8" i="7"/>
  <c r="H161" i="7"/>
  <c r="H153" i="7"/>
  <c r="H145" i="7"/>
  <c r="H137" i="7"/>
  <c r="H129" i="7"/>
  <c r="H121" i="7"/>
  <c r="H113" i="7"/>
  <c r="H105" i="7"/>
  <c r="H97" i="7"/>
  <c r="H89" i="7"/>
  <c r="H81" i="7"/>
  <c r="H73" i="7"/>
  <c r="H65" i="7"/>
  <c r="H57" i="7"/>
  <c r="H49" i="7"/>
  <c r="H41" i="7"/>
  <c r="H33" i="7"/>
  <c r="H25" i="7"/>
  <c r="H17" i="7"/>
  <c r="H9" i="7"/>
  <c r="H303" i="7"/>
  <c r="H295" i="7"/>
  <c r="H287" i="7"/>
  <c r="H279" i="7"/>
  <c r="H271" i="7"/>
  <c r="H263" i="7"/>
  <c r="H255" i="7"/>
  <c r="H247" i="7"/>
  <c r="H239" i="7"/>
  <c r="H231" i="7"/>
  <c r="H223" i="7"/>
  <c r="H215" i="7"/>
  <c r="H207" i="7"/>
  <c r="H199" i="7"/>
  <c r="H191" i="7"/>
  <c r="H183" i="7"/>
  <c r="H175" i="7"/>
  <c r="H167" i="7"/>
  <c r="H159" i="7"/>
  <c r="H151" i="7"/>
  <c r="H143" i="7"/>
  <c r="H135" i="7"/>
  <c r="H127" i="7"/>
  <c r="H119" i="7"/>
  <c r="H111" i="7"/>
  <c r="H103" i="7"/>
  <c r="H95" i="7"/>
  <c r="H87" i="7"/>
  <c r="H79" i="7"/>
  <c r="H71" i="7"/>
  <c r="H63" i="7"/>
  <c r="H55" i="7"/>
  <c r="H47" i="7"/>
  <c r="H39" i="7"/>
  <c r="H31" i="7"/>
  <c r="H23" i="7"/>
  <c r="K53" i="8" l="1"/>
  <c r="L54" i="8"/>
  <c r="J54" i="8"/>
  <c r="L53" i="8"/>
  <c r="K54" i="8"/>
  <c r="J53" i="8"/>
  <c r="W52" i="8"/>
  <c r="AB52" i="8" s="1"/>
  <c r="Z52" i="8"/>
  <c r="AC52" i="8" s="1"/>
  <c r="N55" i="8"/>
  <c r="T52" i="8"/>
  <c r="AA52" i="8" s="1"/>
  <c r="C56" i="8"/>
  <c r="B57" i="8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7" i="7"/>
  <c r="K55" i="8" l="1"/>
  <c r="J55" i="8"/>
  <c r="L55" i="8"/>
  <c r="T54" i="8"/>
  <c r="AA54" i="8" s="1"/>
  <c r="W53" i="8"/>
  <c r="AB53" i="8" s="1"/>
  <c r="Z54" i="8"/>
  <c r="AC54" i="8" s="1"/>
  <c r="W54" i="8"/>
  <c r="AB54" i="8" s="1"/>
  <c r="T53" i="8"/>
  <c r="AA53" i="8" s="1"/>
  <c r="Z53" i="8"/>
  <c r="AC53" i="8" s="1"/>
  <c r="N56" i="8"/>
  <c r="B58" i="8"/>
  <c r="C57" i="8"/>
  <c r="N53" i="1"/>
  <c r="M53" i="1"/>
  <c r="I39" i="1"/>
  <c r="K56" i="8" l="1"/>
  <c r="T55" i="8"/>
  <c r="AA55" i="8" s="1"/>
  <c r="J56" i="8"/>
  <c r="L56" i="8"/>
  <c r="W55" i="8"/>
  <c r="AB55" i="8" s="1"/>
  <c r="Z55" i="8"/>
  <c r="AC55" i="8" s="1"/>
  <c r="N57" i="8"/>
  <c r="C58" i="8"/>
  <c r="B59" i="8"/>
  <c r="N39" i="1"/>
  <c r="S81" i="1"/>
  <c r="S375" i="1"/>
  <c r="S367" i="1"/>
  <c r="S359" i="1"/>
  <c r="S351" i="1"/>
  <c r="S343" i="1"/>
  <c r="S335" i="1"/>
  <c r="S327" i="1"/>
  <c r="S319" i="1"/>
  <c r="S311" i="1"/>
  <c r="S303" i="1"/>
  <c r="S295" i="1"/>
  <c r="S287" i="1"/>
  <c r="S279" i="1"/>
  <c r="S271" i="1"/>
  <c r="S263" i="1"/>
  <c r="S255" i="1"/>
  <c r="S247" i="1"/>
  <c r="S239" i="1"/>
  <c r="S231" i="1"/>
  <c r="S223" i="1"/>
  <c r="S215" i="1"/>
  <c r="S207" i="1"/>
  <c r="S199" i="1"/>
  <c r="S191" i="1"/>
  <c r="S183" i="1"/>
  <c r="S175" i="1"/>
  <c r="S167" i="1"/>
  <c r="S159" i="1"/>
  <c r="S151" i="1"/>
  <c r="S143" i="1"/>
  <c r="S135" i="1"/>
  <c r="S127" i="1"/>
  <c r="S119" i="1"/>
  <c r="S111" i="1"/>
  <c r="S103" i="1"/>
  <c r="S95" i="1"/>
  <c r="S87" i="1"/>
  <c r="S368" i="1"/>
  <c r="S336" i="1"/>
  <c r="S320" i="1"/>
  <c r="S288" i="1"/>
  <c r="S256" i="1"/>
  <c r="S224" i="1"/>
  <c r="S192" i="1"/>
  <c r="S136" i="1"/>
  <c r="S350" i="1"/>
  <c r="S342" i="1"/>
  <c r="S334" i="1"/>
  <c r="S326" i="1"/>
  <c r="S318" i="1"/>
  <c r="S310" i="1"/>
  <c r="S302" i="1"/>
  <c r="S294" i="1"/>
  <c r="S286" i="1"/>
  <c r="S278" i="1"/>
  <c r="S270" i="1"/>
  <c r="S262" i="1"/>
  <c r="S254" i="1"/>
  <c r="S246" i="1"/>
  <c r="S238" i="1"/>
  <c r="S230" i="1"/>
  <c r="S222" i="1"/>
  <c r="S214" i="1"/>
  <c r="S206" i="1"/>
  <c r="S198" i="1"/>
  <c r="S190" i="1"/>
  <c r="S182" i="1"/>
  <c r="S174" i="1"/>
  <c r="S166" i="1"/>
  <c r="S158" i="1"/>
  <c r="S150" i="1"/>
  <c r="S142" i="1"/>
  <c r="S134" i="1"/>
  <c r="S126" i="1"/>
  <c r="S118" i="1"/>
  <c r="S110" i="1"/>
  <c r="S102" i="1"/>
  <c r="S94" i="1"/>
  <c r="S86" i="1"/>
  <c r="S373" i="1"/>
  <c r="S365" i="1"/>
  <c r="S357" i="1"/>
  <c r="S349" i="1"/>
  <c r="S341" i="1"/>
  <c r="S333" i="1"/>
  <c r="S325" i="1"/>
  <c r="S317" i="1"/>
  <c r="S309" i="1"/>
  <c r="S301" i="1"/>
  <c r="S293" i="1"/>
  <c r="S285" i="1"/>
  <c r="S277" i="1"/>
  <c r="S269" i="1"/>
  <c r="S261" i="1"/>
  <c r="S253" i="1"/>
  <c r="S245" i="1"/>
  <c r="S237" i="1"/>
  <c r="S229" i="1"/>
  <c r="S221" i="1"/>
  <c r="S213" i="1"/>
  <c r="S205" i="1"/>
  <c r="S197" i="1"/>
  <c r="S189" i="1"/>
  <c r="S181" i="1"/>
  <c r="S173" i="1"/>
  <c r="S165" i="1"/>
  <c r="S157" i="1"/>
  <c r="S149" i="1"/>
  <c r="S141" i="1"/>
  <c r="S133" i="1"/>
  <c r="S125" i="1"/>
  <c r="S117" i="1"/>
  <c r="S109" i="1"/>
  <c r="S101" i="1"/>
  <c r="S93" i="1"/>
  <c r="S85" i="1"/>
  <c r="S360" i="1"/>
  <c r="S328" i="1"/>
  <c r="S296" i="1"/>
  <c r="S264" i="1"/>
  <c r="S232" i="1"/>
  <c r="S200" i="1"/>
  <c r="S176" i="1"/>
  <c r="S160" i="1"/>
  <c r="S128" i="1"/>
  <c r="S120" i="1"/>
  <c r="S112" i="1"/>
  <c r="S104" i="1"/>
  <c r="S374" i="1"/>
  <c r="S372" i="1"/>
  <c r="S316" i="1"/>
  <c r="S300" i="1"/>
  <c r="S292" i="1"/>
  <c r="S284" i="1"/>
  <c r="S276" i="1"/>
  <c r="S268" i="1"/>
  <c r="S260" i="1"/>
  <c r="S252" i="1"/>
  <c r="S244" i="1"/>
  <c r="S236" i="1"/>
  <c r="S228" i="1"/>
  <c r="S220" i="1"/>
  <c r="S212" i="1"/>
  <c r="S204" i="1"/>
  <c r="S196" i="1"/>
  <c r="S188" i="1"/>
  <c r="S180" i="1"/>
  <c r="S172" i="1"/>
  <c r="S164" i="1"/>
  <c r="S156" i="1"/>
  <c r="S148" i="1"/>
  <c r="S140" i="1"/>
  <c r="S132" i="1"/>
  <c r="S124" i="1"/>
  <c r="S116" i="1"/>
  <c r="S108" i="1"/>
  <c r="S100" i="1"/>
  <c r="S92" i="1"/>
  <c r="S84" i="1"/>
  <c r="S366" i="1"/>
  <c r="S356" i="1"/>
  <c r="S308" i="1"/>
  <c r="S379" i="1"/>
  <c r="S371" i="1"/>
  <c r="S363" i="1"/>
  <c r="S355" i="1"/>
  <c r="S347" i="1"/>
  <c r="S339" i="1"/>
  <c r="S331" i="1"/>
  <c r="S323" i="1"/>
  <c r="S315" i="1"/>
  <c r="S307" i="1"/>
  <c r="S299" i="1"/>
  <c r="S291" i="1"/>
  <c r="S283" i="1"/>
  <c r="S275" i="1"/>
  <c r="S267" i="1"/>
  <c r="S259" i="1"/>
  <c r="S251" i="1"/>
  <c r="S243" i="1"/>
  <c r="S235" i="1"/>
  <c r="S227" i="1"/>
  <c r="S219" i="1"/>
  <c r="S211" i="1"/>
  <c r="S203" i="1"/>
  <c r="S195" i="1"/>
  <c r="S187" i="1"/>
  <c r="S179" i="1"/>
  <c r="S171" i="1"/>
  <c r="S163" i="1"/>
  <c r="S155" i="1"/>
  <c r="S147" i="1"/>
  <c r="S139" i="1"/>
  <c r="S131" i="1"/>
  <c r="S123" i="1"/>
  <c r="S115" i="1"/>
  <c r="S107" i="1"/>
  <c r="S99" i="1"/>
  <c r="S91" i="1"/>
  <c r="S83" i="1"/>
  <c r="S376" i="1"/>
  <c r="S344" i="1"/>
  <c r="S312" i="1"/>
  <c r="S280" i="1"/>
  <c r="S248" i="1"/>
  <c r="S216" i="1"/>
  <c r="S184" i="1"/>
  <c r="S152" i="1"/>
  <c r="S88" i="1"/>
  <c r="S358" i="1"/>
  <c r="S348" i="1"/>
  <c r="S324" i="1"/>
  <c r="S378" i="1"/>
  <c r="S370" i="1"/>
  <c r="S362" i="1"/>
  <c r="S354" i="1"/>
  <c r="S346" i="1"/>
  <c r="S338" i="1"/>
  <c r="S330" i="1"/>
  <c r="S322" i="1"/>
  <c r="S314" i="1"/>
  <c r="S306" i="1"/>
  <c r="S298" i="1"/>
  <c r="S290" i="1"/>
  <c r="S282" i="1"/>
  <c r="S274" i="1"/>
  <c r="S266" i="1"/>
  <c r="S258" i="1"/>
  <c r="S250" i="1"/>
  <c r="S242" i="1"/>
  <c r="S234" i="1"/>
  <c r="S226" i="1"/>
  <c r="S218" i="1"/>
  <c r="S210" i="1"/>
  <c r="S202" i="1"/>
  <c r="S194" i="1"/>
  <c r="S186" i="1"/>
  <c r="S178" i="1"/>
  <c r="S170" i="1"/>
  <c r="S162" i="1"/>
  <c r="S154" i="1"/>
  <c r="S146" i="1"/>
  <c r="S138" i="1"/>
  <c r="S130" i="1"/>
  <c r="S122" i="1"/>
  <c r="S114" i="1"/>
  <c r="S106" i="1"/>
  <c r="S98" i="1"/>
  <c r="S90" i="1"/>
  <c r="S82" i="1"/>
  <c r="S352" i="1"/>
  <c r="S304" i="1"/>
  <c r="S272" i="1"/>
  <c r="S240" i="1"/>
  <c r="S208" i="1"/>
  <c r="S168" i="1"/>
  <c r="S144" i="1"/>
  <c r="S96" i="1"/>
  <c r="S80" i="1"/>
  <c r="S364" i="1"/>
  <c r="S340" i="1"/>
  <c r="S332" i="1"/>
  <c r="S377" i="1"/>
  <c r="S369" i="1"/>
  <c r="S361" i="1"/>
  <c r="S353" i="1"/>
  <c r="S345" i="1"/>
  <c r="S337" i="1"/>
  <c r="S329" i="1"/>
  <c r="S321" i="1"/>
  <c r="S313" i="1"/>
  <c r="S305" i="1"/>
  <c r="S297" i="1"/>
  <c r="S289" i="1"/>
  <c r="S281" i="1"/>
  <c r="S273" i="1"/>
  <c r="S265" i="1"/>
  <c r="S257" i="1"/>
  <c r="S249" i="1"/>
  <c r="S241" i="1"/>
  <c r="S233" i="1"/>
  <c r="S225" i="1"/>
  <c r="S217" i="1"/>
  <c r="S209" i="1"/>
  <c r="S201" i="1"/>
  <c r="S193" i="1"/>
  <c r="S185" i="1"/>
  <c r="S177" i="1"/>
  <c r="S169" i="1"/>
  <c r="S161" i="1"/>
  <c r="S153" i="1"/>
  <c r="S145" i="1"/>
  <c r="S137" i="1"/>
  <c r="S129" i="1"/>
  <c r="S121" i="1"/>
  <c r="S113" i="1"/>
  <c r="S105" i="1"/>
  <c r="S97" i="1"/>
  <c r="S89" i="1"/>
  <c r="L57" i="8" l="1"/>
  <c r="K57" i="8"/>
  <c r="J57" i="8"/>
  <c r="T56" i="8"/>
  <c r="AA56" i="8" s="1"/>
  <c r="Z56" i="8"/>
  <c r="AC56" i="8" s="1"/>
  <c r="W56" i="8"/>
  <c r="AB56" i="8" s="1"/>
  <c r="N58" i="8"/>
  <c r="B60" i="8"/>
  <c r="C59" i="8"/>
  <c r="G53" i="1"/>
  <c r="H53" i="1"/>
  <c r="I53" i="1"/>
  <c r="J53" i="1"/>
  <c r="K53" i="1"/>
  <c r="L53" i="1"/>
  <c r="F53" i="1"/>
  <c r="J58" i="8" l="1"/>
  <c r="K58" i="8"/>
  <c r="L58" i="8"/>
  <c r="W57" i="8"/>
  <c r="AB57" i="8" s="1"/>
  <c r="Z57" i="8"/>
  <c r="AC57" i="8" s="1"/>
  <c r="T57" i="8"/>
  <c r="AA57" i="8" s="1"/>
  <c r="N59" i="8"/>
  <c r="C60" i="8"/>
  <c r="B61" i="8"/>
  <c r="L48" i="1"/>
  <c r="N54" i="1"/>
  <c r="N55" i="1" s="1"/>
  <c r="M54" i="1"/>
  <c r="M55" i="1" s="1"/>
  <c r="J54" i="1"/>
  <c r="J55" i="1" s="1"/>
  <c r="L54" i="1"/>
  <c r="L55" i="1" s="1"/>
  <c r="G54" i="1"/>
  <c r="G55" i="1" s="1"/>
  <c r="K54" i="1"/>
  <c r="K55" i="1" s="1"/>
  <c r="I54" i="1"/>
  <c r="I55" i="1" s="1"/>
  <c r="F54" i="1"/>
  <c r="F55" i="1" s="1"/>
  <c r="H54" i="1"/>
  <c r="H55" i="1" s="1"/>
  <c r="L59" i="8" l="1"/>
  <c r="J59" i="8"/>
  <c r="K59" i="8"/>
  <c r="W58" i="8"/>
  <c r="AB58" i="8" s="1"/>
  <c r="Z58" i="8"/>
  <c r="AC58" i="8" s="1"/>
  <c r="T58" i="8"/>
  <c r="AA58" i="8" s="1"/>
  <c r="N60" i="8"/>
  <c r="B62" i="8"/>
  <c r="C61" i="8"/>
  <c r="F56" i="1"/>
  <c r="F57" i="1" s="1"/>
  <c r="K60" i="8" l="1"/>
  <c r="J60" i="8"/>
  <c r="L60" i="8"/>
  <c r="T59" i="8"/>
  <c r="AA59" i="8" s="1"/>
  <c r="W59" i="8"/>
  <c r="AB59" i="8" s="1"/>
  <c r="Z59" i="8"/>
  <c r="AC59" i="8" s="1"/>
  <c r="N61" i="8"/>
  <c r="C62" i="8"/>
  <c r="B63" i="8"/>
  <c r="L61" i="8" l="1"/>
  <c r="J61" i="8"/>
  <c r="K61" i="8"/>
  <c r="Z60" i="8"/>
  <c r="AC60" i="8" s="1"/>
  <c r="W60" i="8"/>
  <c r="AB60" i="8" s="1"/>
  <c r="T60" i="8"/>
  <c r="AA60" i="8" s="1"/>
  <c r="N62" i="8"/>
  <c r="B64" i="8"/>
  <c r="C63" i="8"/>
  <c r="L62" i="8" l="1"/>
  <c r="J62" i="8"/>
  <c r="Z61" i="8"/>
  <c r="AC61" i="8" s="1"/>
  <c r="K62" i="8"/>
  <c r="T61" i="8"/>
  <c r="AA61" i="8" s="1"/>
  <c r="W61" i="8"/>
  <c r="AB61" i="8" s="1"/>
  <c r="N63" i="8"/>
  <c r="C64" i="8"/>
  <c r="B65" i="8"/>
  <c r="L63" i="8" l="1"/>
  <c r="J63" i="8"/>
  <c r="K63" i="8"/>
  <c r="T62" i="8"/>
  <c r="AA62" i="8" s="1"/>
  <c r="W62" i="8"/>
  <c r="AB62" i="8" s="1"/>
  <c r="Z62" i="8"/>
  <c r="AC62" i="8" s="1"/>
  <c r="N64" i="8"/>
  <c r="B66" i="8"/>
  <c r="C65" i="8"/>
  <c r="L64" i="8" l="1"/>
  <c r="K64" i="8"/>
  <c r="J64" i="8"/>
  <c r="T63" i="8"/>
  <c r="AA63" i="8" s="1"/>
  <c r="W63" i="8"/>
  <c r="AB63" i="8" s="1"/>
  <c r="Z63" i="8"/>
  <c r="AC63" i="8" s="1"/>
  <c r="N65" i="8"/>
  <c r="C66" i="8"/>
  <c r="B67" i="8"/>
  <c r="K65" i="8" l="1"/>
  <c r="J65" i="8"/>
  <c r="L65" i="8"/>
  <c r="T64" i="8"/>
  <c r="AA64" i="8" s="1"/>
  <c r="W64" i="8"/>
  <c r="AB64" i="8" s="1"/>
  <c r="Z64" i="8"/>
  <c r="AC64" i="8" s="1"/>
  <c r="N66" i="8"/>
  <c r="B68" i="8"/>
  <c r="C67" i="8"/>
  <c r="J66" i="8" l="1"/>
  <c r="L66" i="8"/>
  <c r="K66" i="8"/>
  <c r="Z65" i="8"/>
  <c r="AC65" i="8" s="1"/>
  <c r="W65" i="8"/>
  <c r="AB65" i="8" s="1"/>
  <c r="T65" i="8"/>
  <c r="AA65" i="8" s="1"/>
  <c r="N67" i="8"/>
  <c r="C68" i="8"/>
  <c r="B69" i="8"/>
  <c r="L67" i="8" l="1"/>
  <c r="K67" i="8"/>
  <c r="J67" i="8"/>
  <c r="Z66" i="8"/>
  <c r="AC66" i="8" s="1"/>
  <c r="T66" i="8"/>
  <c r="AA66" i="8" s="1"/>
  <c r="W66" i="8"/>
  <c r="AB66" i="8" s="1"/>
  <c r="N68" i="8"/>
  <c r="B70" i="8"/>
  <c r="C69" i="8"/>
  <c r="K68" i="8" l="1"/>
  <c r="L68" i="8"/>
  <c r="J68" i="8"/>
  <c r="Z67" i="8"/>
  <c r="AC67" i="8" s="1"/>
  <c r="T67" i="8"/>
  <c r="AA67" i="8" s="1"/>
  <c r="W67" i="8"/>
  <c r="AB67" i="8" s="1"/>
  <c r="N69" i="8"/>
  <c r="C70" i="8"/>
  <c r="B71" i="8"/>
  <c r="J69" i="8" l="1"/>
  <c r="L69" i="8"/>
  <c r="K69" i="8"/>
  <c r="T68" i="8"/>
  <c r="AA68" i="8" s="1"/>
  <c r="W68" i="8"/>
  <c r="AB68" i="8" s="1"/>
  <c r="Z68" i="8"/>
  <c r="AC68" i="8" s="1"/>
  <c r="N70" i="8"/>
  <c r="B72" i="8"/>
  <c r="C71" i="8"/>
  <c r="L70" i="8" l="1"/>
  <c r="K70" i="8"/>
  <c r="J70" i="8"/>
  <c r="Z69" i="8"/>
  <c r="AC69" i="8" s="1"/>
  <c r="T69" i="8"/>
  <c r="AA69" i="8" s="1"/>
  <c r="W69" i="8"/>
  <c r="AB69" i="8" s="1"/>
  <c r="N71" i="8"/>
  <c r="C72" i="8"/>
  <c r="B73" i="8"/>
  <c r="K71" i="8" l="1"/>
  <c r="L71" i="8"/>
  <c r="J71" i="8"/>
  <c r="T70" i="8"/>
  <c r="AA70" i="8" s="1"/>
  <c r="W70" i="8"/>
  <c r="AB70" i="8" s="1"/>
  <c r="Z70" i="8"/>
  <c r="AC70" i="8" s="1"/>
  <c r="N72" i="8"/>
  <c r="B74" i="8"/>
  <c r="C73" i="8"/>
  <c r="J72" i="8" l="1"/>
  <c r="L72" i="8"/>
  <c r="K72" i="8"/>
  <c r="W71" i="8"/>
  <c r="AB71" i="8" s="1"/>
  <c r="T71" i="8"/>
  <c r="AA71" i="8" s="1"/>
  <c r="Z71" i="8"/>
  <c r="AC71" i="8" s="1"/>
  <c r="N73" i="8"/>
  <c r="C74" i="8"/>
  <c r="B75" i="8"/>
  <c r="L73" i="8" l="1"/>
  <c r="J73" i="8"/>
  <c r="K73" i="8"/>
  <c r="T72" i="8"/>
  <c r="AA72" i="8" s="1"/>
  <c r="W72" i="8"/>
  <c r="AB72" i="8" s="1"/>
  <c r="Z72" i="8"/>
  <c r="AC72" i="8" s="1"/>
  <c r="N74" i="8"/>
  <c r="B76" i="8"/>
  <c r="C75" i="8"/>
  <c r="Z73" i="8" l="1"/>
  <c r="AC73" i="8" s="1"/>
  <c r="K74" i="8"/>
  <c r="L74" i="8"/>
  <c r="J74" i="8"/>
  <c r="W73" i="8"/>
  <c r="AB73" i="8" s="1"/>
  <c r="T73" i="8"/>
  <c r="AA73" i="8" s="1"/>
  <c r="N75" i="8"/>
  <c r="C76" i="8"/>
  <c r="B77" i="8"/>
  <c r="L75" i="8" l="1"/>
  <c r="J75" i="8"/>
  <c r="K75" i="8"/>
  <c r="Z74" i="8"/>
  <c r="AC74" i="8" s="1"/>
  <c r="W74" i="8"/>
  <c r="AB74" i="8" s="1"/>
  <c r="T74" i="8"/>
  <c r="AA74" i="8" s="1"/>
  <c r="N76" i="8"/>
  <c r="B78" i="8"/>
  <c r="C77" i="8"/>
  <c r="L76" i="8" l="1"/>
  <c r="K76" i="8"/>
  <c r="J76" i="8"/>
  <c r="Z75" i="8"/>
  <c r="AC75" i="8" s="1"/>
  <c r="W75" i="8"/>
  <c r="AB75" i="8" s="1"/>
  <c r="T75" i="8"/>
  <c r="AA75" i="8" s="1"/>
  <c r="N77" i="8"/>
  <c r="C78" i="8"/>
  <c r="B79" i="8"/>
  <c r="L77" i="8" l="1"/>
  <c r="J77" i="8"/>
  <c r="K77" i="8"/>
  <c r="W76" i="8"/>
  <c r="AB76" i="8" s="1"/>
  <c r="T76" i="8"/>
  <c r="AA76" i="8" s="1"/>
  <c r="Z76" i="8"/>
  <c r="AC76" i="8" s="1"/>
  <c r="N78" i="8"/>
  <c r="B80" i="8"/>
  <c r="C79" i="8"/>
  <c r="L78" i="8" l="1"/>
  <c r="J78" i="8"/>
  <c r="Z77" i="8"/>
  <c r="AC77" i="8" s="1"/>
  <c r="K78" i="8"/>
  <c r="W77" i="8"/>
  <c r="AB77" i="8" s="1"/>
  <c r="T77" i="8"/>
  <c r="AA77" i="8" s="1"/>
  <c r="N79" i="8"/>
  <c r="C80" i="8"/>
  <c r="B81" i="8"/>
  <c r="L79" i="8" l="1"/>
  <c r="K79" i="8"/>
  <c r="J79" i="8"/>
  <c r="T78" i="8"/>
  <c r="AA78" i="8" s="1"/>
  <c r="W78" i="8"/>
  <c r="AB78" i="8" s="1"/>
  <c r="Z78" i="8"/>
  <c r="AC78" i="8" s="1"/>
  <c r="N80" i="8"/>
  <c r="B82" i="8"/>
  <c r="C81" i="8"/>
  <c r="L80" i="8" l="1"/>
  <c r="K80" i="8"/>
  <c r="J80" i="8"/>
  <c r="T79" i="8"/>
  <c r="AA79" i="8" s="1"/>
  <c r="W79" i="8"/>
  <c r="AB79" i="8" s="1"/>
  <c r="Z79" i="8"/>
  <c r="AC79" i="8" s="1"/>
  <c r="N81" i="8"/>
  <c r="C82" i="8"/>
  <c r="B83" i="8"/>
  <c r="L81" i="8" l="1"/>
  <c r="J81" i="8"/>
  <c r="Z80" i="8"/>
  <c r="AC80" i="8" s="1"/>
  <c r="K81" i="8"/>
  <c r="T80" i="8"/>
  <c r="AA80" i="8" s="1"/>
  <c r="W80" i="8"/>
  <c r="AB80" i="8" s="1"/>
  <c r="N82" i="8"/>
  <c r="B84" i="8"/>
  <c r="C83" i="8"/>
  <c r="L82" i="8" l="1"/>
  <c r="K82" i="8"/>
  <c r="J82" i="8"/>
  <c r="Z81" i="8"/>
  <c r="AC81" i="8" s="1"/>
  <c r="W81" i="8"/>
  <c r="AB81" i="8" s="1"/>
  <c r="T81" i="8"/>
  <c r="AA81" i="8" s="1"/>
  <c r="N83" i="8"/>
  <c r="C84" i="8"/>
  <c r="B85" i="8"/>
  <c r="L83" i="8" l="1"/>
  <c r="J83" i="8"/>
  <c r="K83" i="8"/>
  <c r="T82" i="8"/>
  <c r="AA82" i="8" s="1"/>
  <c r="W82" i="8"/>
  <c r="AB82" i="8" s="1"/>
  <c r="Z82" i="8"/>
  <c r="AC82" i="8" s="1"/>
  <c r="N84" i="8"/>
  <c r="B86" i="8"/>
  <c r="C85" i="8"/>
  <c r="L84" i="8" l="1"/>
  <c r="Z83" i="8"/>
  <c r="AC83" i="8" s="1"/>
  <c r="J84" i="8"/>
  <c r="K84" i="8"/>
  <c r="T83" i="8"/>
  <c r="AA83" i="8" s="1"/>
  <c r="W83" i="8"/>
  <c r="AB83" i="8" s="1"/>
  <c r="N85" i="8"/>
  <c r="C86" i="8"/>
  <c r="B87" i="8"/>
  <c r="L85" i="8" l="1"/>
  <c r="K85" i="8"/>
  <c r="Z84" i="8"/>
  <c r="AC84" i="8" s="1"/>
  <c r="J85" i="8"/>
  <c r="W84" i="8"/>
  <c r="AB84" i="8" s="1"/>
  <c r="T84" i="8"/>
  <c r="AA84" i="8" s="1"/>
  <c r="N86" i="8"/>
  <c r="B88" i="8"/>
  <c r="C87" i="8"/>
  <c r="L86" i="8" l="1"/>
  <c r="Z85" i="8"/>
  <c r="AC85" i="8" s="1"/>
  <c r="J86" i="8"/>
  <c r="K86" i="8"/>
  <c r="T85" i="8"/>
  <c r="AA85" i="8" s="1"/>
  <c r="W85" i="8"/>
  <c r="AB85" i="8" s="1"/>
  <c r="N87" i="8"/>
  <c r="C88" i="8"/>
  <c r="B89" i="8"/>
  <c r="L87" i="8" l="1"/>
  <c r="J87" i="8"/>
  <c r="K87" i="8"/>
  <c r="T86" i="8"/>
  <c r="AA86" i="8" s="1"/>
  <c r="W86" i="8"/>
  <c r="AB86" i="8" s="1"/>
  <c r="Z86" i="8"/>
  <c r="AC86" i="8" s="1"/>
  <c r="N88" i="8"/>
  <c r="B90" i="8"/>
  <c r="C89" i="8"/>
  <c r="L88" i="8" l="1"/>
  <c r="J88" i="8"/>
  <c r="T87" i="8"/>
  <c r="AA87" i="8" s="1"/>
  <c r="K88" i="8"/>
  <c r="W87" i="8"/>
  <c r="AB87" i="8" s="1"/>
  <c r="Z87" i="8"/>
  <c r="AC87" i="8" s="1"/>
  <c r="N89" i="8"/>
  <c r="C90" i="8"/>
  <c r="B91" i="8"/>
  <c r="L89" i="8" l="1"/>
  <c r="W88" i="8"/>
  <c r="AB88" i="8" s="1"/>
  <c r="J89" i="8"/>
  <c r="K89" i="8"/>
  <c r="Z88" i="8"/>
  <c r="AC88" i="8" s="1"/>
  <c r="T88" i="8"/>
  <c r="AA88" i="8" s="1"/>
  <c r="N90" i="8"/>
  <c r="B92" i="8"/>
  <c r="C91" i="8"/>
  <c r="L90" i="8" l="1"/>
  <c r="K90" i="8"/>
  <c r="J90" i="8"/>
  <c r="T89" i="8"/>
  <c r="AA89" i="8" s="1"/>
  <c r="Z89" i="8"/>
  <c r="AC89" i="8" s="1"/>
  <c r="W89" i="8"/>
  <c r="AB89" i="8" s="1"/>
  <c r="N91" i="8"/>
  <c r="C92" i="8"/>
  <c r="B93" i="8"/>
  <c r="J91" i="8" l="1"/>
  <c r="L91" i="8"/>
  <c r="T90" i="8"/>
  <c r="AA90" i="8" s="1"/>
  <c r="K91" i="8"/>
  <c r="W90" i="8"/>
  <c r="AB90" i="8" s="1"/>
  <c r="Z90" i="8"/>
  <c r="AC90" i="8" s="1"/>
  <c r="N92" i="8"/>
  <c r="B94" i="8"/>
  <c r="C93" i="8"/>
  <c r="J92" i="8" l="1"/>
  <c r="Z91" i="8"/>
  <c r="AC91" i="8" s="1"/>
  <c r="W91" i="8"/>
  <c r="AB91" i="8" s="1"/>
  <c r="K92" i="8"/>
  <c r="L92" i="8"/>
  <c r="T91" i="8"/>
  <c r="AA91" i="8" s="1"/>
  <c r="N93" i="8"/>
  <c r="C94" i="8"/>
  <c r="B95" i="8"/>
  <c r="L93" i="8" l="1"/>
  <c r="K93" i="8"/>
  <c r="J93" i="8"/>
  <c r="W92" i="8"/>
  <c r="AB92" i="8" s="1"/>
  <c r="Z92" i="8"/>
  <c r="AC92" i="8" s="1"/>
  <c r="T92" i="8"/>
  <c r="AA92" i="8" s="1"/>
  <c r="N94" i="8"/>
  <c r="B96" i="8"/>
  <c r="C95" i="8"/>
  <c r="L94" i="8" l="1"/>
  <c r="J94" i="8"/>
  <c r="K94" i="8"/>
  <c r="T93" i="8"/>
  <c r="AA93" i="8" s="1"/>
  <c r="Z93" i="8"/>
  <c r="AC93" i="8" s="1"/>
  <c r="W93" i="8"/>
  <c r="AB93" i="8" s="1"/>
  <c r="N95" i="8"/>
  <c r="C96" i="8"/>
  <c r="B97" i="8"/>
  <c r="L95" i="8" l="1"/>
  <c r="J95" i="8"/>
  <c r="K95" i="8"/>
  <c r="T94" i="8"/>
  <c r="AA94" i="8" s="1"/>
  <c r="W94" i="8"/>
  <c r="AB94" i="8" s="1"/>
  <c r="Z94" i="8"/>
  <c r="AC94" i="8" s="1"/>
  <c r="N96" i="8"/>
  <c r="B98" i="8"/>
  <c r="C97" i="8"/>
  <c r="W95" i="8" l="1"/>
  <c r="AB95" i="8" s="1"/>
  <c r="L96" i="8"/>
  <c r="J96" i="8"/>
  <c r="K96" i="8"/>
  <c r="T95" i="8"/>
  <c r="AA95" i="8" s="1"/>
  <c r="Z95" i="8"/>
  <c r="AC95" i="8" s="1"/>
  <c r="N97" i="8"/>
  <c r="C98" i="8"/>
  <c r="B99" i="8"/>
  <c r="Z96" i="8" l="1"/>
  <c r="AC96" i="8" s="1"/>
  <c r="L97" i="8"/>
  <c r="K97" i="8"/>
  <c r="J97" i="8"/>
  <c r="T96" i="8"/>
  <c r="AA96" i="8" s="1"/>
  <c r="W96" i="8"/>
  <c r="AB96" i="8" s="1"/>
  <c r="N98" i="8"/>
  <c r="B100" i="8"/>
  <c r="C99" i="8"/>
  <c r="W97" i="8" l="1"/>
  <c r="AB97" i="8" s="1"/>
  <c r="J98" i="8"/>
  <c r="L98" i="8"/>
  <c r="K98" i="8"/>
  <c r="Z97" i="8"/>
  <c r="AC97" i="8" s="1"/>
  <c r="T97" i="8"/>
  <c r="AA97" i="8" s="1"/>
  <c r="N99" i="8"/>
  <c r="C100" i="8"/>
  <c r="B101" i="8"/>
  <c r="L99" i="8" l="1"/>
  <c r="K99" i="8"/>
  <c r="J99" i="8"/>
  <c r="Z98" i="8"/>
  <c r="AC98" i="8" s="1"/>
  <c r="W98" i="8"/>
  <c r="AB98" i="8" s="1"/>
  <c r="T98" i="8"/>
  <c r="AA98" i="8" s="1"/>
  <c r="N100" i="8"/>
  <c r="B102" i="8"/>
  <c r="C101" i="8"/>
  <c r="L100" i="8" l="1"/>
  <c r="K100" i="8"/>
  <c r="J100" i="8"/>
  <c r="Z99" i="8"/>
  <c r="AC99" i="8" s="1"/>
  <c r="T99" i="8"/>
  <c r="AA99" i="8" s="1"/>
  <c r="W99" i="8"/>
  <c r="AB99" i="8" s="1"/>
  <c r="N101" i="8"/>
  <c r="C102" i="8"/>
  <c r="B103" i="8"/>
  <c r="L101" i="8" l="1"/>
  <c r="K101" i="8"/>
  <c r="Z100" i="8"/>
  <c r="AC100" i="8" s="1"/>
  <c r="J101" i="8"/>
  <c r="W100" i="8"/>
  <c r="AB100" i="8" s="1"/>
  <c r="T100" i="8"/>
  <c r="AA100" i="8" s="1"/>
  <c r="N102" i="8"/>
  <c r="B104" i="8"/>
  <c r="C103" i="8"/>
  <c r="K102" i="8" l="1"/>
  <c r="L102" i="8"/>
  <c r="Z101" i="8"/>
  <c r="AC101" i="8" s="1"/>
  <c r="J102" i="8"/>
  <c r="W101" i="8"/>
  <c r="AB101" i="8" s="1"/>
  <c r="T101" i="8"/>
  <c r="AA101" i="8" s="1"/>
  <c r="N103" i="8"/>
  <c r="C104" i="8"/>
  <c r="B105" i="8"/>
  <c r="L103" i="8" l="1"/>
  <c r="K103" i="8"/>
  <c r="J103" i="8"/>
  <c r="W102" i="8"/>
  <c r="AB102" i="8" s="1"/>
  <c r="T102" i="8"/>
  <c r="AA102" i="8" s="1"/>
  <c r="Z102" i="8"/>
  <c r="AC102" i="8" s="1"/>
  <c r="N104" i="8"/>
  <c r="C105" i="8"/>
  <c r="B106" i="8"/>
  <c r="L104" i="8" l="1"/>
  <c r="J104" i="8"/>
  <c r="T103" i="8"/>
  <c r="AA103" i="8" s="1"/>
  <c r="K104" i="8"/>
  <c r="W103" i="8"/>
  <c r="AB103" i="8" s="1"/>
  <c r="Z103" i="8"/>
  <c r="AC103" i="8" s="1"/>
  <c r="N105" i="8"/>
  <c r="C106" i="8"/>
  <c r="B107" i="8"/>
  <c r="L105" i="8" l="1"/>
  <c r="W104" i="8"/>
  <c r="AB104" i="8" s="1"/>
  <c r="J105" i="8"/>
  <c r="T104" i="8"/>
  <c r="AA104" i="8" s="1"/>
  <c r="Z104" i="8"/>
  <c r="AC104" i="8" s="1"/>
  <c r="K105" i="8"/>
  <c r="N106" i="8"/>
  <c r="C107" i="8"/>
  <c r="B108" i="8"/>
  <c r="Z105" i="8" l="1"/>
  <c r="AC105" i="8" s="1"/>
  <c r="J106" i="8"/>
  <c r="L106" i="8"/>
  <c r="W105" i="8"/>
  <c r="AB105" i="8" s="1"/>
  <c r="K106" i="8"/>
  <c r="T105" i="8"/>
  <c r="AA105" i="8" s="1"/>
  <c r="N107" i="8"/>
  <c r="C108" i="8"/>
  <c r="B109" i="8"/>
  <c r="L107" i="8" l="1"/>
  <c r="J107" i="8"/>
  <c r="K107" i="8"/>
  <c r="Z106" i="8"/>
  <c r="AC106" i="8" s="1"/>
  <c r="W106" i="8"/>
  <c r="AB106" i="8" s="1"/>
  <c r="T106" i="8"/>
  <c r="AA106" i="8" s="1"/>
  <c r="N108" i="8"/>
  <c r="C109" i="8"/>
  <c r="B110" i="8"/>
  <c r="L108" i="8" l="1"/>
  <c r="J108" i="8"/>
  <c r="Z107" i="8"/>
  <c r="AC107" i="8" s="1"/>
  <c r="K108" i="8"/>
  <c r="T107" i="8"/>
  <c r="AA107" i="8" s="1"/>
  <c r="W107" i="8"/>
  <c r="AB107" i="8" s="1"/>
  <c r="N109" i="8"/>
  <c r="C110" i="8"/>
  <c r="B111" i="8"/>
  <c r="L109" i="8" l="1"/>
  <c r="J109" i="8"/>
  <c r="K109" i="8"/>
  <c r="Z108" i="8"/>
  <c r="AC108" i="8" s="1"/>
  <c r="T108" i="8"/>
  <c r="AA108" i="8" s="1"/>
  <c r="W108" i="8"/>
  <c r="AB108" i="8" s="1"/>
  <c r="N110" i="8"/>
  <c r="C111" i="8"/>
  <c r="B112" i="8"/>
  <c r="L110" i="8" l="1"/>
  <c r="J110" i="8"/>
  <c r="K110" i="8"/>
  <c r="Z109" i="8"/>
  <c r="AC109" i="8" s="1"/>
  <c r="T109" i="8"/>
  <c r="AA109" i="8" s="1"/>
  <c r="W109" i="8"/>
  <c r="AB109" i="8" s="1"/>
  <c r="N111" i="8"/>
  <c r="C112" i="8"/>
  <c r="B113" i="8"/>
  <c r="L111" i="8" l="1"/>
  <c r="J111" i="8"/>
  <c r="K111" i="8"/>
  <c r="W110" i="8"/>
  <c r="AB110" i="8" s="1"/>
  <c r="T110" i="8"/>
  <c r="AA110" i="8" s="1"/>
  <c r="Z110" i="8"/>
  <c r="AC110" i="8" s="1"/>
  <c r="N112" i="8"/>
  <c r="C113" i="8"/>
  <c r="B114" i="8"/>
  <c r="L112" i="8" l="1"/>
  <c r="K112" i="8"/>
  <c r="J112" i="8"/>
  <c r="W111" i="8"/>
  <c r="AB111" i="8" s="1"/>
  <c r="T111" i="8"/>
  <c r="AA111" i="8" s="1"/>
  <c r="Z111" i="8"/>
  <c r="AC111" i="8" s="1"/>
  <c r="N113" i="8"/>
  <c r="C114" i="8"/>
  <c r="B115" i="8"/>
  <c r="W112" i="8" l="1"/>
  <c r="AB112" i="8" s="1"/>
  <c r="L113" i="8"/>
  <c r="Z112" i="8"/>
  <c r="AC112" i="8" s="1"/>
  <c r="J113" i="8"/>
  <c r="T112" i="8"/>
  <c r="AA112" i="8" s="1"/>
  <c r="K113" i="8"/>
  <c r="N114" i="8"/>
  <c r="C115" i="8"/>
  <c r="B116" i="8"/>
  <c r="Z113" i="8" l="1"/>
  <c r="AC113" i="8" s="1"/>
  <c r="J114" i="8"/>
  <c r="W113" i="8"/>
  <c r="AB113" i="8" s="1"/>
  <c r="K114" i="8"/>
  <c r="L114" i="8"/>
  <c r="T113" i="8"/>
  <c r="AA113" i="8" s="1"/>
  <c r="N115" i="8"/>
  <c r="C116" i="8"/>
  <c r="B117" i="8"/>
  <c r="J115" i="8" l="1"/>
  <c r="L115" i="8"/>
  <c r="Z114" i="8"/>
  <c r="AC114" i="8" s="1"/>
  <c r="W114" i="8"/>
  <c r="AB114" i="8" s="1"/>
  <c r="K115" i="8"/>
  <c r="T114" i="8"/>
  <c r="AA114" i="8" s="1"/>
  <c r="N116" i="8"/>
  <c r="C117" i="8"/>
  <c r="B118" i="8"/>
  <c r="L116" i="8" l="1"/>
  <c r="J116" i="8"/>
  <c r="K116" i="8"/>
  <c r="Z115" i="8"/>
  <c r="AC115" i="8" s="1"/>
  <c r="T115" i="8"/>
  <c r="AA115" i="8" s="1"/>
  <c r="W115" i="8"/>
  <c r="AB115" i="8" s="1"/>
  <c r="N117" i="8"/>
  <c r="C118" i="8"/>
  <c r="B119" i="8"/>
  <c r="L117" i="8" l="1"/>
  <c r="J117" i="8"/>
  <c r="K117" i="8"/>
  <c r="Z116" i="8"/>
  <c r="AC116" i="8" s="1"/>
  <c r="T116" i="8"/>
  <c r="AA116" i="8" s="1"/>
  <c r="W116" i="8"/>
  <c r="AB116" i="8" s="1"/>
  <c r="N118" i="8"/>
  <c r="C119" i="8"/>
  <c r="B120" i="8"/>
  <c r="K118" i="8" l="1"/>
  <c r="J118" i="8"/>
  <c r="L118" i="8"/>
  <c r="Z117" i="8"/>
  <c r="AC117" i="8" s="1"/>
  <c r="T117" i="8"/>
  <c r="AA117" i="8" s="1"/>
  <c r="W117" i="8"/>
  <c r="AB117" i="8" s="1"/>
  <c r="N119" i="8"/>
  <c r="C120" i="8"/>
  <c r="B121" i="8"/>
  <c r="K119" i="8" l="1"/>
  <c r="L119" i="8"/>
  <c r="J119" i="8"/>
  <c r="T118" i="8"/>
  <c r="AA118" i="8" s="1"/>
  <c r="W118" i="8"/>
  <c r="AB118" i="8" s="1"/>
  <c r="Z118" i="8"/>
  <c r="AC118" i="8" s="1"/>
  <c r="N120" i="8"/>
  <c r="C121" i="8"/>
  <c r="B122" i="8"/>
  <c r="W119" i="8" l="1"/>
  <c r="AB119" i="8" s="1"/>
  <c r="L120" i="8"/>
  <c r="J120" i="8"/>
  <c r="K120" i="8"/>
  <c r="T119" i="8"/>
  <c r="AA119" i="8" s="1"/>
  <c r="Z119" i="8"/>
  <c r="AC119" i="8" s="1"/>
  <c r="N121" i="8"/>
  <c r="C122" i="8"/>
  <c r="B123" i="8"/>
  <c r="L121" i="8" l="1"/>
  <c r="K121" i="8"/>
  <c r="W120" i="8"/>
  <c r="AB120" i="8" s="1"/>
  <c r="J121" i="8"/>
  <c r="Z120" i="8"/>
  <c r="AC120" i="8" s="1"/>
  <c r="T120" i="8"/>
  <c r="AA120" i="8" s="1"/>
  <c r="N122" i="8"/>
  <c r="C123" i="8"/>
  <c r="B124" i="8"/>
  <c r="L122" i="8" l="1"/>
  <c r="Z121" i="8"/>
  <c r="AC121" i="8" s="1"/>
  <c r="J122" i="8"/>
  <c r="W121" i="8"/>
  <c r="AB121" i="8" s="1"/>
  <c r="K122" i="8"/>
  <c r="T121" i="8"/>
  <c r="AA121" i="8" s="1"/>
  <c r="N123" i="8"/>
  <c r="C124" i="8"/>
  <c r="B125" i="8"/>
  <c r="L123" i="8" l="1"/>
  <c r="Z122" i="8"/>
  <c r="AC122" i="8" s="1"/>
  <c r="J123" i="8"/>
  <c r="W122" i="8"/>
  <c r="AB122" i="8" s="1"/>
  <c r="T122" i="8"/>
  <c r="AA122" i="8" s="1"/>
  <c r="K123" i="8"/>
  <c r="N124" i="8"/>
  <c r="C125" i="8"/>
  <c r="B126" i="8"/>
  <c r="L124" i="8" l="1"/>
  <c r="J124" i="8"/>
  <c r="W123" i="8"/>
  <c r="AB123" i="8" s="1"/>
  <c r="T123" i="8"/>
  <c r="AA123" i="8" s="1"/>
  <c r="Z123" i="8"/>
  <c r="AC123" i="8" s="1"/>
  <c r="K124" i="8"/>
  <c r="N125" i="8"/>
  <c r="C126" i="8"/>
  <c r="B127" i="8"/>
  <c r="L125" i="8" l="1"/>
  <c r="J125" i="8"/>
  <c r="Z124" i="8"/>
  <c r="AC124" i="8" s="1"/>
  <c r="K125" i="8"/>
  <c r="W124" i="8"/>
  <c r="AB124" i="8" s="1"/>
  <c r="T124" i="8"/>
  <c r="AA124" i="8" s="1"/>
  <c r="N126" i="8"/>
  <c r="C127" i="8"/>
  <c r="B128" i="8"/>
  <c r="Z125" i="8" l="1"/>
  <c r="AC125" i="8" s="1"/>
  <c r="K126" i="8"/>
  <c r="L126" i="8"/>
  <c r="J126" i="8"/>
  <c r="W125" i="8"/>
  <c r="AB125" i="8" s="1"/>
  <c r="T125" i="8"/>
  <c r="AA125" i="8" s="1"/>
  <c r="N127" i="8"/>
  <c r="C128" i="8"/>
  <c r="B129" i="8"/>
  <c r="L127" i="8" l="1"/>
  <c r="K127" i="8"/>
  <c r="J127" i="8"/>
  <c r="W126" i="8"/>
  <c r="AB126" i="8" s="1"/>
  <c r="T126" i="8"/>
  <c r="AA126" i="8" s="1"/>
  <c r="Z126" i="8"/>
  <c r="AC126" i="8" s="1"/>
  <c r="N128" i="8"/>
  <c r="C129" i="8"/>
  <c r="B130" i="8"/>
  <c r="L128" i="8" l="1"/>
  <c r="K128" i="8"/>
  <c r="J128" i="8"/>
  <c r="T127" i="8"/>
  <c r="AA127" i="8" s="1"/>
  <c r="W127" i="8"/>
  <c r="AB127" i="8" s="1"/>
  <c r="Z127" i="8"/>
  <c r="AC127" i="8" s="1"/>
  <c r="N129" i="8"/>
  <c r="C130" i="8"/>
  <c r="B131" i="8"/>
  <c r="Z128" i="8" l="1"/>
  <c r="AC128" i="8" s="1"/>
  <c r="J129" i="8"/>
  <c r="T128" i="8"/>
  <c r="AA128" i="8" s="1"/>
  <c r="K129" i="8"/>
  <c r="L129" i="8"/>
  <c r="W128" i="8"/>
  <c r="AB128" i="8" s="1"/>
  <c r="N130" i="8"/>
  <c r="C131" i="8"/>
  <c r="B132" i="8"/>
  <c r="L130" i="8" l="1"/>
  <c r="J130" i="8"/>
  <c r="Z129" i="8"/>
  <c r="AC129" i="8" s="1"/>
  <c r="W129" i="8"/>
  <c r="AB129" i="8" s="1"/>
  <c r="K130" i="8"/>
  <c r="T129" i="8"/>
  <c r="AA129" i="8" s="1"/>
  <c r="N131" i="8"/>
  <c r="B133" i="8"/>
  <c r="C132" i="8"/>
  <c r="Z130" i="8" l="1"/>
  <c r="AC130" i="8" s="1"/>
  <c r="L131" i="8"/>
  <c r="K131" i="8"/>
  <c r="J131" i="8"/>
  <c r="W130" i="8"/>
  <c r="AB130" i="8" s="1"/>
  <c r="T130" i="8"/>
  <c r="AA130" i="8" s="1"/>
  <c r="N132" i="8"/>
  <c r="C133" i="8"/>
  <c r="B134" i="8"/>
  <c r="W131" i="8" l="1"/>
  <c r="AB131" i="8" s="1"/>
  <c r="L132" i="8"/>
  <c r="J132" i="8"/>
  <c r="T131" i="8"/>
  <c r="AA131" i="8" s="1"/>
  <c r="Z131" i="8"/>
  <c r="AC131" i="8" s="1"/>
  <c r="K132" i="8"/>
  <c r="N133" i="8"/>
  <c r="B135" i="8"/>
  <c r="C134" i="8"/>
  <c r="L133" i="8" l="1"/>
  <c r="J133" i="8"/>
  <c r="Z132" i="8"/>
  <c r="AC132" i="8" s="1"/>
  <c r="W132" i="8"/>
  <c r="AB132" i="8" s="1"/>
  <c r="K133" i="8"/>
  <c r="T132" i="8"/>
  <c r="AA132" i="8" s="1"/>
  <c r="N134" i="8"/>
  <c r="C135" i="8"/>
  <c r="B136" i="8"/>
  <c r="J134" i="8" l="1"/>
  <c r="K134" i="8"/>
  <c r="L134" i="8"/>
  <c r="Z133" i="8"/>
  <c r="AC133" i="8" s="1"/>
  <c r="W133" i="8"/>
  <c r="AB133" i="8" s="1"/>
  <c r="T133" i="8"/>
  <c r="AA133" i="8" s="1"/>
  <c r="N135" i="8"/>
  <c r="B137" i="8"/>
  <c r="C136" i="8"/>
  <c r="J135" i="8" l="1"/>
  <c r="K135" i="8"/>
  <c r="L135" i="8"/>
  <c r="W134" i="8"/>
  <c r="AB134" i="8" s="1"/>
  <c r="T134" i="8"/>
  <c r="AA134" i="8" s="1"/>
  <c r="Z134" i="8"/>
  <c r="AC134" i="8" s="1"/>
  <c r="N136" i="8"/>
  <c r="C137" i="8"/>
  <c r="B138" i="8"/>
  <c r="L136" i="8" l="1"/>
  <c r="K136" i="8"/>
  <c r="J136" i="8"/>
  <c r="W135" i="8"/>
  <c r="AB135" i="8" s="1"/>
  <c r="T135" i="8"/>
  <c r="AA135" i="8" s="1"/>
  <c r="Z135" i="8"/>
  <c r="AC135" i="8" s="1"/>
  <c r="N137" i="8"/>
  <c r="B139" i="8"/>
  <c r="C138" i="8"/>
  <c r="Z136" i="8" l="1"/>
  <c r="AC136" i="8" s="1"/>
  <c r="L137" i="8"/>
  <c r="J137" i="8"/>
  <c r="T136" i="8"/>
  <c r="AA136" i="8" s="1"/>
  <c r="W136" i="8"/>
  <c r="AB136" i="8" s="1"/>
  <c r="K137" i="8"/>
  <c r="N138" i="8"/>
  <c r="C139" i="8"/>
  <c r="B140" i="8"/>
  <c r="J138" i="8" l="1"/>
  <c r="L138" i="8"/>
  <c r="Z137" i="8"/>
  <c r="AC137" i="8" s="1"/>
  <c r="K138" i="8"/>
  <c r="W137" i="8"/>
  <c r="AB137" i="8" s="1"/>
  <c r="T137" i="8"/>
  <c r="AA137" i="8" s="1"/>
  <c r="N139" i="8"/>
  <c r="B141" i="8"/>
  <c r="C140" i="8"/>
  <c r="L139" i="8" l="1"/>
  <c r="K139" i="8"/>
  <c r="J139" i="8"/>
  <c r="W138" i="8"/>
  <c r="AB138" i="8" s="1"/>
  <c r="Z138" i="8"/>
  <c r="AC138" i="8" s="1"/>
  <c r="T138" i="8"/>
  <c r="AA138" i="8" s="1"/>
  <c r="N140" i="8"/>
  <c r="C141" i="8"/>
  <c r="B142" i="8"/>
  <c r="J140" i="8" l="1"/>
  <c r="L140" i="8"/>
  <c r="K140" i="8"/>
  <c r="Z139" i="8"/>
  <c r="AC139" i="8" s="1"/>
  <c r="W139" i="8"/>
  <c r="AB139" i="8" s="1"/>
  <c r="T139" i="8"/>
  <c r="AA139" i="8" s="1"/>
  <c r="N141" i="8"/>
  <c r="B143" i="8"/>
  <c r="C142" i="8"/>
  <c r="L141" i="8" l="1"/>
  <c r="J141" i="8"/>
  <c r="K141" i="8"/>
  <c r="Z140" i="8"/>
  <c r="AC140" i="8" s="1"/>
  <c r="T140" i="8"/>
  <c r="AA140" i="8" s="1"/>
  <c r="W140" i="8"/>
  <c r="AB140" i="8" s="1"/>
  <c r="N142" i="8"/>
  <c r="C143" i="8"/>
  <c r="B144" i="8"/>
  <c r="L142" i="8" l="1"/>
  <c r="Z141" i="8"/>
  <c r="AC141" i="8" s="1"/>
  <c r="J142" i="8"/>
  <c r="K142" i="8"/>
  <c r="T141" i="8"/>
  <c r="AA141" i="8" s="1"/>
  <c r="W141" i="8"/>
  <c r="AB141" i="8" s="1"/>
  <c r="N143" i="8"/>
  <c r="B145" i="8"/>
  <c r="C144" i="8"/>
  <c r="J143" i="8" l="1"/>
  <c r="K143" i="8"/>
  <c r="L143" i="8"/>
  <c r="T142" i="8"/>
  <c r="AA142" i="8" s="1"/>
  <c r="W142" i="8"/>
  <c r="AB142" i="8" s="1"/>
  <c r="Z142" i="8"/>
  <c r="AC142" i="8" s="1"/>
  <c r="N144" i="8"/>
  <c r="C145" i="8"/>
  <c r="B146" i="8"/>
  <c r="W143" i="8" l="1"/>
  <c r="AB143" i="8" s="1"/>
  <c r="L144" i="8"/>
  <c r="K144" i="8"/>
  <c r="J144" i="8"/>
  <c r="T143" i="8"/>
  <c r="AA143" i="8" s="1"/>
  <c r="Z143" i="8"/>
  <c r="AC143" i="8" s="1"/>
  <c r="N145" i="8"/>
  <c r="B147" i="8"/>
  <c r="C146" i="8"/>
  <c r="Z144" i="8" l="1"/>
  <c r="AC144" i="8" s="1"/>
  <c r="W144" i="8"/>
  <c r="AB144" i="8" s="1"/>
  <c r="J145" i="8"/>
  <c r="T144" i="8"/>
  <c r="AA144" i="8" s="1"/>
  <c r="L145" i="8"/>
  <c r="K145" i="8"/>
  <c r="N146" i="8"/>
  <c r="C147" i="8"/>
  <c r="B148" i="8"/>
  <c r="K146" i="8" l="1"/>
  <c r="L146" i="8"/>
  <c r="Z145" i="8"/>
  <c r="AC145" i="8" s="1"/>
  <c r="J146" i="8"/>
  <c r="W145" i="8"/>
  <c r="AB145" i="8" s="1"/>
  <c r="T145" i="8"/>
  <c r="AA145" i="8" s="1"/>
  <c r="N147" i="8"/>
  <c r="B149" i="8"/>
  <c r="C148" i="8"/>
  <c r="L147" i="8" l="1"/>
  <c r="Z146" i="8"/>
  <c r="AC146" i="8" s="1"/>
  <c r="J147" i="8"/>
  <c r="W146" i="8"/>
  <c r="AB146" i="8" s="1"/>
  <c r="K147" i="8"/>
  <c r="T146" i="8"/>
  <c r="AA146" i="8" s="1"/>
  <c r="N148" i="8"/>
  <c r="C149" i="8"/>
  <c r="B150" i="8"/>
  <c r="J148" i="8" l="1"/>
  <c r="K148" i="8"/>
  <c r="L148" i="8"/>
  <c r="Z147" i="8"/>
  <c r="AC147" i="8" s="1"/>
  <c r="W147" i="8"/>
  <c r="AB147" i="8" s="1"/>
  <c r="T147" i="8"/>
  <c r="AA147" i="8" s="1"/>
  <c r="N149" i="8"/>
  <c r="B151" i="8"/>
  <c r="C150" i="8"/>
  <c r="J149" i="8" l="1"/>
  <c r="L149" i="8"/>
  <c r="Z148" i="8"/>
  <c r="AC148" i="8" s="1"/>
  <c r="T148" i="8"/>
  <c r="AA148" i="8" s="1"/>
  <c r="K149" i="8"/>
  <c r="W148" i="8"/>
  <c r="AB148" i="8" s="1"/>
  <c r="N150" i="8"/>
  <c r="B152" i="8"/>
  <c r="C151" i="8"/>
  <c r="K150" i="8" l="1"/>
  <c r="L150" i="8"/>
  <c r="Z149" i="8"/>
  <c r="AC149" i="8" s="1"/>
  <c r="J150" i="8"/>
  <c r="T149" i="8"/>
  <c r="AA149" i="8" s="1"/>
  <c r="W149" i="8"/>
  <c r="AB149" i="8" s="1"/>
  <c r="N151" i="8"/>
  <c r="C152" i="8"/>
  <c r="B153" i="8"/>
  <c r="L151" i="8" l="1"/>
  <c r="J151" i="8"/>
  <c r="K151" i="8"/>
  <c r="T150" i="8"/>
  <c r="AA150" i="8" s="1"/>
  <c r="W150" i="8"/>
  <c r="AB150" i="8" s="1"/>
  <c r="Z150" i="8"/>
  <c r="AC150" i="8" s="1"/>
  <c r="N152" i="8"/>
  <c r="B154" i="8"/>
  <c r="C153" i="8"/>
  <c r="L152" i="8" l="1"/>
  <c r="W151" i="8"/>
  <c r="AB151" i="8" s="1"/>
  <c r="J152" i="8"/>
  <c r="K152" i="8"/>
  <c r="T151" i="8"/>
  <c r="AA151" i="8" s="1"/>
  <c r="Z151" i="8"/>
  <c r="AC151" i="8" s="1"/>
  <c r="N153" i="8"/>
  <c r="C154" i="8"/>
  <c r="B155" i="8"/>
  <c r="L153" i="8" l="1"/>
  <c r="Z152" i="8"/>
  <c r="AC152" i="8" s="1"/>
  <c r="W152" i="8"/>
  <c r="AB152" i="8" s="1"/>
  <c r="J153" i="8"/>
  <c r="K153" i="8"/>
  <c r="T152" i="8"/>
  <c r="AA152" i="8" s="1"/>
  <c r="N154" i="8"/>
  <c r="B156" i="8"/>
  <c r="C155" i="8"/>
  <c r="W153" i="8" l="1"/>
  <c r="AB153" i="8" s="1"/>
  <c r="J154" i="8"/>
  <c r="L154" i="8"/>
  <c r="K154" i="8"/>
  <c r="T153" i="8"/>
  <c r="AA153" i="8" s="1"/>
  <c r="Z153" i="8"/>
  <c r="AC153" i="8" s="1"/>
  <c r="N155" i="8"/>
  <c r="B157" i="8"/>
  <c r="C156" i="8"/>
  <c r="L155" i="8" l="1"/>
  <c r="K155" i="8"/>
  <c r="J155" i="8"/>
  <c r="Z154" i="8"/>
  <c r="AC154" i="8" s="1"/>
  <c r="T154" i="8"/>
  <c r="AA154" i="8" s="1"/>
  <c r="W154" i="8"/>
  <c r="AB154" i="8" s="1"/>
  <c r="N156" i="8"/>
  <c r="B158" i="8"/>
  <c r="C157" i="8"/>
  <c r="W155" i="8" l="1"/>
  <c r="AB155" i="8" s="1"/>
  <c r="J156" i="8"/>
  <c r="L156" i="8"/>
  <c r="K156" i="8"/>
  <c r="T155" i="8"/>
  <c r="AA155" i="8" s="1"/>
  <c r="Z155" i="8"/>
  <c r="AC155" i="8" s="1"/>
  <c r="N157" i="8"/>
  <c r="B159" i="8"/>
  <c r="C158" i="8"/>
  <c r="L157" i="8" l="1"/>
  <c r="K157" i="8"/>
  <c r="J157" i="8"/>
  <c r="Z156" i="8"/>
  <c r="AC156" i="8" s="1"/>
  <c r="T156" i="8"/>
  <c r="AA156" i="8" s="1"/>
  <c r="W156" i="8"/>
  <c r="AB156" i="8" s="1"/>
  <c r="N158" i="8"/>
  <c r="B160" i="8"/>
  <c r="C159" i="8"/>
  <c r="L158" i="8" l="1"/>
  <c r="K158" i="8"/>
  <c r="J158" i="8"/>
  <c r="Z157" i="8"/>
  <c r="AC157" i="8" s="1"/>
  <c r="T157" i="8"/>
  <c r="AA157" i="8" s="1"/>
  <c r="W157" i="8"/>
  <c r="AB157" i="8" s="1"/>
  <c r="N159" i="8"/>
  <c r="C160" i="8"/>
  <c r="B161" i="8"/>
  <c r="K159" i="8" l="1"/>
  <c r="L159" i="8"/>
  <c r="J159" i="8"/>
  <c r="T158" i="8"/>
  <c r="AA158" i="8" s="1"/>
  <c r="W158" i="8"/>
  <c r="AB158" i="8" s="1"/>
  <c r="Z158" i="8"/>
  <c r="AC158" i="8" s="1"/>
  <c r="N160" i="8"/>
  <c r="B162" i="8"/>
  <c r="C161" i="8"/>
  <c r="L160" i="8" l="1"/>
  <c r="K160" i="8"/>
  <c r="J160" i="8"/>
  <c r="T159" i="8"/>
  <c r="AA159" i="8" s="1"/>
  <c r="W159" i="8"/>
  <c r="AB159" i="8" s="1"/>
  <c r="Z159" i="8"/>
  <c r="AC159" i="8" s="1"/>
  <c r="N161" i="8"/>
  <c r="C162" i="8"/>
  <c r="B163" i="8"/>
  <c r="Z160" i="8" l="1"/>
  <c r="AC160" i="8" s="1"/>
  <c r="L161" i="8"/>
  <c r="J161" i="8"/>
  <c r="W160" i="8"/>
  <c r="AB160" i="8" s="1"/>
  <c r="K161" i="8"/>
  <c r="T160" i="8"/>
  <c r="AA160" i="8" s="1"/>
  <c r="N162" i="8"/>
  <c r="B164" i="8"/>
  <c r="C163" i="8"/>
  <c r="Z161" i="8" l="1"/>
  <c r="AC161" i="8" s="1"/>
  <c r="J162" i="8"/>
  <c r="K162" i="8"/>
  <c r="L162" i="8"/>
  <c r="W161" i="8"/>
  <c r="AB161" i="8" s="1"/>
  <c r="T161" i="8"/>
  <c r="AA161" i="8" s="1"/>
  <c r="N163" i="8"/>
  <c r="B165" i="8"/>
  <c r="C164" i="8"/>
  <c r="L163" i="8" l="1"/>
  <c r="K163" i="8"/>
  <c r="Z162" i="8"/>
  <c r="AC162" i="8" s="1"/>
  <c r="J163" i="8"/>
  <c r="W162" i="8"/>
  <c r="AB162" i="8" s="1"/>
  <c r="T162" i="8"/>
  <c r="AA162" i="8" s="1"/>
  <c r="N164" i="8"/>
  <c r="B166" i="8"/>
  <c r="C165" i="8"/>
  <c r="L164" i="8" l="1"/>
  <c r="Z163" i="8"/>
  <c r="AC163" i="8" s="1"/>
  <c r="J164" i="8"/>
  <c r="K164" i="8"/>
  <c r="W163" i="8"/>
  <c r="AB163" i="8" s="1"/>
  <c r="T163" i="8"/>
  <c r="AA163" i="8" s="1"/>
  <c r="N165" i="8"/>
  <c r="B167" i="8"/>
  <c r="C166" i="8"/>
  <c r="L165" i="8" l="1"/>
  <c r="K165" i="8"/>
  <c r="J165" i="8"/>
  <c r="Z164" i="8"/>
  <c r="AC164" i="8" s="1"/>
  <c r="T164" i="8"/>
  <c r="AA164" i="8" s="1"/>
  <c r="W164" i="8"/>
  <c r="AB164" i="8" s="1"/>
  <c r="N166" i="8"/>
  <c r="B168" i="8"/>
  <c r="C167" i="8"/>
  <c r="Z165" i="8" l="1"/>
  <c r="AC165" i="8" s="1"/>
  <c r="L166" i="8"/>
  <c r="K166" i="8"/>
  <c r="J166" i="8"/>
  <c r="T165" i="8"/>
  <c r="AA165" i="8" s="1"/>
  <c r="W165" i="8"/>
  <c r="AB165" i="8" s="1"/>
  <c r="N167" i="8"/>
  <c r="C168" i="8"/>
  <c r="B169" i="8"/>
  <c r="L167" i="8" l="1"/>
  <c r="J167" i="8"/>
  <c r="K167" i="8"/>
  <c r="T166" i="8"/>
  <c r="AA166" i="8" s="1"/>
  <c r="W166" i="8"/>
  <c r="AB166" i="8" s="1"/>
  <c r="Z166" i="8"/>
  <c r="AC166" i="8" s="1"/>
  <c r="N168" i="8"/>
  <c r="B170" i="8"/>
  <c r="C169" i="8"/>
  <c r="W167" i="8" l="1"/>
  <c r="AB167" i="8" s="1"/>
  <c r="L168" i="8"/>
  <c r="J168" i="8"/>
  <c r="T167" i="8"/>
  <c r="AA167" i="8" s="1"/>
  <c r="K168" i="8"/>
  <c r="Z167" i="8"/>
  <c r="AC167" i="8" s="1"/>
  <c r="N169" i="8"/>
  <c r="C170" i="8"/>
  <c r="B171" i="8"/>
  <c r="Z168" i="8" l="1"/>
  <c r="AC168" i="8" s="1"/>
  <c r="J169" i="8"/>
  <c r="W168" i="8"/>
  <c r="AB168" i="8" s="1"/>
  <c r="L169" i="8"/>
  <c r="K169" i="8"/>
  <c r="T168" i="8"/>
  <c r="AA168" i="8" s="1"/>
  <c r="N170" i="8"/>
  <c r="B172" i="8"/>
  <c r="C171" i="8"/>
  <c r="L170" i="8" l="1"/>
  <c r="J170" i="8"/>
  <c r="Z169" i="8"/>
  <c r="AC169" i="8" s="1"/>
  <c r="W169" i="8"/>
  <c r="AB169" i="8" s="1"/>
  <c r="K170" i="8"/>
  <c r="T169" i="8"/>
  <c r="AA169" i="8" s="1"/>
  <c r="N171" i="8"/>
  <c r="C172" i="8"/>
  <c r="B173" i="8"/>
  <c r="L171" i="8" l="1"/>
  <c r="J171" i="8"/>
  <c r="W170" i="8"/>
  <c r="AB170" i="8" s="1"/>
  <c r="K171" i="8"/>
  <c r="T170" i="8"/>
  <c r="AA170" i="8" s="1"/>
  <c r="Z170" i="8"/>
  <c r="AC170" i="8" s="1"/>
  <c r="N172" i="8"/>
  <c r="B174" i="8"/>
  <c r="C173" i="8"/>
  <c r="L172" i="8" l="1"/>
  <c r="J172" i="8"/>
  <c r="K172" i="8"/>
  <c r="Z171" i="8"/>
  <c r="AC171" i="8" s="1"/>
  <c r="T171" i="8"/>
  <c r="AA171" i="8" s="1"/>
  <c r="W171" i="8"/>
  <c r="AB171" i="8" s="1"/>
  <c r="N173" i="8"/>
  <c r="C174" i="8"/>
  <c r="B175" i="8"/>
  <c r="L173" i="8" l="1"/>
  <c r="J173" i="8"/>
  <c r="Z172" i="8"/>
  <c r="AC172" i="8" s="1"/>
  <c r="W172" i="8"/>
  <c r="AB172" i="8" s="1"/>
  <c r="K173" i="8"/>
  <c r="T172" i="8"/>
  <c r="AA172" i="8" s="1"/>
  <c r="N174" i="8"/>
  <c r="B176" i="8"/>
  <c r="C175" i="8"/>
  <c r="L174" i="8" l="1"/>
  <c r="K174" i="8"/>
  <c r="J174" i="8"/>
  <c r="Z173" i="8"/>
  <c r="AC173" i="8" s="1"/>
  <c r="W173" i="8"/>
  <c r="AB173" i="8" s="1"/>
  <c r="T173" i="8"/>
  <c r="AA173" i="8" s="1"/>
  <c r="N175" i="8"/>
  <c r="C176" i="8"/>
  <c r="B177" i="8"/>
  <c r="L175" i="8" l="1"/>
  <c r="J175" i="8"/>
  <c r="K175" i="8"/>
  <c r="T174" i="8"/>
  <c r="AA174" i="8" s="1"/>
  <c r="W174" i="8"/>
  <c r="AB174" i="8" s="1"/>
  <c r="Z174" i="8"/>
  <c r="AC174" i="8" s="1"/>
  <c r="N176" i="8"/>
  <c r="B178" i="8"/>
  <c r="C177" i="8"/>
  <c r="L176" i="8" l="1"/>
  <c r="K176" i="8"/>
  <c r="J176" i="8"/>
  <c r="W175" i="8"/>
  <c r="AB175" i="8" s="1"/>
  <c r="T175" i="8"/>
  <c r="AA175" i="8" s="1"/>
  <c r="Z175" i="8"/>
  <c r="AC175" i="8" s="1"/>
  <c r="N177" i="8"/>
  <c r="C178" i="8"/>
  <c r="B179" i="8"/>
  <c r="Z176" i="8" l="1"/>
  <c r="AC176" i="8" s="1"/>
  <c r="L177" i="8"/>
  <c r="J177" i="8"/>
  <c r="K177" i="8"/>
  <c r="T176" i="8"/>
  <c r="AA176" i="8" s="1"/>
  <c r="W176" i="8"/>
  <c r="AB176" i="8" s="1"/>
  <c r="N178" i="8"/>
  <c r="B180" i="8"/>
  <c r="C179" i="8"/>
  <c r="L178" i="8" l="1"/>
  <c r="Z177" i="8"/>
  <c r="AC177" i="8" s="1"/>
  <c r="J178" i="8"/>
  <c r="W177" i="8"/>
  <c r="AB177" i="8" s="1"/>
  <c r="K178" i="8"/>
  <c r="T177" i="8"/>
  <c r="AA177" i="8" s="1"/>
  <c r="N179" i="8"/>
  <c r="C180" i="8"/>
  <c r="B181" i="8"/>
  <c r="L179" i="8" l="1"/>
  <c r="J179" i="8"/>
  <c r="Z178" i="8"/>
  <c r="AC178" i="8" s="1"/>
  <c r="K179" i="8"/>
  <c r="T178" i="8"/>
  <c r="AA178" i="8" s="1"/>
  <c r="W178" i="8"/>
  <c r="AB178" i="8" s="1"/>
  <c r="N180" i="8"/>
  <c r="B182" i="8"/>
  <c r="C181" i="8"/>
  <c r="W179" i="8" l="1"/>
  <c r="AB179" i="8" s="1"/>
  <c r="L180" i="8"/>
  <c r="Z179" i="8"/>
  <c r="AC179" i="8" s="1"/>
  <c r="J180" i="8"/>
  <c r="T179" i="8"/>
  <c r="AA179" i="8" s="1"/>
  <c r="K180" i="8"/>
  <c r="N181" i="8"/>
  <c r="C182" i="8"/>
  <c r="B183" i="8"/>
  <c r="L181" i="8" l="1"/>
  <c r="Z180" i="8"/>
  <c r="AC180" i="8" s="1"/>
  <c r="J181" i="8"/>
  <c r="K181" i="8"/>
  <c r="T180" i="8"/>
  <c r="AA180" i="8" s="1"/>
  <c r="W180" i="8"/>
  <c r="AB180" i="8" s="1"/>
  <c r="N182" i="8"/>
  <c r="B184" i="8"/>
  <c r="C183" i="8"/>
  <c r="Z181" i="8" l="1"/>
  <c r="AC181" i="8" s="1"/>
  <c r="L182" i="8"/>
  <c r="J182" i="8"/>
  <c r="K182" i="8"/>
  <c r="T181" i="8"/>
  <c r="AA181" i="8" s="1"/>
  <c r="W181" i="8"/>
  <c r="AB181" i="8" s="1"/>
  <c r="N183" i="8"/>
  <c r="C184" i="8"/>
  <c r="B185" i="8"/>
  <c r="K183" i="8" l="1"/>
  <c r="L183" i="8"/>
  <c r="J183" i="8"/>
  <c r="T182" i="8"/>
  <c r="AA182" i="8" s="1"/>
  <c r="W182" i="8"/>
  <c r="AB182" i="8" s="1"/>
  <c r="Z182" i="8"/>
  <c r="AC182" i="8" s="1"/>
  <c r="N184" i="8"/>
  <c r="B186" i="8"/>
  <c r="C185" i="8"/>
  <c r="L184" i="8" l="1"/>
  <c r="K184" i="8"/>
  <c r="J184" i="8"/>
  <c r="T183" i="8"/>
  <c r="AA183" i="8" s="1"/>
  <c r="W183" i="8"/>
  <c r="AB183" i="8" s="1"/>
  <c r="Z183" i="8"/>
  <c r="AC183" i="8" s="1"/>
  <c r="N185" i="8"/>
  <c r="C186" i="8"/>
  <c r="B187" i="8"/>
  <c r="J185" i="8" l="1"/>
  <c r="L185" i="8"/>
  <c r="T184" i="8"/>
  <c r="AA184" i="8" s="1"/>
  <c r="Z184" i="8"/>
  <c r="AC184" i="8" s="1"/>
  <c r="K185" i="8"/>
  <c r="W184" i="8"/>
  <c r="AB184" i="8" s="1"/>
  <c r="N186" i="8"/>
  <c r="B188" i="8"/>
  <c r="C187" i="8"/>
  <c r="J186" i="8" l="1"/>
  <c r="Z185" i="8"/>
  <c r="AC185" i="8" s="1"/>
  <c r="K186" i="8"/>
  <c r="L186" i="8"/>
  <c r="T185" i="8"/>
  <c r="AA185" i="8" s="1"/>
  <c r="W185" i="8"/>
  <c r="AB185" i="8" s="1"/>
  <c r="N187" i="8"/>
  <c r="C188" i="8"/>
  <c r="B189" i="8"/>
  <c r="L187" i="8" l="1"/>
  <c r="J187" i="8"/>
  <c r="K187" i="8"/>
  <c r="Z186" i="8"/>
  <c r="AC186" i="8" s="1"/>
  <c r="T186" i="8"/>
  <c r="AA186" i="8" s="1"/>
  <c r="W186" i="8"/>
  <c r="AB186" i="8" s="1"/>
  <c r="N188" i="8"/>
  <c r="B190" i="8"/>
  <c r="C189" i="8"/>
  <c r="J188" i="8" l="1"/>
  <c r="Z187" i="8"/>
  <c r="AC187" i="8" s="1"/>
  <c r="L188" i="8"/>
  <c r="K188" i="8"/>
  <c r="W187" i="8"/>
  <c r="AB187" i="8" s="1"/>
  <c r="T187" i="8"/>
  <c r="AA187" i="8" s="1"/>
  <c r="N189" i="8"/>
  <c r="C190" i="8"/>
  <c r="B191" i="8"/>
  <c r="Z188" i="8" l="1"/>
  <c r="AC188" i="8" s="1"/>
  <c r="L189" i="8"/>
  <c r="K189" i="8"/>
  <c r="J189" i="8"/>
  <c r="T188" i="8"/>
  <c r="AA188" i="8" s="1"/>
  <c r="W188" i="8"/>
  <c r="AB188" i="8" s="1"/>
  <c r="N190" i="8"/>
  <c r="B192" i="8"/>
  <c r="C191" i="8"/>
  <c r="Z189" i="8" l="1"/>
  <c r="AC189" i="8" s="1"/>
  <c r="L190" i="8"/>
  <c r="W189" i="8"/>
  <c r="AB189" i="8" s="1"/>
  <c r="J190" i="8"/>
  <c r="K190" i="8"/>
  <c r="T189" i="8"/>
  <c r="AA189" i="8" s="1"/>
  <c r="N191" i="8"/>
  <c r="C192" i="8"/>
  <c r="B193" i="8"/>
  <c r="L191" i="8" l="1"/>
  <c r="J191" i="8"/>
  <c r="K191" i="8"/>
  <c r="T190" i="8"/>
  <c r="AA190" i="8" s="1"/>
  <c r="W190" i="8"/>
  <c r="AB190" i="8" s="1"/>
  <c r="Z190" i="8"/>
  <c r="AC190" i="8" s="1"/>
  <c r="N192" i="8"/>
  <c r="B194" i="8"/>
  <c r="C193" i="8"/>
  <c r="W191" i="8" l="1"/>
  <c r="AB191" i="8" s="1"/>
  <c r="K192" i="8"/>
  <c r="L192" i="8"/>
  <c r="J192" i="8"/>
  <c r="T191" i="8"/>
  <c r="AA191" i="8" s="1"/>
  <c r="Z191" i="8"/>
  <c r="AC191" i="8" s="1"/>
  <c r="N193" i="8"/>
  <c r="C194" i="8"/>
  <c r="B195" i="8"/>
  <c r="L193" i="8" l="1"/>
  <c r="Z192" i="8"/>
  <c r="AC192" i="8" s="1"/>
  <c r="J193" i="8"/>
  <c r="T192" i="8"/>
  <c r="AA192" i="8" s="1"/>
  <c r="K193" i="8"/>
  <c r="W192" i="8"/>
  <c r="AB192" i="8" s="1"/>
  <c r="N194" i="8"/>
  <c r="B196" i="8"/>
  <c r="C195" i="8"/>
  <c r="L194" i="8" l="1"/>
  <c r="Z193" i="8"/>
  <c r="AC193" i="8" s="1"/>
  <c r="J194" i="8"/>
  <c r="K194" i="8"/>
  <c r="W193" i="8"/>
  <c r="AB193" i="8" s="1"/>
  <c r="T193" i="8"/>
  <c r="AA193" i="8" s="1"/>
  <c r="N195" i="8"/>
  <c r="C196" i="8"/>
  <c r="B197" i="8"/>
  <c r="L195" i="8" l="1"/>
  <c r="J195" i="8"/>
  <c r="K195" i="8"/>
  <c r="W194" i="8"/>
  <c r="AB194" i="8" s="1"/>
  <c r="Z194" i="8"/>
  <c r="AC194" i="8" s="1"/>
  <c r="T194" i="8"/>
  <c r="AA194" i="8" s="1"/>
  <c r="N196" i="8"/>
  <c r="B198" i="8"/>
  <c r="C197" i="8"/>
  <c r="L196" i="8" l="1"/>
  <c r="K196" i="8"/>
  <c r="J196" i="8"/>
  <c r="Z195" i="8"/>
  <c r="AC195" i="8" s="1"/>
  <c r="W195" i="8"/>
  <c r="AB195" i="8" s="1"/>
  <c r="T195" i="8"/>
  <c r="AA195" i="8" s="1"/>
  <c r="N197" i="8"/>
  <c r="C198" i="8"/>
  <c r="B199" i="8"/>
  <c r="L197" i="8" l="1"/>
  <c r="J197" i="8"/>
  <c r="Z196" i="8"/>
  <c r="AC196" i="8" s="1"/>
  <c r="K197" i="8"/>
  <c r="T196" i="8"/>
  <c r="AA196" i="8" s="1"/>
  <c r="W196" i="8"/>
  <c r="AB196" i="8" s="1"/>
  <c r="N198" i="8"/>
  <c r="B200" i="8"/>
  <c r="C199" i="8"/>
  <c r="L198" i="8" l="1"/>
  <c r="K198" i="8"/>
  <c r="J198" i="8"/>
  <c r="Z197" i="8"/>
  <c r="AC197" i="8" s="1"/>
  <c r="T197" i="8"/>
  <c r="AA197" i="8" s="1"/>
  <c r="W197" i="8"/>
  <c r="AB197" i="8" s="1"/>
  <c r="N199" i="8"/>
  <c r="C200" i="8"/>
  <c r="B201" i="8"/>
  <c r="L199" i="8" l="1"/>
  <c r="J199" i="8"/>
  <c r="K199" i="8"/>
  <c r="T198" i="8"/>
  <c r="AA198" i="8" s="1"/>
  <c r="W198" i="8"/>
  <c r="AB198" i="8" s="1"/>
  <c r="Z198" i="8"/>
  <c r="AC198" i="8" s="1"/>
  <c r="N200" i="8"/>
  <c r="B202" i="8"/>
  <c r="C201" i="8"/>
  <c r="L200" i="8" l="1"/>
  <c r="K200" i="8"/>
  <c r="J200" i="8"/>
  <c r="T199" i="8"/>
  <c r="AA199" i="8" s="1"/>
  <c r="W199" i="8"/>
  <c r="AB199" i="8" s="1"/>
  <c r="Z199" i="8"/>
  <c r="AC199" i="8" s="1"/>
  <c r="N201" i="8"/>
  <c r="C202" i="8"/>
  <c r="B203" i="8"/>
  <c r="T200" i="8" l="1"/>
  <c r="AA200" i="8" s="1"/>
  <c r="W200" i="8"/>
  <c r="AB200" i="8" s="1"/>
  <c r="Z200" i="8"/>
  <c r="AC200" i="8" s="1"/>
  <c r="L201" i="8"/>
  <c r="J201" i="8"/>
  <c r="K201" i="8"/>
  <c r="N202" i="8"/>
  <c r="B204" i="8"/>
  <c r="C203" i="8"/>
  <c r="Z201" i="8" l="1"/>
  <c r="AC201" i="8" s="1"/>
  <c r="W201" i="8"/>
  <c r="AB201" i="8" s="1"/>
  <c r="J202" i="8"/>
  <c r="L202" i="8"/>
  <c r="K202" i="8"/>
  <c r="T201" i="8"/>
  <c r="AA201" i="8" s="1"/>
  <c r="N203" i="8"/>
  <c r="C204" i="8"/>
  <c r="B205" i="8"/>
  <c r="L203" i="8" l="1"/>
  <c r="K203" i="8"/>
  <c r="W202" i="8"/>
  <c r="AB202" i="8" s="1"/>
  <c r="J203" i="8"/>
  <c r="T202" i="8"/>
  <c r="AA202" i="8" s="1"/>
  <c r="Z202" i="8"/>
  <c r="AC202" i="8" s="1"/>
  <c r="N204" i="8"/>
  <c r="B206" i="8"/>
  <c r="C205" i="8"/>
  <c r="L204" i="8" l="1"/>
  <c r="Z203" i="8"/>
  <c r="AC203" i="8" s="1"/>
  <c r="J204" i="8"/>
  <c r="K204" i="8"/>
  <c r="T203" i="8"/>
  <c r="AA203" i="8" s="1"/>
  <c r="W203" i="8"/>
  <c r="AB203" i="8" s="1"/>
  <c r="N205" i="8"/>
  <c r="C206" i="8"/>
  <c r="B207" i="8"/>
  <c r="L205" i="8" l="1"/>
  <c r="J205" i="8"/>
  <c r="T204" i="8"/>
  <c r="AA204" i="8" s="1"/>
  <c r="W204" i="8"/>
  <c r="AB204" i="8" s="1"/>
  <c r="K205" i="8"/>
  <c r="Z204" i="8"/>
  <c r="AC204" i="8" s="1"/>
  <c r="N206" i="8"/>
  <c r="B208" i="8"/>
  <c r="C207" i="8"/>
  <c r="W205" i="8" l="1"/>
  <c r="AB205" i="8" s="1"/>
  <c r="Z205" i="8"/>
  <c r="AC205" i="8" s="1"/>
  <c r="J206" i="8"/>
  <c r="K206" i="8"/>
  <c r="L206" i="8"/>
  <c r="T205" i="8"/>
  <c r="AA205" i="8" s="1"/>
  <c r="N207" i="8"/>
  <c r="C208" i="8"/>
  <c r="B209" i="8"/>
  <c r="K207" i="8" l="1"/>
  <c r="L207" i="8"/>
  <c r="J207" i="8"/>
  <c r="T206" i="8"/>
  <c r="AA206" i="8" s="1"/>
  <c r="W206" i="8"/>
  <c r="AB206" i="8" s="1"/>
  <c r="Z206" i="8"/>
  <c r="AC206" i="8" s="1"/>
  <c r="N208" i="8"/>
  <c r="B210" i="8"/>
  <c r="C209" i="8"/>
  <c r="L208" i="8" l="1"/>
  <c r="J208" i="8"/>
  <c r="K208" i="8"/>
  <c r="T207" i="8"/>
  <c r="AA207" i="8" s="1"/>
  <c r="W207" i="8"/>
  <c r="AB207" i="8" s="1"/>
  <c r="Z207" i="8"/>
  <c r="AC207" i="8" s="1"/>
  <c r="N209" i="8"/>
  <c r="C210" i="8"/>
  <c r="B211" i="8"/>
  <c r="Z208" i="8" l="1"/>
  <c r="AC208" i="8" s="1"/>
  <c r="L209" i="8"/>
  <c r="J209" i="8"/>
  <c r="K209" i="8"/>
  <c r="W208" i="8"/>
  <c r="AB208" i="8" s="1"/>
  <c r="T208" i="8"/>
  <c r="AA208" i="8" s="1"/>
  <c r="N210" i="8"/>
  <c r="B212" i="8"/>
  <c r="C211" i="8"/>
  <c r="L210" i="8" l="1"/>
  <c r="Z209" i="8"/>
  <c r="AC209" i="8" s="1"/>
  <c r="J210" i="8"/>
  <c r="K210" i="8"/>
  <c r="T209" i="8"/>
  <c r="AA209" i="8" s="1"/>
  <c r="W209" i="8"/>
  <c r="AB209" i="8" s="1"/>
  <c r="N211" i="8"/>
  <c r="C212" i="8"/>
  <c r="B213" i="8"/>
  <c r="L211" i="8" l="1"/>
  <c r="Z210" i="8"/>
  <c r="AC210" i="8" s="1"/>
  <c r="J211" i="8"/>
  <c r="K211" i="8"/>
  <c r="T210" i="8"/>
  <c r="AA210" i="8" s="1"/>
  <c r="W210" i="8"/>
  <c r="AB210" i="8" s="1"/>
  <c r="N212" i="8"/>
  <c r="B214" i="8"/>
  <c r="C213" i="8"/>
  <c r="L212" i="8" l="1"/>
  <c r="Z211" i="8"/>
  <c r="AC211" i="8" s="1"/>
  <c r="J212" i="8"/>
  <c r="K212" i="8"/>
  <c r="T211" i="8"/>
  <c r="AA211" i="8" s="1"/>
  <c r="W211" i="8"/>
  <c r="AB211" i="8" s="1"/>
  <c r="N213" i="8"/>
  <c r="C214" i="8"/>
  <c r="B215" i="8"/>
  <c r="L213" i="8" l="1"/>
  <c r="Z212" i="8"/>
  <c r="AC212" i="8" s="1"/>
  <c r="J213" i="8"/>
  <c r="K213" i="8"/>
  <c r="T212" i="8"/>
  <c r="AA212" i="8" s="1"/>
  <c r="W212" i="8"/>
  <c r="AB212" i="8" s="1"/>
  <c r="N214" i="8"/>
  <c r="B216" i="8"/>
  <c r="C215" i="8"/>
  <c r="Z213" i="8" l="1"/>
  <c r="AC213" i="8" s="1"/>
  <c r="J214" i="8"/>
  <c r="L214" i="8"/>
  <c r="K214" i="8"/>
  <c r="T213" i="8"/>
  <c r="AA213" i="8" s="1"/>
  <c r="W213" i="8"/>
  <c r="AB213" i="8" s="1"/>
  <c r="N215" i="8"/>
  <c r="C216" i="8"/>
  <c r="B217" i="8"/>
  <c r="L215" i="8" l="1"/>
  <c r="J215" i="8"/>
  <c r="K215" i="8"/>
  <c r="T214" i="8"/>
  <c r="AA214" i="8" s="1"/>
  <c r="W214" i="8"/>
  <c r="AB214" i="8" s="1"/>
  <c r="Z214" i="8"/>
  <c r="AC214" i="8" s="1"/>
  <c r="N216" i="8"/>
  <c r="B218" i="8"/>
  <c r="C217" i="8"/>
  <c r="L216" i="8" l="1"/>
  <c r="J216" i="8"/>
  <c r="K216" i="8"/>
  <c r="W215" i="8"/>
  <c r="AB215" i="8" s="1"/>
  <c r="T215" i="8"/>
  <c r="AA215" i="8" s="1"/>
  <c r="Z215" i="8"/>
  <c r="AC215" i="8" s="1"/>
  <c r="N217" i="8"/>
  <c r="C218" i="8"/>
  <c r="B219" i="8"/>
  <c r="Z216" i="8" l="1"/>
  <c r="AC216" i="8" s="1"/>
  <c r="L217" i="8"/>
  <c r="J217" i="8"/>
  <c r="K217" i="8"/>
  <c r="T216" i="8"/>
  <c r="AA216" i="8" s="1"/>
  <c r="W216" i="8"/>
  <c r="AB216" i="8" s="1"/>
  <c r="N218" i="8"/>
  <c r="B220" i="8"/>
  <c r="C219" i="8"/>
  <c r="L218" i="8" l="1"/>
  <c r="Z217" i="8"/>
  <c r="AC217" i="8" s="1"/>
  <c r="J218" i="8"/>
  <c r="K218" i="8"/>
  <c r="W217" i="8"/>
  <c r="AB217" i="8" s="1"/>
  <c r="T217" i="8"/>
  <c r="AA217" i="8" s="1"/>
  <c r="N219" i="8"/>
  <c r="C220" i="8"/>
  <c r="B221" i="8"/>
  <c r="L219" i="8" l="1"/>
  <c r="Z218" i="8"/>
  <c r="AC218" i="8" s="1"/>
  <c r="J219" i="8"/>
  <c r="K219" i="8"/>
  <c r="T218" i="8"/>
  <c r="AA218" i="8" s="1"/>
  <c r="W218" i="8"/>
  <c r="AB218" i="8" s="1"/>
  <c r="N220" i="8"/>
  <c r="B222" i="8"/>
  <c r="C221" i="8"/>
  <c r="L220" i="8" l="1"/>
  <c r="J220" i="8"/>
  <c r="K220" i="8"/>
  <c r="Z219" i="8"/>
  <c r="AC219" i="8" s="1"/>
  <c r="T219" i="8"/>
  <c r="AA219" i="8" s="1"/>
  <c r="W219" i="8"/>
  <c r="AB219" i="8" s="1"/>
  <c r="N221" i="8"/>
  <c r="C222" i="8"/>
  <c r="B223" i="8"/>
  <c r="Z220" i="8" l="1"/>
  <c r="AC220" i="8" s="1"/>
  <c r="J221" i="8"/>
  <c r="T220" i="8"/>
  <c r="AA220" i="8" s="1"/>
  <c r="K221" i="8"/>
  <c r="L221" i="8"/>
  <c r="W220" i="8"/>
  <c r="AB220" i="8" s="1"/>
  <c r="N222" i="8"/>
  <c r="B224" i="8"/>
  <c r="C223" i="8"/>
  <c r="L222" i="8" l="1"/>
  <c r="W221" i="8"/>
  <c r="AB221" i="8" s="1"/>
  <c r="Z221" i="8"/>
  <c r="AC221" i="8" s="1"/>
  <c r="J222" i="8"/>
  <c r="K222" i="8"/>
  <c r="T221" i="8"/>
  <c r="AA221" i="8" s="1"/>
  <c r="N223" i="8"/>
  <c r="C224" i="8"/>
  <c r="B225" i="8"/>
  <c r="J223" i="8" l="1"/>
  <c r="K223" i="8"/>
  <c r="L223" i="8"/>
  <c r="T222" i="8"/>
  <c r="AA222" i="8" s="1"/>
  <c r="W222" i="8"/>
  <c r="AB222" i="8" s="1"/>
  <c r="Z222" i="8"/>
  <c r="AC222" i="8" s="1"/>
  <c r="N224" i="8"/>
  <c r="B226" i="8"/>
  <c r="C225" i="8"/>
  <c r="L224" i="8" l="1"/>
  <c r="J224" i="8"/>
  <c r="K224" i="8"/>
  <c r="T223" i="8"/>
  <c r="AA223" i="8" s="1"/>
  <c r="W223" i="8"/>
  <c r="AB223" i="8" s="1"/>
  <c r="Z223" i="8"/>
  <c r="AC223" i="8" s="1"/>
  <c r="N225" i="8"/>
  <c r="C226" i="8"/>
  <c r="B227" i="8"/>
  <c r="Z224" i="8" l="1"/>
  <c r="AC224" i="8" s="1"/>
  <c r="L225" i="8"/>
  <c r="J225" i="8"/>
  <c r="K225" i="8"/>
  <c r="W224" i="8"/>
  <c r="AB224" i="8" s="1"/>
  <c r="T224" i="8"/>
  <c r="AA224" i="8" s="1"/>
  <c r="N226" i="8"/>
  <c r="B228" i="8"/>
  <c r="C227" i="8"/>
  <c r="K226" i="8" l="1"/>
  <c r="Z225" i="8"/>
  <c r="AC225" i="8" s="1"/>
  <c r="J226" i="8"/>
  <c r="L226" i="8"/>
  <c r="W225" i="8"/>
  <c r="AB225" i="8" s="1"/>
  <c r="T225" i="8"/>
  <c r="AA225" i="8" s="1"/>
  <c r="N227" i="8"/>
  <c r="C228" i="8"/>
  <c r="B229" i="8"/>
  <c r="L227" i="8" l="1"/>
  <c r="J227" i="8"/>
  <c r="K227" i="8"/>
  <c r="Z226" i="8"/>
  <c r="AC226" i="8" s="1"/>
  <c r="T226" i="8"/>
  <c r="AA226" i="8" s="1"/>
  <c r="W226" i="8"/>
  <c r="AB226" i="8" s="1"/>
  <c r="N228" i="8"/>
  <c r="B230" i="8"/>
  <c r="C229" i="8"/>
  <c r="K228" i="8" l="1"/>
  <c r="L228" i="8"/>
  <c r="J228" i="8"/>
  <c r="W227" i="8"/>
  <c r="AB227" i="8" s="1"/>
  <c r="T227" i="8"/>
  <c r="AA227" i="8" s="1"/>
  <c r="Z227" i="8"/>
  <c r="AC227" i="8" s="1"/>
  <c r="N229" i="8"/>
  <c r="C230" i="8"/>
  <c r="B231" i="8"/>
  <c r="L229" i="8" l="1"/>
  <c r="W228" i="8"/>
  <c r="AB228" i="8" s="1"/>
  <c r="Z228" i="8"/>
  <c r="AC228" i="8" s="1"/>
  <c r="K229" i="8"/>
  <c r="T228" i="8"/>
  <c r="AA228" i="8" s="1"/>
  <c r="J229" i="8"/>
  <c r="N230" i="8"/>
  <c r="B232" i="8"/>
  <c r="C231" i="8"/>
  <c r="L230" i="8" l="1"/>
  <c r="T229" i="8"/>
  <c r="AA229" i="8" s="1"/>
  <c r="W229" i="8"/>
  <c r="AB229" i="8" s="1"/>
  <c r="J230" i="8"/>
  <c r="K230" i="8"/>
  <c r="Z229" i="8"/>
  <c r="AC229" i="8" s="1"/>
  <c r="N231" i="8"/>
  <c r="C232" i="8"/>
  <c r="B233" i="8"/>
  <c r="K231" i="8" l="1"/>
  <c r="L231" i="8"/>
  <c r="J231" i="8"/>
  <c r="T230" i="8"/>
  <c r="AA230" i="8" s="1"/>
  <c r="W230" i="8"/>
  <c r="AB230" i="8" s="1"/>
  <c r="Z230" i="8"/>
  <c r="AC230" i="8" s="1"/>
  <c r="N232" i="8"/>
  <c r="B234" i="8"/>
  <c r="C233" i="8"/>
  <c r="J232" i="8" l="1"/>
  <c r="W231" i="8"/>
  <c r="AB231" i="8" s="1"/>
  <c r="T231" i="8"/>
  <c r="AA231" i="8" s="1"/>
  <c r="L232" i="8"/>
  <c r="K232" i="8"/>
  <c r="Z231" i="8"/>
  <c r="AC231" i="8" s="1"/>
  <c r="N233" i="8"/>
  <c r="C234" i="8"/>
  <c r="B235" i="8"/>
  <c r="K233" i="8" l="1"/>
  <c r="L233" i="8"/>
  <c r="J233" i="8"/>
  <c r="W232" i="8"/>
  <c r="AB232" i="8" s="1"/>
  <c r="T232" i="8"/>
  <c r="AA232" i="8" s="1"/>
  <c r="Z232" i="8"/>
  <c r="AC232" i="8" s="1"/>
  <c r="N234" i="8"/>
  <c r="B236" i="8"/>
  <c r="C235" i="8"/>
  <c r="J234" i="8" l="1"/>
  <c r="L234" i="8"/>
  <c r="K234" i="8"/>
  <c r="Z233" i="8"/>
  <c r="AC233" i="8" s="1"/>
  <c r="W233" i="8"/>
  <c r="AB233" i="8" s="1"/>
  <c r="T233" i="8"/>
  <c r="AA233" i="8" s="1"/>
  <c r="N235" i="8"/>
  <c r="C236" i="8"/>
  <c r="B237" i="8"/>
  <c r="L235" i="8" l="1"/>
  <c r="K235" i="8"/>
  <c r="Z234" i="8"/>
  <c r="AC234" i="8" s="1"/>
  <c r="J235" i="8"/>
  <c r="W234" i="8"/>
  <c r="AB234" i="8" s="1"/>
  <c r="T234" i="8"/>
  <c r="AA234" i="8" s="1"/>
  <c r="N236" i="8"/>
  <c r="B238" i="8"/>
  <c r="C237" i="8"/>
  <c r="Z235" i="8" l="1"/>
  <c r="AC235" i="8" s="1"/>
  <c r="L236" i="8"/>
  <c r="J236" i="8"/>
  <c r="K236" i="8"/>
  <c r="W235" i="8"/>
  <c r="AB235" i="8" s="1"/>
  <c r="T235" i="8"/>
  <c r="AA235" i="8" s="1"/>
  <c r="N237" i="8"/>
  <c r="C238" i="8"/>
  <c r="B239" i="8"/>
  <c r="K237" i="8" l="1"/>
  <c r="Z236" i="8"/>
  <c r="AC236" i="8" s="1"/>
  <c r="J237" i="8"/>
  <c r="L237" i="8"/>
  <c r="T236" i="8"/>
  <c r="AA236" i="8" s="1"/>
  <c r="W236" i="8"/>
  <c r="AB236" i="8" s="1"/>
  <c r="N238" i="8"/>
  <c r="C239" i="8"/>
  <c r="B240" i="8"/>
  <c r="L238" i="8" l="1"/>
  <c r="J238" i="8"/>
  <c r="Z237" i="8"/>
  <c r="AC237" i="8" s="1"/>
  <c r="W237" i="8"/>
  <c r="AB237" i="8" s="1"/>
  <c r="K238" i="8"/>
  <c r="T237" i="8"/>
  <c r="AA237" i="8" s="1"/>
  <c r="N239" i="8"/>
  <c r="B241" i="8"/>
  <c r="C240" i="8"/>
  <c r="L239" i="8" l="1"/>
  <c r="J239" i="8"/>
  <c r="K239" i="8"/>
  <c r="T238" i="8"/>
  <c r="AA238" i="8" s="1"/>
  <c r="W238" i="8"/>
  <c r="AB238" i="8" s="1"/>
  <c r="Z238" i="8"/>
  <c r="AC238" i="8" s="1"/>
  <c r="N240" i="8"/>
  <c r="C241" i="8"/>
  <c r="B242" i="8"/>
  <c r="L240" i="8" l="1"/>
  <c r="J240" i="8"/>
  <c r="T239" i="8"/>
  <c r="AA239" i="8" s="1"/>
  <c r="K240" i="8"/>
  <c r="W239" i="8"/>
  <c r="AB239" i="8" s="1"/>
  <c r="Z239" i="8"/>
  <c r="AC239" i="8" s="1"/>
  <c r="N241" i="8"/>
  <c r="B243" i="8"/>
  <c r="C242" i="8"/>
  <c r="W240" i="8" l="1"/>
  <c r="AB240" i="8" s="1"/>
  <c r="J241" i="8"/>
  <c r="L241" i="8"/>
  <c r="K241" i="8"/>
  <c r="Z240" i="8"/>
  <c r="AC240" i="8" s="1"/>
  <c r="T240" i="8"/>
  <c r="AA240" i="8" s="1"/>
  <c r="N242" i="8"/>
  <c r="C243" i="8"/>
  <c r="B244" i="8"/>
  <c r="L242" i="8" l="1"/>
  <c r="J242" i="8"/>
  <c r="Z241" i="8"/>
  <c r="AC241" i="8" s="1"/>
  <c r="W241" i="8"/>
  <c r="AB241" i="8" s="1"/>
  <c r="K242" i="8"/>
  <c r="T241" i="8"/>
  <c r="AA241" i="8" s="1"/>
  <c r="N243" i="8"/>
  <c r="C244" i="8"/>
  <c r="B245" i="8"/>
  <c r="L243" i="8" l="1"/>
  <c r="J243" i="8"/>
  <c r="Z242" i="8"/>
  <c r="AC242" i="8" s="1"/>
  <c r="T242" i="8"/>
  <c r="AA242" i="8" s="1"/>
  <c r="K243" i="8"/>
  <c r="W242" i="8"/>
  <c r="AB242" i="8" s="1"/>
  <c r="N244" i="8"/>
  <c r="C245" i="8"/>
  <c r="B246" i="8"/>
  <c r="L244" i="8" l="1"/>
  <c r="J244" i="8"/>
  <c r="Z243" i="8"/>
  <c r="AC243" i="8" s="1"/>
  <c r="K244" i="8"/>
  <c r="T243" i="8"/>
  <c r="AA243" i="8" s="1"/>
  <c r="W243" i="8"/>
  <c r="AB243" i="8" s="1"/>
  <c r="N245" i="8"/>
  <c r="B247" i="8"/>
  <c r="C246" i="8"/>
  <c r="L245" i="8" l="1"/>
  <c r="K245" i="8"/>
  <c r="W244" i="8"/>
  <c r="AB244" i="8" s="1"/>
  <c r="J245" i="8"/>
  <c r="T244" i="8"/>
  <c r="AA244" i="8" s="1"/>
  <c r="Z244" i="8"/>
  <c r="AC244" i="8" s="1"/>
  <c r="N246" i="8"/>
  <c r="C247" i="8"/>
  <c r="B248" i="8"/>
  <c r="L246" i="8" l="1"/>
  <c r="K246" i="8"/>
  <c r="Z245" i="8"/>
  <c r="AC245" i="8" s="1"/>
  <c r="J246" i="8"/>
  <c r="W245" i="8"/>
  <c r="AB245" i="8" s="1"/>
  <c r="T245" i="8"/>
  <c r="AA245" i="8" s="1"/>
  <c r="N247" i="8"/>
  <c r="B249" i="8"/>
  <c r="C248" i="8"/>
  <c r="J247" i="8" l="1"/>
  <c r="L247" i="8"/>
  <c r="K247" i="8"/>
  <c r="T246" i="8"/>
  <c r="AA246" i="8" s="1"/>
  <c r="Z246" i="8"/>
  <c r="AC246" i="8" s="1"/>
  <c r="W246" i="8"/>
  <c r="AB246" i="8" s="1"/>
  <c r="N248" i="8"/>
  <c r="C249" i="8"/>
  <c r="B250" i="8"/>
  <c r="K248" i="8" l="1"/>
  <c r="L248" i="8"/>
  <c r="J248" i="8"/>
  <c r="W247" i="8"/>
  <c r="AB247" i="8" s="1"/>
  <c r="T247" i="8"/>
  <c r="AA247" i="8" s="1"/>
  <c r="Z247" i="8"/>
  <c r="AC247" i="8" s="1"/>
  <c r="N249" i="8"/>
  <c r="B251" i="8"/>
  <c r="C250" i="8"/>
  <c r="Z248" i="8" l="1"/>
  <c r="AC248" i="8" s="1"/>
  <c r="L249" i="8"/>
  <c r="J249" i="8"/>
  <c r="K249" i="8"/>
  <c r="T248" i="8"/>
  <c r="AA248" i="8" s="1"/>
  <c r="W248" i="8"/>
  <c r="AB248" i="8" s="1"/>
  <c r="N250" i="8"/>
  <c r="C251" i="8"/>
  <c r="B252" i="8"/>
  <c r="L250" i="8" l="1"/>
  <c r="K250" i="8"/>
  <c r="Z249" i="8"/>
  <c r="AC249" i="8" s="1"/>
  <c r="J250" i="8"/>
  <c r="W249" i="8"/>
  <c r="AB249" i="8" s="1"/>
  <c r="T249" i="8"/>
  <c r="AA249" i="8" s="1"/>
  <c r="N251" i="8"/>
  <c r="B253" i="8"/>
  <c r="C252" i="8"/>
  <c r="L251" i="8" l="1"/>
  <c r="J251" i="8"/>
  <c r="T250" i="8"/>
  <c r="AA250" i="8" s="1"/>
  <c r="Z250" i="8"/>
  <c r="AC250" i="8" s="1"/>
  <c r="W250" i="8"/>
  <c r="AB250" i="8" s="1"/>
  <c r="K251" i="8"/>
  <c r="N252" i="8"/>
  <c r="C253" i="8"/>
  <c r="B254" i="8"/>
  <c r="J252" i="8" l="1"/>
  <c r="Z251" i="8"/>
  <c r="AC251" i="8" s="1"/>
  <c r="L252" i="8"/>
  <c r="T251" i="8"/>
  <c r="AA251" i="8" s="1"/>
  <c r="K252" i="8"/>
  <c r="W251" i="8"/>
  <c r="AB251" i="8" s="1"/>
  <c r="N253" i="8"/>
  <c r="B255" i="8"/>
  <c r="C254" i="8"/>
  <c r="L253" i="8" l="1"/>
  <c r="J253" i="8"/>
  <c r="Z252" i="8"/>
  <c r="AC252" i="8" s="1"/>
  <c r="T252" i="8"/>
  <c r="AA252" i="8" s="1"/>
  <c r="K253" i="8"/>
  <c r="W252" i="8"/>
  <c r="AB252" i="8" s="1"/>
  <c r="N254" i="8"/>
  <c r="C255" i="8"/>
  <c r="B256" i="8"/>
  <c r="L254" i="8" l="1"/>
  <c r="Z253" i="8"/>
  <c r="AC253" i="8" s="1"/>
  <c r="J254" i="8"/>
  <c r="W253" i="8"/>
  <c r="AB253" i="8" s="1"/>
  <c r="T253" i="8"/>
  <c r="AA253" i="8" s="1"/>
  <c r="K254" i="8"/>
  <c r="N255" i="8"/>
  <c r="B257" i="8"/>
  <c r="C256" i="8"/>
  <c r="L255" i="8" l="1"/>
  <c r="J255" i="8"/>
  <c r="K255" i="8"/>
  <c r="T254" i="8"/>
  <c r="AA254" i="8" s="1"/>
  <c r="W254" i="8"/>
  <c r="AB254" i="8" s="1"/>
  <c r="Z254" i="8"/>
  <c r="AC254" i="8" s="1"/>
  <c r="N256" i="8"/>
  <c r="C257" i="8"/>
  <c r="B258" i="8"/>
  <c r="W255" i="8" l="1"/>
  <c r="AB255" i="8" s="1"/>
  <c r="K256" i="8"/>
  <c r="L256" i="8"/>
  <c r="J256" i="8"/>
  <c r="T255" i="8"/>
  <c r="AA255" i="8" s="1"/>
  <c r="Z255" i="8"/>
  <c r="AC255" i="8" s="1"/>
  <c r="N257" i="8"/>
  <c r="B259" i="8"/>
  <c r="C258" i="8"/>
  <c r="W256" i="8" l="1"/>
  <c r="AB256" i="8" s="1"/>
  <c r="Z256" i="8"/>
  <c r="AC256" i="8" s="1"/>
  <c r="L257" i="8"/>
  <c r="J257" i="8"/>
  <c r="K257" i="8"/>
  <c r="T256" i="8"/>
  <c r="AA256" i="8" s="1"/>
  <c r="N258" i="8"/>
  <c r="C259" i="8"/>
  <c r="B260" i="8"/>
  <c r="L258" i="8" l="1"/>
  <c r="K258" i="8"/>
  <c r="Z257" i="8"/>
  <c r="AC257" i="8" s="1"/>
  <c r="J258" i="8"/>
  <c r="W257" i="8"/>
  <c r="AB257" i="8" s="1"/>
  <c r="T257" i="8"/>
  <c r="AA257" i="8" s="1"/>
  <c r="N259" i="8"/>
  <c r="B261" i="8"/>
  <c r="C260" i="8"/>
  <c r="Z258" i="8" l="1"/>
  <c r="AC258" i="8" s="1"/>
  <c r="J259" i="8"/>
  <c r="L259" i="8"/>
  <c r="K259" i="8"/>
  <c r="W258" i="8"/>
  <c r="AB258" i="8" s="1"/>
  <c r="T258" i="8"/>
  <c r="AA258" i="8" s="1"/>
  <c r="N260" i="8"/>
  <c r="C261" i="8"/>
  <c r="B262" i="8"/>
  <c r="L260" i="8" l="1"/>
  <c r="K260" i="8"/>
  <c r="J260" i="8"/>
  <c r="Z259" i="8"/>
  <c r="AC259" i="8" s="1"/>
  <c r="W259" i="8"/>
  <c r="AB259" i="8" s="1"/>
  <c r="T259" i="8"/>
  <c r="AA259" i="8" s="1"/>
  <c r="N261" i="8"/>
  <c r="B263" i="8"/>
  <c r="C262" i="8"/>
  <c r="L261" i="8" l="1"/>
  <c r="J261" i="8"/>
  <c r="K261" i="8"/>
  <c r="Z260" i="8"/>
  <c r="AC260" i="8" s="1"/>
  <c r="W260" i="8"/>
  <c r="AB260" i="8" s="1"/>
  <c r="T260" i="8"/>
  <c r="AA260" i="8" s="1"/>
  <c r="N262" i="8"/>
  <c r="C263" i="8"/>
  <c r="B264" i="8"/>
  <c r="L262" i="8" l="1"/>
  <c r="K262" i="8"/>
  <c r="J262" i="8"/>
  <c r="Z261" i="8"/>
  <c r="AC261" i="8" s="1"/>
  <c r="T261" i="8"/>
  <c r="AA261" i="8" s="1"/>
  <c r="W261" i="8"/>
  <c r="AB261" i="8" s="1"/>
  <c r="N263" i="8"/>
  <c r="B265" i="8"/>
  <c r="C264" i="8"/>
  <c r="L263" i="8" l="1"/>
  <c r="J263" i="8"/>
  <c r="K263" i="8"/>
  <c r="T262" i="8"/>
  <c r="AA262" i="8" s="1"/>
  <c r="W262" i="8"/>
  <c r="AB262" i="8" s="1"/>
  <c r="Z262" i="8"/>
  <c r="AC262" i="8" s="1"/>
  <c r="N264" i="8"/>
  <c r="C265" i="8"/>
  <c r="B266" i="8"/>
  <c r="K264" i="8" l="1"/>
  <c r="L264" i="8"/>
  <c r="J264" i="8"/>
  <c r="T263" i="8"/>
  <c r="AA263" i="8" s="1"/>
  <c r="W263" i="8"/>
  <c r="AB263" i="8" s="1"/>
  <c r="Z263" i="8"/>
  <c r="AC263" i="8" s="1"/>
  <c r="N265" i="8"/>
  <c r="B267" i="8"/>
  <c r="C266" i="8"/>
  <c r="Z264" i="8" l="1"/>
  <c r="AC264" i="8" s="1"/>
  <c r="L265" i="8"/>
  <c r="K265" i="8"/>
  <c r="J265" i="8"/>
  <c r="W264" i="8"/>
  <c r="AB264" i="8" s="1"/>
  <c r="T264" i="8"/>
  <c r="AA264" i="8" s="1"/>
  <c r="N266" i="8"/>
  <c r="C267" i="8"/>
  <c r="B268" i="8"/>
  <c r="L266" i="8" l="1"/>
  <c r="Z265" i="8"/>
  <c r="AC265" i="8" s="1"/>
  <c r="J266" i="8"/>
  <c r="W265" i="8"/>
  <c r="AB265" i="8" s="1"/>
  <c r="K266" i="8"/>
  <c r="T265" i="8"/>
  <c r="AA265" i="8" s="1"/>
  <c r="N267" i="8"/>
  <c r="B269" i="8"/>
  <c r="C268" i="8"/>
  <c r="L267" i="8" l="1"/>
  <c r="Z266" i="8"/>
  <c r="AC266" i="8" s="1"/>
  <c r="J267" i="8"/>
  <c r="W266" i="8"/>
  <c r="AB266" i="8" s="1"/>
  <c r="K267" i="8"/>
  <c r="T266" i="8"/>
  <c r="AA266" i="8" s="1"/>
  <c r="N268" i="8"/>
  <c r="C269" i="8"/>
  <c r="B270" i="8"/>
  <c r="L268" i="8" l="1"/>
  <c r="J268" i="8"/>
  <c r="K268" i="8"/>
  <c r="T267" i="8"/>
  <c r="AA267" i="8" s="1"/>
  <c r="Z267" i="8"/>
  <c r="AC267" i="8" s="1"/>
  <c r="W267" i="8"/>
  <c r="AB267" i="8" s="1"/>
  <c r="N269" i="8"/>
  <c r="B271" i="8"/>
  <c r="C270" i="8"/>
  <c r="L269" i="8" l="1"/>
  <c r="J269" i="8"/>
  <c r="Z268" i="8"/>
  <c r="AC268" i="8" s="1"/>
  <c r="T268" i="8"/>
  <c r="AA268" i="8" s="1"/>
  <c r="K269" i="8"/>
  <c r="W268" i="8"/>
  <c r="AB268" i="8" s="1"/>
  <c r="N270" i="8"/>
  <c r="C271" i="8"/>
  <c r="B272" i="8"/>
  <c r="L270" i="8" l="1"/>
  <c r="K270" i="8"/>
  <c r="J270" i="8"/>
  <c r="Z269" i="8"/>
  <c r="AC269" i="8" s="1"/>
  <c r="W269" i="8"/>
  <c r="AB269" i="8" s="1"/>
  <c r="T269" i="8"/>
  <c r="AA269" i="8" s="1"/>
  <c r="N271" i="8"/>
  <c r="B273" i="8"/>
  <c r="C272" i="8"/>
  <c r="L271" i="8" l="1"/>
  <c r="J271" i="8"/>
  <c r="K271" i="8"/>
  <c r="T270" i="8"/>
  <c r="AA270" i="8" s="1"/>
  <c r="W270" i="8"/>
  <c r="AB270" i="8" s="1"/>
  <c r="Z270" i="8"/>
  <c r="AC270" i="8" s="1"/>
  <c r="N272" i="8"/>
  <c r="C273" i="8"/>
  <c r="B274" i="8"/>
  <c r="L272" i="8" l="1"/>
  <c r="K272" i="8"/>
  <c r="J272" i="8"/>
  <c r="T271" i="8"/>
  <c r="AA271" i="8" s="1"/>
  <c r="W271" i="8"/>
  <c r="AB271" i="8" s="1"/>
  <c r="Z271" i="8"/>
  <c r="AC271" i="8" s="1"/>
  <c r="N273" i="8"/>
  <c r="B275" i="8"/>
  <c r="C274" i="8"/>
  <c r="W272" i="8" l="1"/>
  <c r="AB272" i="8" s="1"/>
  <c r="Z272" i="8"/>
  <c r="AC272" i="8" s="1"/>
  <c r="K273" i="8"/>
  <c r="L273" i="8"/>
  <c r="J273" i="8"/>
  <c r="T272" i="8"/>
  <c r="AA272" i="8" s="1"/>
  <c r="N274" i="8"/>
  <c r="C275" i="8"/>
  <c r="B276" i="8"/>
  <c r="W273" i="8" l="1"/>
  <c r="AB273" i="8" s="1"/>
  <c r="L274" i="8"/>
  <c r="Z273" i="8"/>
  <c r="AC273" i="8" s="1"/>
  <c r="J274" i="8"/>
  <c r="K274" i="8"/>
  <c r="T273" i="8"/>
  <c r="AA273" i="8" s="1"/>
  <c r="N275" i="8"/>
  <c r="C276" i="8"/>
  <c r="B277" i="8"/>
  <c r="L275" i="8" l="1"/>
  <c r="K275" i="8"/>
  <c r="Z274" i="8"/>
  <c r="AC274" i="8" s="1"/>
  <c r="J275" i="8"/>
  <c r="W274" i="8"/>
  <c r="AB274" i="8" s="1"/>
  <c r="T274" i="8"/>
  <c r="AA274" i="8" s="1"/>
  <c r="N276" i="8"/>
  <c r="C277" i="8"/>
  <c r="B278" i="8"/>
  <c r="L276" i="8" l="1"/>
  <c r="Z275" i="8"/>
  <c r="AC275" i="8" s="1"/>
  <c r="J276" i="8"/>
  <c r="W275" i="8"/>
  <c r="AB275" i="8" s="1"/>
  <c r="K276" i="8"/>
  <c r="T275" i="8"/>
  <c r="AA275" i="8" s="1"/>
  <c r="N277" i="8"/>
  <c r="B279" i="8"/>
  <c r="C278" i="8"/>
  <c r="L277" i="8" l="1"/>
  <c r="J277" i="8"/>
  <c r="K277" i="8"/>
  <c r="Z276" i="8"/>
  <c r="AC276" i="8" s="1"/>
  <c r="W276" i="8"/>
  <c r="AB276" i="8" s="1"/>
  <c r="T276" i="8"/>
  <c r="AA276" i="8" s="1"/>
  <c r="N278" i="8"/>
  <c r="C279" i="8"/>
  <c r="B280" i="8"/>
  <c r="L278" i="8" l="1"/>
  <c r="K278" i="8"/>
  <c r="J278" i="8"/>
  <c r="Z277" i="8"/>
  <c r="AC277" i="8" s="1"/>
  <c r="W277" i="8"/>
  <c r="AB277" i="8" s="1"/>
  <c r="T277" i="8"/>
  <c r="AA277" i="8" s="1"/>
  <c r="N279" i="8"/>
  <c r="B281" i="8"/>
  <c r="C280" i="8"/>
  <c r="L279" i="8" l="1"/>
  <c r="J279" i="8"/>
  <c r="K279" i="8"/>
  <c r="T278" i="8"/>
  <c r="AA278" i="8" s="1"/>
  <c r="W278" i="8"/>
  <c r="AB278" i="8" s="1"/>
  <c r="Z278" i="8"/>
  <c r="AC278" i="8" s="1"/>
  <c r="N280" i="8"/>
  <c r="C281" i="8"/>
  <c r="B282" i="8"/>
  <c r="L280" i="8" l="1"/>
  <c r="K280" i="8"/>
  <c r="J280" i="8"/>
  <c r="T279" i="8"/>
  <c r="AA279" i="8" s="1"/>
  <c r="W279" i="8"/>
  <c r="AB279" i="8" s="1"/>
  <c r="Z279" i="8"/>
  <c r="AC279" i="8" s="1"/>
  <c r="N281" i="8"/>
  <c r="B283" i="8"/>
  <c r="C282" i="8"/>
  <c r="L281" i="8" l="1"/>
  <c r="J281" i="8"/>
  <c r="K281" i="8"/>
  <c r="Z280" i="8"/>
  <c r="AC280" i="8" s="1"/>
  <c r="T280" i="8"/>
  <c r="AA280" i="8" s="1"/>
  <c r="W280" i="8"/>
  <c r="AB280" i="8" s="1"/>
  <c r="N282" i="8"/>
  <c r="C283" i="8"/>
  <c r="B284" i="8"/>
  <c r="L282" i="8" l="1"/>
  <c r="Z281" i="8"/>
  <c r="AC281" i="8" s="1"/>
  <c r="J282" i="8"/>
  <c r="K282" i="8"/>
  <c r="T281" i="8"/>
  <c r="AA281" i="8" s="1"/>
  <c r="W281" i="8"/>
  <c r="AB281" i="8" s="1"/>
  <c r="N283" i="8"/>
  <c r="C284" i="8"/>
  <c r="B285" i="8"/>
  <c r="L283" i="8" l="1"/>
  <c r="K283" i="8"/>
  <c r="J283" i="8"/>
  <c r="Z282" i="8"/>
  <c r="AC282" i="8" s="1"/>
  <c r="T282" i="8"/>
  <c r="AA282" i="8" s="1"/>
  <c r="W282" i="8"/>
  <c r="AB282" i="8" s="1"/>
  <c r="N284" i="8"/>
  <c r="C285" i="8"/>
  <c r="B286" i="8"/>
  <c r="Z283" i="8" l="1"/>
  <c r="AC283" i="8" s="1"/>
  <c r="L284" i="8"/>
  <c r="J284" i="8"/>
  <c r="K284" i="8"/>
  <c r="T283" i="8"/>
  <c r="AA283" i="8" s="1"/>
  <c r="W283" i="8"/>
  <c r="AB283" i="8" s="1"/>
  <c r="N285" i="8"/>
  <c r="B287" i="8"/>
  <c r="C286" i="8"/>
  <c r="L285" i="8" l="1"/>
  <c r="Z284" i="8"/>
  <c r="AC284" i="8" s="1"/>
  <c r="J285" i="8"/>
  <c r="K285" i="8"/>
  <c r="T284" i="8"/>
  <c r="AA284" i="8" s="1"/>
  <c r="W284" i="8"/>
  <c r="AB284" i="8" s="1"/>
  <c r="N286" i="8"/>
  <c r="C287" i="8"/>
  <c r="B288" i="8"/>
  <c r="L286" i="8" l="1"/>
  <c r="K286" i="8"/>
  <c r="J286" i="8"/>
  <c r="W285" i="8"/>
  <c r="AB285" i="8" s="1"/>
  <c r="T285" i="8"/>
  <c r="AA285" i="8" s="1"/>
  <c r="Z285" i="8"/>
  <c r="AC285" i="8" s="1"/>
  <c r="N287" i="8"/>
  <c r="B289" i="8"/>
  <c r="C288" i="8"/>
  <c r="K287" i="8" l="1"/>
  <c r="L287" i="8"/>
  <c r="J287" i="8"/>
  <c r="T286" i="8"/>
  <c r="AA286" i="8" s="1"/>
  <c r="W286" i="8"/>
  <c r="AB286" i="8" s="1"/>
  <c r="Z286" i="8"/>
  <c r="AC286" i="8" s="1"/>
  <c r="N288" i="8"/>
  <c r="C289" i="8"/>
  <c r="B290" i="8"/>
  <c r="L288" i="8" l="1"/>
  <c r="J288" i="8"/>
  <c r="K288" i="8"/>
  <c r="T287" i="8"/>
  <c r="AA287" i="8" s="1"/>
  <c r="W287" i="8"/>
  <c r="AB287" i="8" s="1"/>
  <c r="Z287" i="8"/>
  <c r="AC287" i="8" s="1"/>
  <c r="N289" i="8"/>
  <c r="B291" i="8"/>
  <c r="C290" i="8"/>
  <c r="W288" i="8" l="1"/>
  <c r="AB288" i="8" s="1"/>
  <c r="Z288" i="8"/>
  <c r="AC288" i="8" s="1"/>
  <c r="L289" i="8"/>
  <c r="J289" i="8"/>
  <c r="K289" i="8"/>
  <c r="T288" i="8"/>
  <c r="AA288" i="8" s="1"/>
  <c r="N290" i="8"/>
  <c r="C291" i="8"/>
  <c r="B292" i="8"/>
  <c r="L290" i="8" l="1"/>
  <c r="J290" i="8"/>
  <c r="K290" i="8"/>
  <c r="W289" i="8"/>
  <c r="AB289" i="8" s="1"/>
  <c r="Z289" i="8"/>
  <c r="AC289" i="8" s="1"/>
  <c r="T289" i="8"/>
  <c r="AA289" i="8" s="1"/>
  <c r="N291" i="8"/>
  <c r="B293" i="8"/>
  <c r="C292" i="8"/>
  <c r="W290" i="8" l="1"/>
  <c r="AB290" i="8" s="1"/>
  <c r="L291" i="8"/>
  <c r="Z290" i="8"/>
  <c r="AC290" i="8" s="1"/>
  <c r="K291" i="8"/>
  <c r="J291" i="8"/>
  <c r="T290" i="8"/>
  <c r="AA290" i="8" s="1"/>
  <c r="N292" i="8"/>
  <c r="C293" i="8"/>
  <c r="B294" i="8"/>
  <c r="Z291" i="8" l="1"/>
  <c r="AC291" i="8" s="1"/>
  <c r="L292" i="8"/>
  <c r="W291" i="8"/>
  <c r="AB291" i="8" s="1"/>
  <c r="J292" i="8"/>
  <c r="K292" i="8"/>
  <c r="T291" i="8"/>
  <c r="AA291" i="8" s="1"/>
  <c r="N293" i="8"/>
  <c r="B295" i="8"/>
  <c r="C294" i="8"/>
  <c r="L293" i="8" l="1"/>
  <c r="Z292" i="8"/>
  <c r="AC292" i="8" s="1"/>
  <c r="J293" i="8"/>
  <c r="W292" i="8"/>
  <c r="AB292" i="8" s="1"/>
  <c r="K293" i="8"/>
  <c r="T292" i="8"/>
  <c r="AA292" i="8" s="1"/>
  <c r="N294" i="8"/>
  <c r="C295" i="8"/>
  <c r="B296" i="8"/>
  <c r="L294" i="8" l="1"/>
  <c r="J294" i="8"/>
  <c r="K294" i="8"/>
  <c r="Z293" i="8"/>
  <c r="AC293" i="8" s="1"/>
  <c r="W293" i="8"/>
  <c r="AB293" i="8" s="1"/>
  <c r="T293" i="8"/>
  <c r="AA293" i="8" s="1"/>
  <c r="N295" i="8"/>
  <c r="C296" i="8"/>
  <c r="B297" i="8"/>
  <c r="L295" i="8" l="1"/>
  <c r="K295" i="8"/>
  <c r="J295" i="8"/>
  <c r="T294" i="8"/>
  <c r="AA294" i="8" s="1"/>
  <c r="W294" i="8"/>
  <c r="AB294" i="8" s="1"/>
  <c r="Z294" i="8"/>
  <c r="AC294" i="8" s="1"/>
  <c r="N296" i="8"/>
  <c r="B298" i="8"/>
  <c r="C297" i="8"/>
  <c r="L296" i="8" l="1"/>
  <c r="K296" i="8"/>
  <c r="J296" i="8"/>
  <c r="T295" i="8"/>
  <c r="AA295" i="8" s="1"/>
  <c r="W295" i="8"/>
  <c r="AB295" i="8" s="1"/>
  <c r="Z295" i="8"/>
  <c r="AC295" i="8" s="1"/>
  <c r="N297" i="8"/>
  <c r="C298" i="8"/>
  <c r="B299" i="8"/>
  <c r="W296" i="8" l="1"/>
  <c r="AB296" i="8" s="1"/>
  <c r="L297" i="8"/>
  <c r="K297" i="8"/>
  <c r="J297" i="8"/>
  <c r="Z296" i="8"/>
  <c r="AC296" i="8" s="1"/>
  <c r="T296" i="8"/>
  <c r="AA296" i="8" s="1"/>
  <c r="N298" i="8"/>
  <c r="B300" i="8"/>
  <c r="C299" i="8"/>
  <c r="Z297" i="8" l="1"/>
  <c r="AC297" i="8" s="1"/>
  <c r="L298" i="8"/>
  <c r="J298" i="8"/>
  <c r="K298" i="8"/>
  <c r="W297" i="8"/>
  <c r="AB297" i="8" s="1"/>
  <c r="T297" i="8"/>
  <c r="AA297" i="8" s="1"/>
  <c r="N299" i="8"/>
  <c r="C300" i="8"/>
  <c r="B301" i="8"/>
  <c r="Z298" i="8" l="1"/>
  <c r="AC298" i="8" s="1"/>
  <c r="J299" i="8"/>
  <c r="T298" i="8"/>
  <c r="AA298" i="8" s="1"/>
  <c r="L299" i="8"/>
  <c r="K299" i="8"/>
  <c r="W298" i="8"/>
  <c r="AB298" i="8" s="1"/>
  <c r="N300" i="8"/>
  <c r="B302" i="8"/>
  <c r="C301" i="8"/>
  <c r="L300" i="8" l="1"/>
  <c r="Z299" i="8"/>
  <c r="AC299" i="8" s="1"/>
  <c r="J300" i="8"/>
  <c r="T299" i="8"/>
  <c r="AA299" i="8" s="1"/>
  <c r="K300" i="8"/>
  <c r="W299" i="8"/>
  <c r="AB299" i="8" s="1"/>
  <c r="N301" i="8"/>
  <c r="C302" i="8"/>
  <c r="B303" i="8"/>
  <c r="L301" i="8" l="1"/>
  <c r="J301" i="8"/>
  <c r="W300" i="8"/>
  <c r="AB300" i="8" s="1"/>
  <c r="K301" i="8"/>
  <c r="T300" i="8"/>
  <c r="AA300" i="8" s="1"/>
  <c r="Z300" i="8"/>
  <c r="AC300" i="8" s="1"/>
  <c r="N302" i="8"/>
  <c r="C303" i="8"/>
  <c r="B304" i="8"/>
  <c r="L302" i="8" l="1"/>
  <c r="J302" i="8"/>
  <c r="K302" i="8"/>
  <c r="W301" i="8"/>
  <c r="AB301" i="8" s="1"/>
  <c r="T301" i="8"/>
  <c r="AA301" i="8" s="1"/>
  <c r="Z301" i="8"/>
  <c r="AC301" i="8" s="1"/>
  <c r="N303" i="8"/>
  <c r="C304" i="8"/>
  <c r="B305" i="8"/>
  <c r="L303" i="8" l="1"/>
  <c r="J303" i="8"/>
  <c r="K303" i="8"/>
  <c r="T302" i="8"/>
  <c r="AA302" i="8" s="1"/>
  <c r="W302" i="8"/>
  <c r="AB302" i="8" s="1"/>
  <c r="Z302" i="8"/>
  <c r="AC302" i="8" s="1"/>
  <c r="N304" i="8"/>
  <c r="C305" i="8"/>
  <c r="B306" i="8"/>
  <c r="L304" i="8" l="1"/>
  <c r="J304" i="8"/>
  <c r="T303" i="8"/>
  <c r="AA303" i="8" s="1"/>
  <c r="K304" i="8"/>
  <c r="W303" i="8"/>
  <c r="AB303" i="8" s="1"/>
  <c r="Z303" i="8"/>
  <c r="AC303" i="8" s="1"/>
  <c r="N305" i="8"/>
  <c r="C306" i="8"/>
  <c r="B307" i="8"/>
  <c r="W304" i="8" l="1"/>
  <c r="AB304" i="8" s="1"/>
  <c r="Z304" i="8"/>
  <c r="AC304" i="8" s="1"/>
  <c r="L305" i="8"/>
  <c r="J305" i="8"/>
  <c r="T304" i="8"/>
  <c r="AA304" i="8" s="1"/>
  <c r="K305" i="8"/>
  <c r="N306" i="8"/>
  <c r="C307" i="8"/>
  <c r="B308" i="8"/>
  <c r="J306" i="8" l="1"/>
  <c r="Z305" i="8"/>
  <c r="AC305" i="8" s="1"/>
  <c r="L306" i="8"/>
  <c r="K306" i="8"/>
  <c r="W305" i="8"/>
  <c r="AB305" i="8" s="1"/>
  <c r="T305" i="8"/>
  <c r="AA305" i="8" s="1"/>
  <c r="N307" i="8"/>
  <c r="C308" i="8"/>
  <c r="B309" i="8"/>
  <c r="K307" i="8" l="1"/>
  <c r="L307" i="8"/>
  <c r="J307" i="8"/>
  <c r="T306" i="8"/>
  <c r="AA306" i="8" s="1"/>
  <c r="W306" i="8"/>
  <c r="AB306" i="8" s="1"/>
  <c r="Z306" i="8"/>
  <c r="AC306" i="8" s="1"/>
  <c r="N308" i="8"/>
  <c r="C309" i="8"/>
  <c r="B310" i="8"/>
  <c r="W307" i="8" l="1"/>
  <c r="AB307" i="8" s="1"/>
  <c r="Z307" i="8"/>
  <c r="AC307" i="8" s="1"/>
  <c r="L308" i="8"/>
  <c r="J308" i="8"/>
  <c r="K308" i="8"/>
  <c r="T307" i="8"/>
  <c r="AA307" i="8" s="1"/>
  <c r="N309" i="8"/>
  <c r="C310" i="8"/>
  <c r="B311" i="8"/>
  <c r="L309" i="8" l="1"/>
  <c r="J309" i="8"/>
  <c r="W308" i="8"/>
  <c r="AB308" i="8" s="1"/>
  <c r="T308" i="8"/>
  <c r="AA308" i="8" s="1"/>
  <c r="Z308" i="8"/>
  <c r="AC308" i="8" s="1"/>
  <c r="K309" i="8"/>
  <c r="N310" i="8"/>
  <c r="B312" i="8"/>
  <c r="C311" i="8"/>
  <c r="L310" i="8" l="1"/>
  <c r="J310" i="8"/>
  <c r="Z309" i="8"/>
  <c r="AC309" i="8" s="1"/>
  <c r="W309" i="8"/>
  <c r="AB309" i="8" s="1"/>
  <c r="K310" i="8"/>
  <c r="T309" i="8"/>
  <c r="AA309" i="8" s="1"/>
  <c r="N311" i="8"/>
  <c r="C312" i="8"/>
  <c r="B313" i="8"/>
  <c r="L311" i="8" l="1"/>
  <c r="K311" i="8"/>
  <c r="J311" i="8"/>
  <c r="T310" i="8"/>
  <c r="AA310" i="8" s="1"/>
  <c r="W310" i="8"/>
  <c r="AB310" i="8" s="1"/>
  <c r="Z310" i="8"/>
  <c r="AC310" i="8" s="1"/>
  <c r="N312" i="8"/>
  <c r="B314" i="8"/>
  <c r="C313" i="8"/>
  <c r="L312" i="8" l="1"/>
  <c r="J312" i="8"/>
  <c r="T311" i="8"/>
  <c r="AA311" i="8" s="1"/>
  <c r="K312" i="8"/>
  <c r="W311" i="8"/>
  <c r="AB311" i="8" s="1"/>
  <c r="Z311" i="8"/>
  <c r="AC311" i="8" s="1"/>
  <c r="N313" i="8"/>
  <c r="C314" i="8"/>
  <c r="B315" i="8"/>
  <c r="Z312" i="8" l="1"/>
  <c r="AC312" i="8" s="1"/>
  <c r="L313" i="8"/>
  <c r="J313" i="8"/>
  <c r="T312" i="8"/>
  <c r="AA312" i="8" s="1"/>
  <c r="K313" i="8"/>
  <c r="W312" i="8"/>
  <c r="AB312" i="8" s="1"/>
  <c r="N314" i="8"/>
  <c r="B316" i="8"/>
  <c r="C315" i="8"/>
  <c r="Z313" i="8" l="1"/>
  <c r="AC313" i="8" s="1"/>
  <c r="J314" i="8"/>
  <c r="W313" i="8"/>
  <c r="AB313" i="8" s="1"/>
  <c r="T313" i="8"/>
  <c r="AA313" i="8" s="1"/>
  <c r="K314" i="8"/>
  <c r="L314" i="8"/>
  <c r="N315" i="8"/>
  <c r="C316" i="8"/>
  <c r="B317" i="8"/>
  <c r="L315" i="8" l="1"/>
  <c r="J315" i="8"/>
  <c r="Z314" i="8"/>
  <c r="AC314" i="8" s="1"/>
  <c r="W314" i="8"/>
  <c r="AB314" i="8" s="1"/>
  <c r="K315" i="8"/>
  <c r="T314" i="8"/>
  <c r="AA314" i="8" s="1"/>
  <c r="N316" i="8"/>
  <c r="B318" i="8"/>
  <c r="C317" i="8"/>
  <c r="L316" i="8" l="1"/>
  <c r="J316" i="8"/>
  <c r="K316" i="8"/>
  <c r="Z315" i="8"/>
  <c r="AC315" i="8" s="1"/>
  <c r="T315" i="8"/>
  <c r="AA315" i="8" s="1"/>
  <c r="W315" i="8"/>
  <c r="AB315" i="8" s="1"/>
  <c r="N317" i="8"/>
  <c r="C318" i="8"/>
  <c r="B319" i="8"/>
  <c r="K317" i="8" l="1"/>
  <c r="L317" i="8"/>
  <c r="W316" i="8"/>
  <c r="AB316" i="8" s="1"/>
  <c r="J317" i="8"/>
  <c r="T316" i="8"/>
  <c r="AA316" i="8" s="1"/>
  <c r="Z316" i="8"/>
  <c r="AC316" i="8" s="1"/>
  <c r="N318" i="8"/>
  <c r="C319" i="8"/>
  <c r="B320" i="8"/>
  <c r="L318" i="8" l="1"/>
  <c r="Z317" i="8"/>
  <c r="AC317" i="8" s="1"/>
  <c r="J318" i="8"/>
  <c r="K318" i="8"/>
  <c r="T317" i="8"/>
  <c r="AA317" i="8" s="1"/>
  <c r="W317" i="8"/>
  <c r="AB317" i="8" s="1"/>
  <c r="N319" i="8"/>
  <c r="C320" i="8"/>
  <c r="B321" i="8"/>
  <c r="L319" i="8" l="1"/>
  <c r="J319" i="8"/>
  <c r="K319" i="8"/>
  <c r="T318" i="8"/>
  <c r="AA318" i="8" s="1"/>
  <c r="W318" i="8"/>
  <c r="AB318" i="8" s="1"/>
  <c r="Z318" i="8"/>
  <c r="AC318" i="8" s="1"/>
  <c r="N320" i="8"/>
  <c r="C321" i="8"/>
  <c r="B322" i="8"/>
  <c r="L320" i="8" l="1"/>
  <c r="K320" i="8"/>
  <c r="J320" i="8"/>
  <c r="T319" i="8"/>
  <c r="AA319" i="8" s="1"/>
  <c r="W319" i="8"/>
  <c r="AB319" i="8" s="1"/>
  <c r="Z319" i="8"/>
  <c r="AC319" i="8" s="1"/>
  <c r="N321" i="8"/>
  <c r="C322" i="8"/>
  <c r="B323" i="8"/>
  <c r="W320" i="8" l="1"/>
  <c r="AB320" i="8" s="1"/>
  <c r="Z320" i="8"/>
  <c r="AC320" i="8" s="1"/>
  <c r="L321" i="8"/>
  <c r="J321" i="8"/>
  <c r="T320" i="8"/>
  <c r="AA320" i="8" s="1"/>
  <c r="K321" i="8"/>
  <c r="N322" i="8"/>
  <c r="C323" i="8"/>
  <c r="B324" i="8"/>
  <c r="L322" i="8" l="1"/>
  <c r="Z321" i="8"/>
  <c r="AC321" i="8" s="1"/>
  <c r="J322" i="8"/>
  <c r="W321" i="8"/>
  <c r="AB321" i="8" s="1"/>
  <c r="K322" i="8"/>
  <c r="T321" i="8"/>
  <c r="AA321" i="8" s="1"/>
  <c r="N323" i="8"/>
  <c r="C324" i="8"/>
  <c r="B325" i="8"/>
  <c r="L323" i="8" l="1"/>
  <c r="K323" i="8"/>
  <c r="Z322" i="8"/>
  <c r="AC322" i="8" s="1"/>
  <c r="J323" i="8"/>
  <c r="W322" i="8"/>
  <c r="AB322" i="8" s="1"/>
  <c r="T322" i="8"/>
  <c r="AA322" i="8" s="1"/>
  <c r="N324" i="8"/>
  <c r="C325" i="8"/>
  <c r="B326" i="8"/>
  <c r="L324" i="8" l="1"/>
  <c r="K324" i="8"/>
  <c r="Z323" i="8"/>
  <c r="AC323" i="8" s="1"/>
  <c r="J324" i="8"/>
  <c r="T323" i="8"/>
  <c r="AA323" i="8" s="1"/>
  <c r="W323" i="8"/>
  <c r="AB323" i="8" s="1"/>
  <c r="N325" i="8"/>
  <c r="C326" i="8"/>
  <c r="B327" i="8"/>
  <c r="L325" i="8" l="1"/>
  <c r="Z324" i="8"/>
  <c r="AC324" i="8" s="1"/>
  <c r="J325" i="8"/>
  <c r="W324" i="8"/>
  <c r="AB324" i="8" s="1"/>
  <c r="K325" i="8"/>
  <c r="T324" i="8"/>
  <c r="AA324" i="8" s="1"/>
  <c r="N326" i="8"/>
  <c r="B328" i="8"/>
  <c r="C327" i="8"/>
  <c r="L326" i="8" l="1"/>
  <c r="K326" i="8"/>
  <c r="J326" i="8"/>
  <c r="W325" i="8"/>
  <c r="AB325" i="8" s="1"/>
  <c r="T325" i="8"/>
  <c r="AA325" i="8" s="1"/>
  <c r="Z325" i="8"/>
  <c r="AC325" i="8" s="1"/>
  <c r="N327" i="8"/>
  <c r="C328" i="8"/>
  <c r="B329" i="8"/>
  <c r="K327" i="8" l="1"/>
  <c r="L327" i="8"/>
  <c r="J327" i="8"/>
  <c r="T326" i="8"/>
  <c r="AA326" i="8" s="1"/>
  <c r="W326" i="8"/>
  <c r="AB326" i="8" s="1"/>
  <c r="Z326" i="8"/>
  <c r="AC326" i="8" s="1"/>
  <c r="N328" i="8"/>
  <c r="B330" i="8"/>
  <c r="C329" i="8"/>
  <c r="K328" i="8" l="1"/>
  <c r="J328" i="8"/>
  <c r="T327" i="8"/>
  <c r="AA327" i="8" s="1"/>
  <c r="L328" i="8"/>
  <c r="W327" i="8"/>
  <c r="AB327" i="8" s="1"/>
  <c r="Z327" i="8"/>
  <c r="AC327" i="8" s="1"/>
  <c r="N329" i="8"/>
  <c r="C330" i="8"/>
  <c r="B331" i="8"/>
  <c r="Z328" i="8" l="1"/>
  <c r="AC328" i="8" s="1"/>
  <c r="L329" i="8"/>
  <c r="W328" i="8"/>
  <c r="AB328" i="8" s="1"/>
  <c r="J329" i="8"/>
  <c r="K329" i="8"/>
  <c r="T328" i="8"/>
  <c r="AA328" i="8" s="1"/>
  <c r="N330" i="8"/>
  <c r="B332" i="8"/>
  <c r="C331" i="8"/>
  <c r="L330" i="8" l="1"/>
  <c r="Z329" i="8"/>
  <c r="AC329" i="8" s="1"/>
  <c r="J330" i="8"/>
  <c r="K330" i="8"/>
  <c r="W329" i="8"/>
  <c r="AB329" i="8" s="1"/>
  <c r="T329" i="8"/>
  <c r="AA329" i="8" s="1"/>
  <c r="N331" i="8"/>
  <c r="C332" i="8"/>
  <c r="B333" i="8"/>
  <c r="L331" i="8" l="1"/>
  <c r="K331" i="8"/>
  <c r="W330" i="8"/>
  <c r="AB330" i="8" s="1"/>
  <c r="Z330" i="8"/>
  <c r="AC330" i="8" s="1"/>
  <c r="J331" i="8"/>
  <c r="T330" i="8"/>
  <c r="AA330" i="8" s="1"/>
  <c r="N332" i="8"/>
  <c r="B334" i="8"/>
  <c r="C333" i="8"/>
  <c r="L332" i="8" l="1"/>
  <c r="Z331" i="8"/>
  <c r="AC331" i="8" s="1"/>
  <c r="W331" i="8"/>
  <c r="AB331" i="8" s="1"/>
  <c r="J332" i="8"/>
  <c r="K332" i="8"/>
  <c r="T331" i="8"/>
  <c r="AA331" i="8" s="1"/>
  <c r="N333" i="8"/>
  <c r="C334" i="8"/>
  <c r="B335" i="8"/>
  <c r="L333" i="8" l="1"/>
  <c r="K333" i="8"/>
  <c r="J333" i="8"/>
  <c r="W332" i="8"/>
  <c r="AB332" i="8" s="1"/>
  <c r="T332" i="8"/>
  <c r="AA332" i="8" s="1"/>
  <c r="Z332" i="8"/>
  <c r="AC332" i="8" s="1"/>
  <c r="N334" i="8"/>
  <c r="C335" i="8"/>
  <c r="B336" i="8"/>
  <c r="L334" i="8" l="1"/>
  <c r="J334" i="8"/>
  <c r="K334" i="8"/>
  <c r="Z333" i="8"/>
  <c r="AC333" i="8" s="1"/>
  <c r="T333" i="8"/>
  <c r="AA333" i="8" s="1"/>
  <c r="W333" i="8"/>
  <c r="AB333" i="8" s="1"/>
  <c r="N335" i="8"/>
  <c r="C336" i="8"/>
  <c r="B337" i="8"/>
  <c r="L335" i="8" l="1"/>
  <c r="K335" i="8"/>
  <c r="J335" i="8"/>
  <c r="T334" i="8"/>
  <c r="AA334" i="8" s="1"/>
  <c r="W334" i="8"/>
  <c r="AB334" i="8" s="1"/>
  <c r="Z334" i="8"/>
  <c r="AC334" i="8" s="1"/>
  <c r="N336" i="8"/>
  <c r="C337" i="8"/>
  <c r="B338" i="8"/>
  <c r="L336" i="8" l="1"/>
  <c r="J336" i="8"/>
  <c r="T335" i="8"/>
  <c r="AA335" i="8" s="1"/>
  <c r="K336" i="8"/>
  <c r="W335" i="8"/>
  <c r="AB335" i="8" s="1"/>
  <c r="Z335" i="8"/>
  <c r="AC335" i="8" s="1"/>
  <c r="N337" i="8"/>
  <c r="C338" i="8"/>
  <c r="B339" i="8"/>
  <c r="Z336" i="8" l="1"/>
  <c r="AC336" i="8" s="1"/>
  <c r="L337" i="8"/>
  <c r="J337" i="8"/>
  <c r="T336" i="8"/>
  <c r="AA336" i="8" s="1"/>
  <c r="W336" i="8"/>
  <c r="AB336" i="8" s="1"/>
  <c r="K337" i="8"/>
  <c r="N338" i="8"/>
  <c r="C339" i="8"/>
  <c r="B340" i="8"/>
  <c r="Z337" i="8" l="1"/>
  <c r="AC337" i="8" s="1"/>
  <c r="J338" i="8"/>
  <c r="T337" i="8"/>
  <c r="AA337" i="8" s="1"/>
  <c r="W337" i="8"/>
  <c r="AB337" i="8" s="1"/>
  <c r="L338" i="8"/>
  <c r="K338" i="8"/>
  <c r="N339" i="8"/>
  <c r="C340" i="8"/>
  <c r="B341" i="8"/>
  <c r="K339" i="8" l="1"/>
  <c r="L339" i="8"/>
  <c r="J339" i="8"/>
  <c r="Z338" i="8"/>
  <c r="AC338" i="8" s="1"/>
  <c r="W338" i="8"/>
  <c r="AB338" i="8" s="1"/>
  <c r="T338" i="8"/>
  <c r="AA338" i="8" s="1"/>
  <c r="N340" i="8"/>
  <c r="C341" i="8"/>
  <c r="B342" i="8"/>
  <c r="L340" i="8" l="1"/>
  <c r="K340" i="8"/>
  <c r="J340" i="8"/>
  <c r="Z339" i="8"/>
  <c r="AC339" i="8" s="1"/>
  <c r="W339" i="8"/>
  <c r="AB339" i="8" s="1"/>
  <c r="T339" i="8"/>
  <c r="AA339" i="8" s="1"/>
  <c r="N341" i="8"/>
  <c r="C342" i="8"/>
  <c r="B343" i="8"/>
  <c r="Z340" i="8" l="1"/>
  <c r="AC340" i="8" s="1"/>
  <c r="J341" i="8"/>
  <c r="W340" i="8"/>
  <c r="AB340" i="8" s="1"/>
  <c r="L341" i="8"/>
  <c r="K341" i="8"/>
  <c r="T340" i="8"/>
  <c r="AA340" i="8" s="1"/>
  <c r="N342" i="8"/>
  <c r="B344" i="8"/>
  <c r="C343" i="8"/>
  <c r="L342" i="8" l="1"/>
  <c r="J342" i="8"/>
  <c r="K342" i="8"/>
  <c r="T341" i="8"/>
  <c r="AA341" i="8" s="1"/>
  <c r="W341" i="8"/>
  <c r="AB341" i="8" s="1"/>
  <c r="Z341" i="8"/>
  <c r="AC341" i="8" s="1"/>
  <c r="N343" i="8"/>
  <c r="C344" i="8"/>
  <c r="B345" i="8"/>
  <c r="L343" i="8" l="1"/>
  <c r="K343" i="8"/>
  <c r="J343" i="8"/>
  <c r="T342" i="8"/>
  <c r="AA342" i="8" s="1"/>
  <c r="W342" i="8"/>
  <c r="AB342" i="8" s="1"/>
  <c r="Z342" i="8"/>
  <c r="AC342" i="8" s="1"/>
  <c r="N344" i="8"/>
  <c r="B346" i="8"/>
  <c r="C345" i="8"/>
  <c r="L344" i="8" l="1"/>
  <c r="J344" i="8"/>
  <c r="T343" i="8"/>
  <c r="AA343" i="8" s="1"/>
  <c r="K344" i="8"/>
  <c r="W343" i="8"/>
  <c r="AB343" i="8" s="1"/>
  <c r="Z343" i="8"/>
  <c r="AC343" i="8" s="1"/>
  <c r="N345" i="8"/>
  <c r="C346" i="8"/>
  <c r="B347" i="8"/>
  <c r="Z344" i="8" l="1"/>
  <c r="AC344" i="8" s="1"/>
  <c r="L345" i="8"/>
  <c r="J345" i="8"/>
  <c r="W344" i="8"/>
  <c r="AB344" i="8" s="1"/>
  <c r="K345" i="8"/>
  <c r="T344" i="8"/>
  <c r="AA344" i="8" s="1"/>
  <c r="N346" i="8"/>
  <c r="B348" i="8"/>
  <c r="C347" i="8"/>
  <c r="L346" i="8" l="1"/>
  <c r="J346" i="8"/>
  <c r="Z345" i="8"/>
  <c r="AC345" i="8" s="1"/>
  <c r="W345" i="8"/>
  <c r="AB345" i="8" s="1"/>
  <c r="K346" i="8"/>
  <c r="T345" i="8"/>
  <c r="AA345" i="8" s="1"/>
  <c r="N347" i="8"/>
  <c r="C348" i="8"/>
  <c r="B349" i="8"/>
  <c r="L347" i="8" l="1"/>
  <c r="K347" i="8"/>
  <c r="J347" i="8"/>
  <c r="Z346" i="8"/>
  <c r="AC346" i="8" s="1"/>
  <c r="T346" i="8"/>
  <c r="AA346" i="8" s="1"/>
  <c r="W346" i="8"/>
  <c r="AB346" i="8" s="1"/>
  <c r="N348" i="8"/>
  <c r="B350" i="8"/>
  <c r="C349" i="8"/>
  <c r="L348" i="8" l="1"/>
  <c r="K348" i="8"/>
  <c r="J348" i="8"/>
  <c r="Z347" i="8"/>
  <c r="AC347" i="8" s="1"/>
  <c r="T347" i="8"/>
  <c r="AA347" i="8" s="1"/>
  <c r="W347" i="8"/>
  <c r="AB347" i="8" s="1"/>
  <c r="N349" i="8"/>
  <c r="C350" i="8"/>
  <c r="B351" i="8"/>
  <c r="L349" i="8" l="1"/>
  <c r="K349" i="8"/>
  <c r="J349" i="8"/>
  <c r="Z348" i="8"/>
  <c r="AC348" i="8" s="1"/>
  <c r="T348" i="8"/>
  <c r="AA348" i="8" s="1"/>
  <c r="W348" i="8"/>
  <c r="AB348" i="8" s="1"/>
  <c r="N350" i="8"/>
  <c r="C351" i="8"/>
  <c r="B352" i="8"/>
  <c r="L350" i="8" l="1"/>
  <c r="J350" i="8"/>
  <c r="Z349" i="8"/>
  <c r="AC349" i="8" s="1"/>
  <c r="K350" i="8"/>
  <c r="W349" i="8"/>
  <c r="AB349" i="8" s="1"/>
  <c r="T349" i="8"/>
  <c r="AA349" i="8" s="1"/>
  <c r="N351" i="8"/>
  <c r="C352" i="8"/>
  <c r="B353" i="8"/>
  <c r="L351" i="8" l="1"/>
  <c r="J351" i="8"/>
  <c r="K351" i="8"/>
  <c r="T350" i="8"/>
  <c r="AA350" i="8" s="1"/>
  <c r="W350" i="8"/>
  <c r="AB350" i="8" s="1"/>
  <c r="Z350" i="8"/>
  <c r="AC350" i="8" s="1"/>
  <c r="N352" i="8"/>
  <c r="C353" i="8"/>
  <c r="B354" i="8"/>
  <c r="L352" i="8" l="1"/>
  <c r="J352" i="8"/>
  <c r="T351" i="8"/>
  <c r="AA351" i="8" s="1"/>
  <c r="K352" i="8"/>
  <c r="W351" i="8"/>
  <c r="AB351" i="8" s="1"/>
  <c r="Z351" i="8"/>
  <c r="AC351" i="8" s="1"/>
  <c r="N353" i="8"/>
  <c r="C354" i="8"/>
  <c r="B355" i="8"/>
  <c r="L353" i="8" l="1"/>
  <c r="Z352" i="8"/>
  <c r="AC352" i="8" s="1"/>
  <c r="K353" i="8"/>
  <c r="J353" i="8"/>
  <c r="W352" i="8"/>
  <c r="AB352" i="8" s="1"/>
  <c r="T352" i="8"/>
  <c r="AA352" i="8" s="1"/>
  <c r="N354" i="8"/>
  <c r="C355" i="8"/>
  <c r="B356" i="8"/>
  <c r="Z353" i="8" l="1"/>
  <c r="AC353" i="8" s="1"/>
  <c r="L354" i="8"/>
  <c r="J354" i="8"/>
  <c r="K354" i="8"/>
  <c r="W353" i="8"/>
  <c r="AB353" i="8" s="1"/>
  <c r="T353" i="8"/>
  <c r="AA353" i="8" s="1"/>
  <c r="N355" i="8"/>
  <c r="C356" i="8"/>
  <c r="B357" i="8"/>
  <c r="Z354" i="8" l="1"/>
  <c r="AC354" i="8" s="1"/>
  <c r="L355" i="8"/>
  <c r="K355" i="8"/>
  <c r="W354" i="8"/>
  <c r="AB354" i="8" s="1"/>
  <c r="J355" i="8"/>
  <c r="T354" i="8"/>
  <c r="AA354" i="8" s="1"/>
  <c r="N356" i="8"/>
  <c r="C357" i="8"/>
  <c r="B358" i="8"/>
  <c r="L356" i="8" l="1"/>
  <c r="Z355" i="8"/>
  <c r="AC355" i="8" s="1"/>
  <c r="J356" i="8"/>
  <c r="T355" i="8"/>
  <c r="AA355" i="8" s="1"/>
  <c r="K356" i="8"/>
  <c r="W355" i="8"/>
  <c r="AB355" i="8" s="1"/>
  <c r="N357" i="8"/>
  <c r="C358" i="8"/>
  <c r="B359" i="8"/>
  <c r="L357" i="8" l="1"/>
  <c r="Z356" i="8"/>
  <c r="AC356" i="8" s="1"/>
  <c r="J357" i="8"/>
  <c r="K357" i="8"/>
  <c r="W356" i="8"/>
  <c r="AB356" i="8" s="1"/>
  <c r="T356" i="8"/>
  <c r="AA356" i="8" s="1"/>
  <c r="N358" i="8"/>
  <c r="B360" i="8"/>
  <c r="C359" i="8"/>
  <c r="Z357" i="8" l="1"/>
  <c r="AC357" i="8" s="1"/>
  <c r="L358" i="8"/>
  <c r="J358" i="8"/>
  <c r="K358" i="8"/>
  <c r="T357" i="8"/>
  <c r="AA357" i="8" s="1"/>
  <c r="W357" i="8"/>
  <c r="AB357" i="8" s="1"/>
  <c r="N359" i="8"/>
  <c r="B361" i="8"/>
  <c r="C360" i="8"/>
  <c r="L359" i="8" l="1"/>
  <c r="J359" i="8"/>
  <c r="K359" i="8"/>
  <c r="T358" i="8"/>
  <c r="AA358" i="8" s="1"/>
  <c r="W358" i="8"/>
  <c r="AB358" i="8" s="1"/>
  <c r="Z358" i="8"/>
  <c r="AC358" i="8" s="1"/>
  <c r="N360" i="8"/>
  <c r="C361" i="8"/>
  <c r="B362" i="8"/>
  <c r="L360" i="8" l="1"/>
  <c r="J360" i="8"/>
  <c r="K360" i="8"/>
  <c r="T359" i="8"/>
  <c r="AA359" i="8" s="1"/>
  <c r="W359" i="8"/>
  <c r="AB359" i="8" s="1"/>
  <c r="Z359" i="8"/>
  <c r="AC359" i="8" s="1"/>
  <c r="N361" i="8"/>
  <c r="B363" i="8"/>
  <c r="C362" i="8"/>
  <c r="Z360" i="8" l="1"/>
  <c r="AC360" i="8" s="1"/>
  <c r="L361" i="8"/>
  <c r="J361" i="8"/>
  <c r="K361" i="8"/>
  <c r="W360" i="8"/>
  <c r="AB360" i="8" s="1"/>
  <c r="T360" i="8"/>
  <c r="AA360" i="8" s="1"/>
  <c r="N362" i="8"/>
  <c r="C363" i="8"/>
  <c r="B364" i="8"/>
  <c r="L362" i="8" l="1"/>
  <c r="K362" i="8"/>
  <c r="J362" i="8"/>
  <c r="W361" i="8"/>
  <c r="AB361" i="8" s="1"/>
  <c r="Z361" i="8"/>
  <c r="AC361" i="8" s="1"/>
  <c r="T361" i="8"/>
  <c r="AA361" i="8" s="1"/>
  <c r="N363" i="8"/>
  <c r="B365" i="8"/>
  <c r="C364" i="8"/>
  <c r="W362" i="8" l="1"/>
  <c r="AB362" i="8" s="1"/>
  <c r="L363" i="8"/>
  <c r="J363" i="8"/>
  <c r="T362" i="8"/>
  <c r="AA362" i="8" s="1"/>
  <c r="K363" i="8"/>
  <c r="Z362" i="8"/>
  <c r="AC362" i="8" s="1"/>
  <c r="N364" i="8"/>
  <c r="B366" i="8"/>
  <c r="C365" i="8"/>
  <c r="L364" i="8" l="1"/>
  <c r="K364" i="8"/>
  <c r="J364" i="8"/>
  <c r="Z363" i="8"/>
  <c r="AC363" i="8" s="1"/>
  <c r="W363" i="8"/>
  <c r="AB363" i="8" s="1"/>
  <c r="T363" i="8"/>
  <c r="AA363" i="8" s="1"/>
  <c r="N365" i="8"/>
  <c r="B367" i="8"/>
  <c r="C366" i="8"/>
  <c r="L365" i="8" l="1"/>
  <c r="J365" i="8"/>
  <c r="K365" i="8"/>
  <c r="T364" i="8"/>
  <c r="AA364" i="8" s="1"/>
  <c r="Z364" i="8"/>
  <c r="AC364" i="8" s="1"/>
  <c r="W364" i="8"/>
  <c r="AB364" i="8" s="1"/>
  <c r="N366" i="8"/>
  <c r="B368" i="8"/>
  <c r="C367" i="8"/>
  <c r="L366" i="8" l="1"/>
  <c r="Z365" i="8"/>
  <c r="AC365" i="8" s="1"/>
  <c r="J366" i="8"/>
  <c r="T365" i="8"/>
  <c r="AA365" i="8" s="1"/>
  <c r="K366" i="8"/>
  <c r="W365" i="8"/>
  <c r="AB365" i="8" s="1"/>
  <c r="N367" i="8"/>
  <c r="B369" i="8"/>
  <c r="C368" i="8"/>
  <c r="L367" i="8" l="1"/>
  <c r="J367" i="8"/>
  <c r="T366" i="8"/>
  <c r="AA366" i="8" s="1"/>
  <c r="K367" i="8"/>
  <c r="W366" i="8"/>
  <c r="AB366" i="8" s="1"/>
  <c r="Z366" i="8"/>
  <c r="AC366" i="8" s="1"/>
  <c r="N368" i="8"/>
  <c r="C369" i="8"/>
  <c r="B370" i="8"/>
  <c r="K368" i="8" l="1"/>
  <c r="L368" i="8"/>
  <c r="J368" i="8"/>
  <c r="T367" i="8"/>
  <c r="AA367" i="8" s="1"/>
  <c r="W367" i="8"/>
  <c r="AB367" i="8" s="1"/>
  <c r="Z367" i="8"/>
  <c r="AC367" i="8" s="1"/>
  <c r="N369" i="8"/>
  <c r="B371" i="8"/>
  <c r="C370" i="8"/>
  <c r="L369" i="8" l="1"/>
  <c r="Z368" i="8"/>
  <c r="AC368" i="8" s="1"/>
  <c r="J369" i="8"/>
  <c r="T368" i="8"/>
  <c r="AA368" i="8" s="1"/>
  <c r="W368" i="8"/>
  <c r="AB368" i="8" s="1"/>
  <c r="K369" i="8"/>
  <c r="N370" i="8"/>
  <c r="C371" i="8"/>
  <c r="B372" i="8"/>
  <c r="L370" i="8" l="1"/>
  <c r="Z369" i="8"/>
  <c r="AC369" i="8" s="1"/>
  <c r="J370" i="8"/>
  <c r="W369" i="8"/>
  <c r="AB369" i="8" s="1"/>
  <c r="K370" i="8"/>
  <c r="T369" i="8"/>
  <c r="AA369" i="8" s="1"/>
  <c r="N371" i="8"/>
  <c r="B373" i="8"/>
  <c r="C372" i="8"/>
  <c r="K371" i="8" l="1"/>
  <c r="L371" i="8"/>
  <c r="Z370" i="8"/>
  <c r="AC370" i="8" s="1"/>
  <c r="J371" i="8"/>
  <c r="T370" i="8"/>
  <c r="AA370" i="8" s="1"/>
  <c r="W370" i="8"/>
  <c r="AB370" i="8" s="1"/>
  <c r="N372" i="8"/>
  <c r="B374" i="8"/>
  <c r="C373" i="8"/>
  <c r="L372" i="8" l="1"/>
  <c r="K372" i="8"/>
  <c r="Z371" i="8"/>
  <c r="AC371" i="8" s="1"/>
  <c r="J372" i="8"/>
  <c r="W371" i="8"/>
  <c r="AB371" i="8" s="1"/>
  <c r="T371" i="8"/>
  <c r="AA371" i="8" s="1"/>
  <c r="N373" i="8"/>
  <c r="C374" i="8"/>
  <c r="B375" i="8"/>
  <c r="L373" i="8" l="1"/>
  <c r="J373" i="8"/>
  <c r="T372" i="8"/>
  <c r="AA372" i="8" s="1"/>
  <c r="K373" i="8"/>
  <c r="W372" i="8"/>
  <c r="AB372" i="8" s="1"/>
  <c r="Z372" i="8"/>
  <c r="AC372" i="8" s="1"/>
  <c r="N374" i="8"/>
  <c r="B376" i="8"/>
  <c r="C375" i="8"/>
  <c r="K374" i="8" l="1"/>
  <c r="L374" i="8"/>
  <c r="J374" i="8"/>
  <c r="Z373" i="8"/>
  <c r="AC373" i="8" s="1"/>
  <c r="W373" i="8"/>
  <c r="AB373" i="8" s="1"/>
  <c r="T373" i="8"/>
  <c r="AA373" i="8" s="1"/>
  <c r="N375" i="8"/>
  <c r="C376" i="8"/>
  <c r="B377" i="8"/>
  <c r="K375" i="8" l="1"/>
  <c r="L375" i="8"/>
  <c r="J375" i="8"/>
  <c r="T374" i="8"/>
  <c r="AA374" i="8" s="1"/>
  <c r="W374" i="8"/>
  <c r="AB374" i="8" s="1"/>
  <c r="Z374" i="8"/>
  <c r="AC374" i="8" s="1"/>
  <c r="N376" i="8"/>
  <c r="C377" i="8"/>
  <c r="B378" i="8"/>
  <c r="L376" i="8" l="1"/>
  <c r="J376" i="8"/>
  <c r="T375" i="8"/>
  <c r="AA375" i="8" s="1"/>
  <c r="K376" i="8"/>
  <c r="W375" i="8"/>
  <c r="AB375" i="8" s="1"/>
  <c r="Z375" i="8"/>
  <c r="AC375" i="8" s="1"/>
  <c r="N377" i="8"/>
  <c r="C378" i="8"/>
  <c r="B379" i="8"/>
  <c r="L377" i="8" l="1"/>
  <c r="Z376" i="8"/>
  <c r="AC376" i="8" s="1"/>
  <c r="J377" i="8"/>
  <c r="T376" i="8"/>
  <c r="AA376" i="8" s="1"/>
  <c r="K377" i="8"/>
  <c r="W376" i="8"/>
  <c r="AB376" i="8" s="1"/>
  <c r="N378" i="8"/>
  <c r="B380" i="8"/>
  <c r="C379" i="8"/>
  <c r="K378" i="8" l="1"/>
  <c r="Z377" i="8"/>
  <c r="AC377" i="8" s="1"/>
  <c r="J378" i="8"/>
  <c r="W377" i="8"/>
  <c r="AB377" i="8" s="1"/>
  <c r="L378" i="8"/>
  <c r="T377" i="8"/>
  <c r="AA377" i="8" s="1"/>
  <c r="N379" i="8"/>
  <c r="C380" i="8"/>
  <c r="B381" i="8"/>
  <c r="L379" i="8" l="1"/>
  <c r="K379" i="8"/>
  <c r="J379" i="8"/>
  <c r="W378" i="8"/>
  <c r="AB378" i="8" s="1"/>
  <c r="T378" i="8"/>
  <c r="AA378" i="8" s="1"/>
  <c r="Z378" i="8"/>
  <c r="AC378" i="8" s="1"/>
  <c r="N380" i="8"/>
  <c r="B382" i="8"/>
  <c r="C381" i="8"/>
  <c r="L380" i="8" l="1"/>
  <c r="Z379" i="8"/>
  <c r="AC379" i="8" s="1"/>
  <c r="J380" i="8"/>
  <c r="K380" i="8"/>
  <c r="W379" i="8"/>
  <c r="AB379" i="8" s="1"/>
  <c r="T379" i="8"/>
  <c r="AA379" i="8" s="1"/>
  <c r="N381" i="8"/>
  <c r="C382" i="8"/>
  <c r="B383" i="8"/>
  <c r="L381" i="8" l="1"/>
  <c r="K381" i="8"/>
  <c r="J381" i="8"/>
  <c r="Z380" i="8"/>
  <c r="AC380" i="8" s="1"/>
  <c r="W380" i="8"/>
  <c r="AB380" i="8" s="1"/>
  <c r="T380" i="8"/>
  <c r="AA380" i="8" s="1"/>
  <c r="N382" i="8"/>
  <c r="B384" i="8"/>
  <c r="C383" i="8"/>
  <c r="L382" i="8" l="1"/>
  <c r="K382" i="8"/>
  <c r="J382" i="8"/>
  <c r="Z381" i="8"/>
  <c r="AC381" i="8" s="1"/>
  <c r="W381" i="8"/>
  <c r="AB381" i="8" s="1"/>
  <c r="T381" i="8"/>
  <c r="AA381" i="8" s="1"/>
  <c r="N383" i="8"/>
  <c r="C384" i="8"/>
  <c r="B385" i="8"/>
  <c r="L383" i="8" l="1"/>
  <c r="K383" i="8"/>
  <c r="J383" i="8"/>
  <c r="T382" i="8"/>
  <c r="AA382" i="8" s="1"/>
  <c r="W382" i="8"/>
  <c r="AB382" i="8" s="1"/>
  <c r="Z382" i="8"/>
  <c r="AC382" i="8" s="1"/>
  <c r="N384" i="8"/>
  <c r="B386" i="8"/>
  <c r="C385" i="8"/>
  <c r="L384" i="8" l="1"/>
  <c r="J384" i="8"/>
  <c r="T383" i="8"/>
  <c r="AA383" i="8" s="1"/>
  <c r="K384" i="8"/>
  <c r="W383" i="8"/>
  <c r="AB383" i="8" s="1"/>
  <c r="Z383" i="8"/>
  <c r="AC383" i="8" s="1"/>
  <c r="N385" i="8"/>
  <c r="C386" i="8"/>
  <c r="B387" i="8"/>
  <c r="L385" i="8" l="1"/>
  <c r="Z384" i="8"/>
  <c r="AC384" i="8" s="1"/>
  <c r="W384" i="8"/>
  <c r="AB384" i="8" s="1"/>
  <c r="J385" i="8"/>
  <c r="T384" i="8"/>
  <c r="AA384" i="8" s="1"/>
  <c r="K385" i="8"/>
  <c r="N386" i="8"/>
  <c r="B388" i="8"/>
  <c r="C387" i="8"/>
  <c r="W385" i="8" l="1"/>
  <c r="AB385" i="8" s="1"/>
  <c r="Z385" i="8"/>
  <c r="AC385" i="8" s="1"/>
  <c r="J386" i="8"/>
  <c r="L386" i="8"/>
  <c r="K386" i="8"/>
  <c r="T385" i="8"/>
  <c r="AA385" i="8" s="1"/>
  <c r="N387" i="8"/>
  <c r="C388" i="8"/>
  <c r="B389" i="8"/>
  <c r="K387" i="8" l="1"/>
  <c r="L387" i="8"/>
  <c r="Z386" i="8"/>
  <c r="AC386" i="8" s="1"/>
  <c r="J387" i="8"/>
  <c r="T386" i="8"/>
  <c r="AA386" i="8" s="1"/>
  <c r="W386" i="8"/>
  <c r="AB386" i="8" s="1"/>
  <c r="N388" i="8"/>
  <c r="B390" i="8"/>
  <c r="C389" i="8"/>
  <c r="Z387" i="8" l="1"/>
  <c r="AC387" i="8" s="1"/>
  <c r="J388" i="8"/>
  <c r="L388" i="8"/>
  <c r="K388" i="8"/>
  <c r="W387" i="8"/>
  <c r="AB387" i="8" s="1"/>
  <c r="T387" i="8"/>
  <c r="AA387" i="8" s="1"/>
  <c r="N389" i="8"/>
  <c r="C390" i="8"/>
  <c r="B391" i="8"/>
  <c r="L389" i="8" l="1"/>
  <c r="J389" i="8"/>
  <c r="K389" i="8"/>
  <c r="T388" i="8"/>
  <c r="AA388" i="8" s="1"/>
  <c r="Z388" i="8"/>
  <c r="AC388" i="8" s="1"/>
  <c r="W388" i="8"/>
  <c r="AB388" i="8" s="1"/>
  <c r="N390" i="8"/>
  <c r="B392" i="8"/>
  <c r="C391" i="8"/>
  <c r="L390" i="8" l="1"/>
  <c r="K390" i="8"/>
  <c r="J390" i="8"/>
  <c r="Z389" i="8"/>
  <c r="AC389" i="8" s="1"/>
  <c r="T389" i="8"/>
  <c r="AA389" i="8" s="1"/>
  <c r="W389" i="8"/>
  <c r="AB389" i="8" s="1"/>
  <c r="N391" i="8"/>
  <c r="C392" i="8"/>
  <c r="B393" i="8"/>
  <c r="L391" i="8" l="1"/>
  <c r="K391" i="8"/>
  <c r="J391" i="8"/>
  <c r="T390" i="8"/>
  <c r="AA390" i="8" s="1"/>
  <c r="W390" i="8"/>
  <c r="AB390" i="8" s="1"/>
  <c r="Z390" i="8"/>
  <c r="AC390" i="8" s="1"/>
  <c r="N392" i="8"/>
  <c r="B394" i="8"/>
  <c r="C393" i="8"/>
  <c r="L392" i="8" l="1"/>
  <c r="J392" i="8"/>
  <c r="T391" i="8"/>
  <c r="AA391" i="8" s="1"/>
  <c r="K392" i="8"/>
  <c r="W391" i="8"/>
  <c r="AB391" i="8" s="1"/>
  <c r="Z391" i="8"/>
  <c r="AC391" i="8" s="1"/>
  <c r="N393" i="8"/>
  <c r="C394" i="8"/>
  <c r="B395" i="8"/>
  <c r="Z392" i="8" l="1"/>
  <c r="AC392" i="8" s="1"/>
  <c r="L393" i="8"/>
  <c r="W392" i="8"/>
  <c r="AB392" i="8" s="1"/>
  <c r="J393" i="8"/>
  <c r="K393" i="8"/>
  <c r="T392" i="8"/>
  <c r="AA392" i="8" s="1"/>
  <c r="N394" i="8"/>
  <c r="B396" i="8"/>
  <c r="C395" i="8"/>
  <c r="Z393" i="8" l="1"/>
  <c r="AC393" i="8" s="1"/>
  <c r="J394" i="8"/>
  <c r="K394" i="8"/>
  <c r="L394" i="8"/>
  <c r="W393" i="8"/>
  <c r="AB393" i="8" s="1"/>
  <c r="T393" i="8"/>
  <c r="AA393" i="8" s="1"/>
  <c r="N395" i="8"/>
  <c r="C396" i="8"/>
  <c r="B397" i="8"/>
  <c r="K395" i="8" l="1"/>
  <c r="L395" i="8"/>
  <c r="Z394" i="8"/>
  <c r="AC394" i="8" s="1"/>
  <c r="J395" i="8"/>
  <c r="W394" i="8"/>
  <c r="AB394" i="8" s="1"/>
  <c r="T394" i="8"/>
  <c r="AA394" i="8" s="1"/>
  <c r="N396" i="8"/>
  <c r="C397" i="8"/>
  <c r="B398" i="8"/>
  <c r="W395" i="8" l="1"/>
  <c r="AB395" i="8" s="1"/>
  <c r="J396" i="8"/>
  <c r="Z395" i="8"/>
  <c r="AC395" i="8" s="1"/>
  <c r="K396" i="8"/>
  <c r="L396" i="8"/>
  <c r="T395" i="8"/>
  <c r="AA395" i="8" s="1"/>
  <c r="N397" i="8"/>
  <c r="C398" i="8"/>
  <c r="B399" i="8"/>
  <c r="K397" i="8" l="1"/>
  <c r="J397" i="8"/>
  <c r="L397" i="8"/>
  <c r="T396" i="8"/>
  <c r="AA396" i="8" s="1"/>
  <c r="W396" i="8"/>
  <c r="AB396" i="8" s="1"/>
  <c r="Z396" i="8"/>
  <c r="AC396" i="8" s="1"/>
  <c r="N398" i="8"/>
  <c r="B400" i="8"/>
  <c r="C399" i="8"/>
  <c r="K398" i="8" l="1"/>
  <c r="L398" i="8"/>
  <c r="J398" i="8"/>
  <c r="T397" i="8"/>
  <c r="AA397" i="8" s="1"/>
  <c r="W397" i="8"/>
  <c r="AB397" i="8" s="1"/>
  <c r="Z397" i="8"/>
  <c r="AC397" i="8" s="1"/>
  <c r="N399" i="8"/>
  <c r="C400" i="8"/>
  <c r="B401" i="8"/>
  <c r="J399" i="8" l="1"/>
  <c r="L399" i="8"/>
  <c r="K399" i="8"/>
  <c r="T398" i="8"/>
  <c r="AA398" i="8" s="1"/>
  <c r="W398" i="8"/>
  <c r="AB398" i="8" s="1"/>
  <c r="Z398" i="8"/>
  <c r="AC398" i="8" s="1"/>
  <c r="N400" i="8"/>
  <c r="C401" i="8"/>
  <c r="B402" i="8"/>
  <c r="J400" i="8" l="1"/>
  <c r="T399" i="8"/>
  <c r="AA399" i="8" s="1"/>
  <c r="L400" i="8"/>
  <c r="K400" i="8"/>
  <c r="W399" i="8"/>
  <c r="AB399" i="8" s="1"/>
  <c r="Z399" i="8"/>
  <c r="AC399" i="8" s="1"/>
  <c r="N401" i="8"/>
  <c r="C402" i="8"/>
  <c r="B403" i="8"/>
  <c r="W400" i="8" l="1"/>
  <c r="AB400" i="8" s="1"/>
  <c r="L401" i="8"/>
  <c r="K401" i="8"/>
  <c r="Z400" i="8"/>
  <c r="AC400" i="8" s="1"/>
  <c r="J401" i="8"/>
  <c r="T400" i="8"/>
  <c r="AA400" i="8" s="1"/>
  <c r="N402" i="8"/>
  <c r="B404" i="8"/>
  <c r="C403" i="8"/>
  <c r="L402" i="8" l="1"/>
  <c r="W401" i="8"/>
  <c r="AB401" i="8" s="1"/>
  <c r="Z401" i="8"/>
  <c r="AC401" i="8" s="1"/>
  <c r="J402" i="8"/>
  <c r="T401" i="8"/>
  <c r="AA401" i="8" s="1"/>
  <c r="K402" i="8"/>
  <c r="N403" i="8"/>
  <c r="C404" i="8"/>
  <c r="B405" i="8"/>
  <c r="W402" i="8" l="1"/>
  <c r="AB402" i="8" s="1"/>
  <c r="Z402" i="8"/>
  <c r="AC402" i="8" s="1"/>
  <c r="J403" i="8"/>
  <c r="L403" i="8"/>
  <c r="K403" i="8"/>
  <c r="T402" i="8"/>
  <c r="AA402" i="8" s="1"/>
  <c r="N404" i="8"/>
  <c r="B406" i="8"/>
  <c r="C405" i="8"/>
  <c r="K404" i="8" l="1"/>
  <c r="L404" i="8"/>
  <c r="J404" i="8"/>
  <c r="T403" i="8"/>
  <c r="AA403" i="8" s="1"/>
  <c r="W403" i="8"/>
  <c r="AB403" i="8" s="1"/>
  <c r="Z403" i="8"/>
  <c r="AC403" i="8" s="1"/>
  <c r="N405" i="8"/>
  <c r="C406" i="8"/>
  <c r="B407" i="8"/>
  <c r="L405" i="8" l="1"/>
  <c r="J405" i="8"/>
  <c r="K405" i="8"/>
  <c r="T404" i="8"/>
  <c r="AA404" i="8" s="1"/>
  <c r="W404" i="8"/>
  <c r="AB404" i="8" s="1"/>
  <c r="Z404" i="8"/>
  <c r="AC404" i="8" s="1"/>
  <c r="N406" i="8"/>
  <c r="B408" i="8"/>
  <c r="C407" i="8"/>
  <c r="L406" i="8" l="1"/>
  <c r="J406" i="8"/>
  <c r="K406" i="8"/>
  <c r="W405" i="8"/>
  <c r="AB405" i="8" s="1"/>
  <c r="T405" i="8"/>
  <c r="AA405" i="8" s="1"/>
  <c r="Z405" i="8"/>
  <c r="AC405" i="8" s="1"/>
  <c r="N407" i="8"/>
  <c r="C408" i="8"/>
  <c r="B409" i="8"/>
  <c r="L407" i="8" l="1"/>
  <c r="K407" i="8"/>
  <c r="J407" i="8"/>
  <c r="T406" i="8"/>
  <c r="AA406" i="8" s="1"/>
  <c r="W406" i="8"/>
  <c r="AB406" i="8" s="1"/>
  <c r="Z406" i="8"/>
  <c r="AC406" i="8" s="1"/>
  <c r="N408" i="8"/>
  <c r="B410" i="8"/>
  <c r="C409" i="8"/>
  <c r="L408" i="8" l="1"/>
  <c r="J408" i="8"/>
  <c r="T407" i="8"/>
  <c r="AA407" i="8" s="1"/>
  <c r="K408" i="8"/>
  <c r="W407" i="8"/>
  <c r="AB407" i="8" s="1"/>
  <c r="Z407" i="8"/>
  <c r="AC407" i="8" s="1"/>
  <c r="N409" i="8"/>
  <c r="C410" i="8"/>
  <c r="B411" i="8"/>
  <c r="L409" i="8" l="1"/>
  <c r="Z408" i="8"/>
  <c r="AC408" i="8" s="1"/>
  <c r="J409" i="8"/>
  <c r="T408" i="8"/>
  <c r="AA408" i="8" s="1"/>
  <c r="K409" i="8"/>
  <c r="W408" i="8"/>
  <c r="AB408" i="8" s="1"/>
  <c r="N410" i="8"/>
  <c r="B412" i="8"/>
  <c r="C411" i="8"/>
  <c r="L410" i="8" l="1"/>
  <c r="J410" i="8"/>
  <c r="K410" i="8"/>
  <c r="Z409" i="8"/>
  <c r="AC409" i="8" s="1"/>
  <c r="W409" i="8"/>
  <c r="AB409" i="8" s="1"/>
  <c r="T409" i="8"/>
  <c r="AA409" i="8" s="1"/>
  <c r="N411" i="8"/>
  <c r="C412" i="8"/>
  <c r="B413" i="8"/>
  <c r="K411" i="8" l="1"/>
  <c r="J411" i="8"/>
  <c r="L411" i="8"/>
  <c r="Z410" i="8"/>
  <c r="AC410" i="8" s="1"/>
  <c r="T410" i="8"/>
  <c r="AA410" i="8" s="1"/>
  <c r="W410" i="8"/>
  <c r="AB410" i="8" s="1"/>
  <c r="N412" i="8"/>
  <c r="B414" i="8"/>
  <c r="C413" i="8"/>
  <c r="L412" i="8" l="1"/>
  <c r="K412" i="8"/>
  <c r="J412" i="8"/>
  <c r="Z411" i="8"/>
  <c r="AC411" i="8" s="1"/>
  <c r="W411" i="8"/>
  <c r="AB411" i="8" s="1"/>
  <c r="T411" i="8"/>
  <c r="AA411" i="8" s="1"/>
  <c r="N413" i="8"/>
  <c r="C414" i="8"/>
  <c r="B415" i="8"/>
  <c r="L413" i="8" l="1"/>
  <c r="K413" i="8"/>
  <c r="J413" i="8"/>
  <c r="Z412" i="8"/>
  <c r="AC412" i="8" s="1"/>
  <c r="T412" i="8"/>
  <c r="AA412" i="8" s="1"/>
  <c r="W412" i="8"/>
  <c r="AB412" i="8" s="1"/>
  <c r="N414" i="8"/>
  <c r="B416" i="8"/>
  <c r="C415" i="8"/>
  <c r="L414" i="8" l="1"/>
  <c r="J414" i="8"/>
  <c r="Z413" i="8"/>
  <c r="AC413" i="8" s="1"/>
  <c r="K414" i="8"/>
  <c r="T413" i="8"/>
  <c r="AA413" i="8" s="1"/>
  <c r="W413" i="8"/>
  <c r="AB413" i="8" s="1"/>
  <c r="N415" i="8"/>
  <c r="C416" i="8"/>
  <c r="B417" i="8"/>
  <c r="L415" i="8" l="1"/>
  <c r="K415" i="8"/>
  <c r="J415" i="8"/>
  <c r="T414" i="8"/>
  <c r="AA414" i="8" s="1"/>
  <c r="W414" i="8"/>
  <c r="AB414" i="8" s="1"/>
  <c r="Z414" i="8"/>
  <c r="AC414" i="8" s="1"/>
  <c r="N416" i="8"/>
  <c r="B418" i="8"/>
  <c r="C417" i="8"/>
  <c r="L416" i="8" l="1"/>
  <c r="J416" i="8"/>
  <c r="T415" i="8"/>
  <c r="AA415" i="8" s="1"/>
  <c r="K416" i="8"/>
  <c r="W415" i="8"/>
  <c r="AB415" i="8" s="1"/>
  <c r="Z415" i="8"/>
  <c r="AC415" i="8" s="1"/>
  <c r="N417" i="8"/>
  <c r="C418" i="8"/>
  <c r="B419" i="8"/>
  <c r="Z416" i="8" l="1"/>
  <c r="AC416" i="8" s="1"/>
  <c r="L417" i="8"/>
  <c r="W416" i="8"/>
  <c r="AB416" i="8" s="1"/>
  <c r="J417" i="8"/>
  <c r="T416" i="8"/>
  <c r="AA416" i="8" s="1"/>
  <c r="K417" i="8"/>
  <c r="N418" i="8"/>
  <c r="B420" i="8"/>
  <c r="C419" i="8"/>
  <c r="W417" i="8" l="1"/>
  <c r="AB417" i="8" s="1"/>
  <c r="Z417" i="8"/>
  <c r="AC417" i="8" s="1"/>
  <c r="J418" i="8"/>
  <c r="L418" i="8"/>
  <c r="K418" i="8"/>
  <c r="T417" i="8"/>
  <c r="AA417" i="8" s="1"/>
  <c r="N419" i="8"/>
  <c r="C420" i="8"/>
  <c r="B421" i="8"/>
  <c r="L419" i="8" l="1"/>
  <c r="K419" i="8"/>
  <c r="Z418" i="8"/>
  <c r="AC418" i="8" s="1"/>
  <c r="J419" i="8"/>
  <c r="T418" i="8"/>
  <c r="AA418" i="8" s="1"/>
  <c r="W418" i="8"/>
  <c r="AB418" i="8" s="1"/>
  <c r="N420" i="8"/>
  <c r="B422" i="8"/>
  <c r="C421" i="8"/>
  <c r="L420" i="8" l="1"/>
  <c r="Z419" i="8"/>
  <c r="AC419" i="8" s="1"/>
  <c r="J420" i="8"/>
  <c r="K420" i="8"/>
  <c r="W419" i="8"/>
  <c r="AB419" i="8" s="1"/>
  <c r="T419" i="8"/>
  <c r="AA419" i="8" s="1"/>
  <c r="N421" i="8"/>
  <c r="C422" i="8"/>
  <c r="B423" i="8"/>
  <c r="L421" i="8" l="1"/>
  <c r="J421" i="8"/>
  <c r="Z420" i="8"/>
  <c r="AC420" i="8" s="1"/>
  <c r="W420" i="8"/>
  <c r="AB420" i="8" s="1"/>
  <c r="K421" i="8"/>
  <c r="T420" i="8"/>
  <c r="AA420" i="8" s="1"/>
  <c r="N422" i="8"/>
  <c r="B424" i="8"/>
  <c r="C423" i="8"/>
  <c r="L422" i="8" l="1"/>
  <c r="K422" i="8"/>
  <c r="J422" i="8"/>
  <c r="Z421" i="8"/>
  <c r="AC421" i="8" s="1"/>
  <c r="T421" i="8"/>
  <c r="AA421" i="8" s="1"/>
  <c r="W421" i="8"/>
  <c r="AB421" i="8" s="1"/>
  <c r="N423" i="8"/>
  <c r="C424" i="8"/>
  <c r="B425" i="8"/>
  <c r="L423" i="8" l="1"/>
  <c r="J423" i="8"/>
  <c r="K423" i="8"/>
  <c r="T422" i="8"/>
  <c r="AA422" i="8" s="1"/>
  <c r="W422" i="8"/>
  <c r="AB422" i="8" s="1"/>
  <c r="Z422" i="8"/>
  <c r="AC422" i="8" s="1"/>
  <c r="N424" i="8"/>
  <c r="B426" i="8"/>
  <c r="C425" i="8"/>
  <c r="L424" i="8" l="1"/>
  <c r="J424" i="8"/>
  <c r="T423" i="8"/>
  <c r="AA423" i="8" s="1"/>
  <c r="K424" i="8"/>
  <c r="W423" i="8"/>
  <c r="AB423" i="8" s="1"/>
  <c r="Z423" i="8"/>
  <c r="AC423" i="8" s="1"/>
  <c r="N425" i="8"/>
  <c r="C426" i="8"/>
  <c r="B427" i="8"/>
  <c r="L425" i="8" l="1"/>
  <c r="W424" i="8"/>
  <c r="AB424" i="8" s="1"/>
  <c r="Z424" i="8"/>
  <c r="AC424" i="8" s="1"/>
  <c r="J425" i="8"/>
  <c r="T424" i="8"/>
  <c r="AA424" i="8" s="1"/>
  <c r="K425" i="8"/>
  <c r="N426" i="8"/>
  <c r="B428" i="8"/>
  <c r="C427" i="8"/>
  <c r="W425" i="8" l="1"/>
  <c r="AB425" i="8" s="1"/>
  <c r="Z425" i="8"/>
  <c r="AC425" i="8" s="1"/>
  <c r="J426" i="8"/>
  <c r="K426" i="8"/>
  <c r="L426" i="8"/>
  <c r="T425" i="8"/>
  <c r="AA425" i="8" s="1"/>
  <c r="N427" i="8"/>
  <c r="C428" i="8"/>
  <c r="B429" i="8"/>
  <c r="L427" i="8" l="1"/>
  <c r="Z426" i="8"/>
  <c r="AC426" i="8" s="1"/>
  <c r="J427" i="8"/>
  <c r="K427" i="8"/>
  <c r="W426" i="8"/>
  <c r="AB426" i="8" s="1"/>
  <c r="T426" i="8"/>
  <c r="AA426" i="8" s="1"/>
  <c r="N428" i="8"/>
  <c r="B430" i="8"/>
  <c r="C429" i="8"/>
  <c r="L428" i="8" l="1"/>
  <c r="J428" i="8"/>
  <c r="Z427" i="8"/>
  <c r="AC427" i="8" s="1"/>
  <c r="K428" i="8"/>
  <c r="T427" i="8"/>
  <c r="AA427" i="8" s="1"/>
  <c r="W427" i="8"/>
  <c r="AB427" i="8" s="1"/>
  <c r="N429" i="8"/>
  <c r="C430" i="8"/>
  <c r="B431" i="8"/>
  <c r="K429" i="8" l="1"/>
  <c r="L429" i="8"/>
  <c r="J429" i="8"/>
  <c r="Z428" i="8"/>
  <c r="AC428" i="8" s="1"/>
  <c r="W428" i="8"/>
  <c r="AB428" i="8" s="1"/>
  <c r="T428" i="8"/>
  <c r="AA428" i="8" s="1"/>
  <c r="N430" i="8"/>
  <c r="B432" i="8"/>
  <c r="C431" i="8"/>
  <c r="L430" i="8" l="1"/>
  <c r="K430" i="8"/>
  <c r="J430" i="8"/>
  <c r="Z429" i="8"/>
  <c r="AC429" i="8" s="1"/>
  <c r="T429" i="8"/>
  <c r="AA429" i="8" s="1"/>
  <c r="W429" i="8"/>
  <c r="AB429" i="8" s="1"/>
  <c r="N431" i="8"/>
  <c r="C432" i="8"/>
  <c r="B433" i="8"/>
  <c r="L431" i="8" l="1"/>
  <c r="J431" i="8"/>
  <c r="K431" i="8"/>
  <c r="T430" i="8"/>
  <c r="AA430" i="8" s="1"/>
  <c r="W430" i="8"/>
  <c r="AB430" i="8" s="1"/>
  <c r="Z430" i="8"/>
  <c r="AC430" i="8" s="1"/>
  <c r="N432" i="8"/>
  <c r="B434" i="8"/>
  <c r="C433" i="8"/>
  <c r="L432" i="8" l="1"/>
  <c r="J432" i="8"/>
  <c r="K432" i="8"/>
  <c r="T431" i="8"/>
  <c r="AA431" i="8" s="1"/>
  <c r="W431" i="8"/>
  <c r="AB431" i="8" s="1"/>
  <c r="Z431" i="8"/>
  <c r="AC431" i="8" s="1"/>
  <c r="N433" i="8"/>
  <c r="C434" i="8"/>
  <c r="B435" i="8"/>
  <c r="Z432" i="8" l="1"/>
  <c r="AC432" i="8" s="1"/>
  <c r="L433" i="8"/>
  <c r="K433" i="8"/>
  <c r="W432" i="8"/>
  <c r="AB432" i="8" s="1"/>
  <c r="J433" i="8"/>
  <c r="T432" i="8"/>
  <c r="AA432" i="8" s="1"/>
  <c r="N434" i="8"/>
  <c r="B436" i="8"/>
  <c r="C435" i="8"/>
  <c r="L434" i="8" l="1"/>
  <c r="Z433" i="8"/>
  <c r="AC433" i="8" s="1"/>
  <c r="W433" i="8"/>
  <c r="AB433" i="8" s="1"/>
  <c r="J434" i="8"/>
  <c r="K434" i="8"/>
  <c r="T433" i="8"/>
  <c r="AA433" i="8" s="1"/>
  <c r="N435" i="8"/>
  <c r="C436" i="8"/>
  <c r="B437" i="8"/>
  <c r="L435" i="8" l="1"/>
  <c r="Z434" i="8"/>
  <c r="AC434" i="8" s="1"/>
  <c r="J435" i="8"/>
  <c r="W434" i="8"/>
  <c r="AB434" i="8" s="1"/>
  <c r="K435" i="8"/>
  <c r="T434" i="8"/>
  <c r="AA434" i="8" s="1"/>
  <c r="N436" i="8"/>
  <c r="B438" i="8"/>
  <c r="C437" i="8"/>
  <c r="J436" i="8" l="1"/>
  <c r="Z435" i="8"/>
  <c r="AC435" i="8" s="1"/>
  <c r="T435" i="8"/>
  <c r="AA435" i="8" s="1"/>
  <c r="L436" i="8"/>
  <c r="K436" i="8"/>
  <c r="W435" i="8"/>
  <c r="AB435" i="8" s="1"/>
  <c r="N437" i="8"/>
  <c r="B439" i="8"/>
  <c r="C438" i="8"/>
  <c r="K437" i="8" l="1"/>
  <c r="L437" i="8"/>
  <c r="T436" i="8"/>
  <c r="AA436" i="8" s="1"/>
  <c r="W436" i="8"/>
  <c r="AB436" i="8" s="1"/>
  <c r="Z436" i="8"/>
  <c r="AC436" i="8" s="1"/>
  <c r="J437" i="8"/>
  <c r="N438" i="8"/>
  <c r="B440" i="8"/>
  <c r="C439" i="8"/>
  <c r="L438" i="8" l="1"/>
  <c r="K438" i="8"/>
  <c r="J438" i="8"/>
  <c r="Z437" i="8"/>
  <c r="AC437" i="8" s="1"/>
  <c r="T437" i="8"/>
  <c r="AA437" i="8" s="1"/>
  <c r="W437" i="8"/>
  <c r="AB437" i="8" s="1"/>
  <c r="N439" i="8"/>
  <c r="B441" i="8"/>
  <c r="C440" i="8"/>
  <c r="L439" i="8" l="1"/>
  <c r="J439" i="8"/>
  <c r="K439" i="8"/>
  <c r="T438" i="8"/>
  <c r="AA438" i="8" s="1"/>
  <c r="W438" i="8"/>
  <c r="AB438" i="8" s="1"/>
  <c r="Z438" i="8"/>
  <c r="AC438" i="8" s="1"/>
  <c r="N440" i="8"/>
  <c r="B442" i="8"/>
  <c r="C441" i="8"/>
  <c r="L440" i="8" l="1"/>
  <c r="J440" i="8"/>
  <c r="T439" i="8"/>
  <c r="AA439" i="8" s="1"/>
  <c r="K440" i="8"/>
  <c r="W439" i="8"/>
  <c r="AB439" i="8" s="1"/>
  <c r="Z439" i="8"/>
  <c r="AC439" i="8" s="1"/>
  <c r="N441" i="8"/>
  <c r="B443" i="8"/>
  <c r="C442" i="8"/>
  <c r="L441" i="8" l="1"/>
  <c r="W440" i="8"/>
  <c r="AB440" i="8" s="1"/>
  <c r="J441" i="8"/>
  <c r="Z440" i="8"/>
  <c r="AC440" i="8" s="1"/>
  <c r="K441" i="8"/>
  <c r="T440" i="8"/>
  <c r="AA440" i="8" s="1"/>
  <c r="N442" i="8"/>
  <c r="B444" i="8"/>
  <c r="C443" i="8"/>
  <c r="K442" i="8" l="1"/>
  <c r="L442" i="8"/>
  <c r="J442" i="8"/>
  <c r="Z441" i="8"/>
  <c r="AC441" i="8" s="1"/>
  <c r="W441" i="8"/>
  <c r="AB441" i="8" s="1"/>
  <c r="T441" i="8"/>
  <c r="AA441" i="8" s="1"/>
  <c r="N443" i="8"/>
  <c r="C444" i="8"/>
  <c r="B445" i="8"/>
  <c r="Z442" i="8" l="1"/>
  <c r="AC442" i="8" s="1"/>
  <c r="J443" i="8"/>
  <c r="T442" i="8"/>
  <c r="AA442" i="8" s="1"/>
  <c r="K443" i="8"/>
  <c r="L443" i="8"/>
  <c r="W442" i="8"/>
  <c r="AB442" i="8" s="1"/>
  <c r="N444" i="8"/>
  <c r="C445" i="8"/>
  <c r="B446" i="8"/>
  <c r="L444" i="8" l="1"/>
  <c r="K444" i="8"/>
  <c r="W443" i="8"/>
  <c r="AB443" i="8" s="1"/>
  <c r="J444" i="8"/>
  <c r="Z443" i="8"/>
  <c r="AC443" i="8" s="1"/>
  <c r="T443" i="8"/>
  <c r="AA443" i="8" s="1"/>
  <c r="N445" i="8"/>
  <c r="C446" i="8"/>
  <c r="B447" i="8"/>
  <c r="L445" i="8" l="1"/>
  <c r="Z444" i="8"/>
  <c r="AC444" i="8" s="1"/>
  <c r="J445" i="8"/>
  <c r="K445" i="8"/>
  <c r="W444" i="8"/>
  <c r="AB444" i="8" s="1"/>
  <c r="T444" i="8"/>
  <c r="AA444" i="8" s="1"/>
  <c r="N446" i="8"/>
  <c r="C447" i="8"/>
  <c r="B448" i="8"/>
  <c r="K446" i="8" l="1"/>
  <c r="J446" i="8"/>
  <c r="Z445" i="8"/>
  <c r="AC445" i="8" s="1"/>
  <c r="T445" i="8"/>
  <c r="AA445" i="8" s="1"/>
  <c r="L446" i="8"/>
  <c r="W445" i="8"/>
  <c r="AB445" i="8" s="1"/>
  <c r="N447" i="8"/>
  <c r="B449" i="8"/>
  <c r="C448" i="8"/>
  <c r="J447" i="8" l="1"/>
  <c r="L447" i="8"/>
  <c r="K447" i="8"/>
  <c r="T446" i="8"/>
  <c r="AA446" i="8" s="1"/>
  <c r="W446" i="8"/>
  <c r="AB446" i="8" s="1"/>
  <c r="Z446" i="8"/>
  <c r="AC446" i="8" s="1"/>
  <c r="N448" i="8"/>
  <c r="B450" i="8"/>
  <c r="C449" i="8"/>
  <c r="L448" i="8" l="1"/>
  <c r="K448" i="8"/>
  <c r="J448" i="8"/>
  <c r="T447" i="8"/>
  <c r="AA447" i="8" s="1"/>
  <c r="W447" i="8"/>
  <c r="AB447" i="8" s="1"/>
  <c r="Z447" i="8"/>
  <c r="AC447" i="8" s="1"/>
  <c r="N449" i="8"/>
  <c r="B451" i="8"/>
  <c r="C450" i="8"/>
  <c r="W448" i="8" l="1"/>
  <c r="AB448" i="8" s="1"/>
  <c r="Z448" i="8"/>
  <c r="AC448" i="8" s="1"/>
  <c r="L449" i="8"/>
  <c r="K449" i="8"/>
  <c r="J449" i="8"/>
  <c r="T448" i="8"/>
  <c r="AA448" i="8" s="1"/>
  <c r="N450" i="8"/>
  <c r="C451" i="8"/>
  <c r="B452" i="8"/>
  <c r="Z449" i="8" l="1"/>
  <c r="AC449" i="8" s="1"/>
  <c r="W449" i="8"/>
  <c r="AB449" i="8" s="1"/>
  <c r="J450" i="8"/>
  <c r="L450" i="8"/>
  <c r="K450" i="8"/>
  <c r="T449" i="8"/>
  <c r="AA449" i="8" s="1"/>
  <c r="N451" i="8"/>
  <c r="C452" i="8"/>
  <c r="B453" i="8"/>
  <c r="L451" i="8" l="1"/>
  <c r="K451" i="8"/>
  <c r="J451" i="8"/>
  <c r="W450" i="8"/>
  <c r="AB450" i="8" s="1"/>
  <c r="Z450" i="8"/>
  <c r="AC450" i="8" s="1"/>
  <c r="T450" i="8"/>
  <c r="AA450" i="8" s="1"/>
  <c r="N452" i="8"/>
  <c r="C453" i="8"/>
  <c r="B454" i="8"/>
  <c r="Z451" i="8" l="1"/>
  <c r="AC451" i="8" s="1"/>
  <c r="L452" i="8"/>
  <c r="K452" i="8"/>
  <c r="J452" i="8"/>
  <c r="W451" i="8"/>
  <c r="AB451" i="8" s="1"/>
  <c r="T451" i="8"/>
  <c r="AA451" i="8" s="1"/>
  <c r="N453" i="8"/>
  <c r="B455" i="8"/>
  <c r="C454" i="8"/>
  <c r="Z452" i="8" l="1"/>
  <c r="AC452" i="8" s="1"/>
  <c r="L453" i="8"/>
  <c r="J453" i="8"/>
  <c r="K453" i="8"/>
  <c r="T452" i="8"/>
  <c r="AA452" i="8" s="1"/>
  <c r="W452" i="8"/>
  <c r="AB452" i="8" s="1"/>
  <c r="N454" i="8"/>
  <c r="B456" i="8"/>
  <c r="C455" i="8"/>
  <c r="L454" i="8" l="1"/>
  <c r="J454" i="8"/>
  <c r="K454" i="8"/>
  <c r="Z453" i="8"/>
  <c r="AC453" i="8" s="1"/>
  <c r="W453" i="8"/>
  <c r="AB453" i="8" s="1"/>
  <c r="T453" i="8"/>
  <c r="AA453" i="8" s="1"/>
  <c r="N455" i="8"/>
  <c r="B457" i="8"/>
  <c r="C456" i="8"/>
  <c r="L455" i="8" l="1"/>
  <c r="K455" i="8"/>
  <c r="J455" i="8"/>
  <c r="T454" i="8"/>
  <c r="AA454" i="8" s="1"/>
  <c r="W454" i="8"/>
  <c r="AB454" i="8" s="1"/>
  <c r="Z454" i="8"/>
  <c r="AC454" i="8" s="1"/>
  <c r="N456" i="8"/>
  <c r="B458" i="8"/>
  <c r="C457" i="8"/>
  <c r="K456" i="8" l="1"/>
  <c r="L456" i="8"/>
  <c r="J456" i="8"/>
  <c r="T455" i="8"/>
  <c r="AA455" i="8" s="1"/>
  <c r="W455" i="8"/>
  <c r="AB455" i="8" s="1"/>
  <c r="Z455" i="8"/>
  <c r="AC455" i="8" s="1"/>
  <c r="N457" i="8"/>
  <c r="B459" i="8"/>
  <c r="C458" i="8"/>
  <c r="W456" i="8" l="1"/>
  <c r="AB456" i="8" s="1"/>
  <c r="L457" i="8"/>
  <c r="Z456" i="8"/>
  <c r="AC456" i="8" s="1"/>
  <c r="J457" i="8"/>
  <c r="T456" i="8"/>
  <c r="AA456" i="8" s="1"/>
  <c r="K457" i="8"/>
  <c r="N458" i="8"/>
  <c r="B460" i="8"/>
  <c r="C459" i="8"/>
  <c r="L458" i="8" l="1"/>
  <c r="Z457" i="8"/>
  <c r="AC457" i="8" s="1"/>
  <c r="J458" i="8"/>
  <c r="W457" i="8"/>
  <c r="AB457" i="8" s="1"/>
  <c r="K458" i="8"/>
  <c r="T457" i="8"/>
  <c r="AA457" i="8" s="1"/>
  <c r="N459" i="8"/>
  <c r="B461" i="8"/>
  <c r="C460" i="8"/>
  <c r="L459" i="8" l="1"/>
  <c r="K459" i="8"/>
  <c r="J459" i="8"/>
  <c r="Z458" i="8"/>
  <c r="AC458" i="8" s="1"/>
  <c r="W458" i="8"/>
  <c r="AB458" i="8" s="1"/>
  <c r="T458" i="8"/>
  <c r="AA458" i="8" s="1"/>
  <c r="N460" i="8"/>
  <c r="B462" i="8"/>
  <c r="C461" i="8"/>
  <c r="Z459" i="8" l="1"/>
  <c r="AC459" i="8" s="1"/>
  <c r="L460" i="8"/>
  <c r="J460" i="8"/>
  <c r="W459" i="8"/>
  <c r="AB459" i="8" s="1"/>
  <c r="T459" i="8"/>
  <c r="AA459" i="8" s="1"/>
  <c r="K460" i="8"/>
  <c r="N461" i="8"/>
  <c r="B463" i="8"/>
  <c r="C462" i="8"/>
  <c r="L461" i="8" l="1"/>
  <c r="J461" i="8"/>
  <c r="Z460" i="8"/>
  <c r="AC460" i="8" s="1"/>
  <c r="W460" i="8"/>
  <c r="AB460" i="8" s="1"/>
  <c r="K461" i="8"/>
  <c r="T460" i="8"/>
  <c r="AA460" i="8" s="1"/>
  <c r="N462" i="8"/>
  <c r="C463" i="8"/>
  <c r="B464" i="8"/>
  <c r="L462" i="8" l="1"/>
  <c r="J462" i="8"/>
  <c r="Z461" i="8"/>
  <c r="AC461" i="8" s="1"/>
  <c r="K462" i="8"/>
  <c r="T461" i="8"/>
  <c r="AA461" i="8" s="1"/>
  <c r="W461" i="8"/>
  <c r="AB461" i="8" s="1"/>
  <c r="N463" i="8"/>
  <c r="B465" i="8"/>
  <c r="C464" i="8"/>
  <c r="L463" i="8" l="1"/>
  <c r="J463" i="8"/>
  <c r="K463" i="8"/>
  <c r="T462" i="8"/>
  <c r="AA462" i="8" s="1"/>
  <c r="W462" i="8"/>
  <c r="AB462" i="8" s="1"/>
  <c r="Z462" i="8"/>
  <c r="AC462" i="8" s="1"/>
  <c r="N464" i="8"/>
  <c r="C465" i="8"/>
  <c r="B466" i="8"/>
  <c r="L464" i="8" l="1"/>
  <c r="J464" i="8"/>
  <c r="T463" i="8"/>
  <c r="AA463" i="8" s="1"/>
  <c r="K464" i="8"/>
  <c r="W463" i="8"/>
  <c r="AB463" i="8" s="1"/>
  <c r="Z463" i="8"/>
  <c r="AC463" i="8" s="1"/>
  <c r="N465" i="8"/>
  <c r="B467" i="8"/>
  <c r="C466" i="8"/>
  <c r="W464" i="8" l="1"/>
  <c r="AB464" i="8" s="1"/>
  <c r="Z464" i="8"/>
  <c r="AC464" i="8" s="1"/>
  <c r="L465" i="8"/>
  <c r="J465" i="8"/>
  <c r="T464" i="8"/>
  <c r="AA464" i="8" s="1"/>
  <c r="K465" i="8"/>
  <c r="N466" i="8"/>
  <c r="B468" i="8"/>
  <c r="C467" i="8"/>
  <c r="Z465" i="8" l="1"/>
  <c r="AC465" i="8" s="1"/>
  <c r="J466" i="8"/>
  <c r="L466" i="8"/>
  <c r="W465" i="8"/>
  <c r="AB465" i="8" s="1"/>
  <c r="K466" i="8"/>
  <c r="T465" i="8"/>
  <c r="AA465" i="8" s="1"/>
  <c r="N467" i="8"/>
  <c r="C468" i="8"/>
  <c r="B469" i="8"/>
  <c r="K467" i="8" l="1"/>
  <c r="L467" i="8"/>
  <c r="J467" i="8"/>
  <c r="Z466" i="8"/>
  <c r="AC466" i="8" s="1"/>
  <c r="W466" i="8"/>
  <c r="AB466" i="8" s="1"/>
  <c r="T466" i="8"/>
  <c r="AA466" i="8" s="1"/>
  <c r="N468" i="8"/>
  <c r="C469" i="8"/>
  <c r="B470" i="8"/>
  <c r="Z467" i="8" l="1"/>
  <c r="AC467" i="8" s="1"/>
  <c r="L468" i="8"/>
  <c r="J468" i="8"/>
  <c r="W467" i="8"/>
  <c r="AB467" i="8" s="1"/>
  <c r="K468" i="8"/>
  <c r="T467" i="8"/>
  <c r="AA467" i="8" s="1"/>
  <c r="N469" i="8"/>
  <c r="C470" i="8"/>
  <c r="B471" i="8"/>
  <c r="L469" i="8" l="1"/>
  <c r="J469" i="8"/>
  <c r="Z468" i="8"/>
  <c r="AC468" i="8" s="1"/>
  <c r="W468" i="8"/>
  <c r="AB468" i="8" s="1"/>
  <c r="T468" i="8"/>
  <c r="AA468" i="8" s="1"/>
  <c r="K469" i="8"/>
  <c r="N470" i="8"/>
  <c r="B472" i="8"/>
  <c r="C471" i="8"/>
  <c r="K470" i="8" l="1"/>
  <c r="L470" i="8"/>
  <c r="J470" i="8"/>
  <c r="W469" i="8"/>
  <c r="AB469" i="8" s="1"/>
  <c r="Z469" i="8"/>
  <c r="AC469" i="8" s="1"/>
  <c r="T469" i="8"/>
  <c r="AA469" i="8" s="1"/>
  <c r="N471" i="8"/>
  <c r="C472" i="8"/>
  <c r="B473" i="8"/>
  <c r="L471" i="8" l="1"/>
  <c r="K471" i="8"/>
  <c r="J471" i="8"/>
  <c r="T470" i="8"/>
  <c r="AA470" i="8" s="1"/>
  <c r="W470" i="8"/>
  <c r="AB470" i="8" s="1"/>
  <c r="Z470" i="8"/>
  <c r="AC470" i="8" s="1"/>
  <c r="N472" i="8"/>
  <c r="C473" i="8"/>
  <c r="B474" i="8"/>
  <c r="L472" i="8" l="1"/>
  <c r="J472" i="8"/>
  <c r="T471" i="8"/>
  <c r="AA471" i="8" s="1"/>
  <c r="K472" i="8"/>
  <c r="W471" i="8"/>
  <c r="AB471" i="8" s="1"/>
  <c r="Z471" i="8"/>
  <c r="AC471" i="8" s="1"/>
  <c r="N473" i="8"/>
  <c r="C474" i="8"/>
  <c r="B475" i="8"/>
  <c r="L473" i="8" l="1"/>
  <c r="Z472" i="8"/>
  <c r="AC472" i="8" s="1"/>
  <c r="J473" i="8"/>
  <c r="T472" i="8"/>
  <c r="AA472" i="8" s="1"/>
  <c r="K473" i="8"/>
  <c r="W472" i="8"/>
  <c r="AB472" i="8" s="1"/>
  <c r="N474" i="8"/>
  <c r="C475" i="8"/>
  <c r="B476" i="8"/>
  <c r="L474" i="8" l="1"/>
  <c r="W473" i="8"/>
  <c r="AB473" i="8" s="1"/>
  <c r="J474" i="8"/>
  <c r="Z473" i="8"/>
  <c r="AC473" i="8" s="1"/>
  <c r="T473" i="8"/>
  <c r="AA473" i="8" s="1"/>
  <c r="K474" i="8"/>
  <c r="N475" i="8"/>
  <c r="C476" i="8"/>
  <c r="B477" i="8"/>
  <c r="L475" i="8" l="1"/>
  <c r="J475" i="8"/>
  <c r="W474" i="8"/>
  <c r="AB474" i="8" s="1"/>
  <c r="Z474" i="8"/>
  <c r="AC474" i="8" s="1"/>
  <c r="K475" i="8"/>
  <c r="T474" i="8"/>
  <c r="AA474" i="8" s="1"/>
  <c r="N476" i="8"/>
  <c r="B478" i="8"/>
  <c r="C477" i="8"/>
  <c r="J476" i="8" l="1"/>
  <c r="Z475" i="8"/>
  <c r="AC475" i="8" s="1"/>
  <c r="W475" i="8"/>
  <c r="AB475" i="8" s="1"/>
  <c r="T475" i="8"/>
  <c r="AA475" i="8" s="1"/>
  <c r="K476" i="8"/>
  <c r="L476" i="8"/>
  <c r="N477" i="8"/>
  <c r="C478" i="8"/>
  <c r="B479" i="8"/>
  <c r="L477" i="8" l="1"/>
  <c r="J477" i="8"/>
  <c r="K477" i="8"/>
  <c r="Z476" i="8"/>
  <c r="AC476" i="8" s="1"/>
  <c r="T476" i="8"/>
  <c r="AA476" i="8" s="1"/>
  <c r="W476" i="8"/>
  <c r="AB476" i="8" s="1"/>
  <c r="N478" i="8"/>
  <c r="C479" i="8"/>
  <c r="B480" i="8"/>
  <c r="L478" i="8" l="1"/>
  <c r="J478" i="8"/>
  <c r="K478" i="8"/>
  <c r="Z477" i="8"/>
  <c r="AC477" i="8" s="1"/>
  <c r="T477" i="8"/>
  <c r="AA477" i="8" s="1"/>
  <c r="W477" i="8"/>
  <c r="AB477" i="8" s="1"/>
  <c r="N479" i="8"/>
  <c r="C480" i="8"/>
  <c r="B481" i="8"/>
  <c r="L479" i="8" l="1"/>
  <c r="K479" i="8"/>
  <c r="J479" i="8"/>
  <c r="T478" i="8"/>
  <c r="AA478" i="8" s="1"/>
  <c r="W478" i="8"/>
  <c r="AB478" i="8" s="1"/>
  <c r="Z478" i="8"/>
  <c r="AC478" i="8" s="1"/>
  <c r="N480" i="8"/>
  <c r="C481" i="8"/>
  <c r="B482" i="8"/>
  <c r="L480" i="8" l="1"/>
  <c r="J480" i="8"/>
  <c r="T479" i="8"/>
  <c r="AA479" i="8" s="1"/>
  <c r="K480" i="8"/>
  <c r="W479" i="8"/>
  <c r="AB479" i="8" s="1"/>
  <c r="Z479" i="8"/>
  <c r="AC479" i="8" s="1"/>
  <c r="N481" i="8"/>
  <c r="C482" i="8"/>
  <c r="B483" i="8"/>
  <c r="Z480" i="8" l="1"/>
  <c r="AC480" i="8" s="1"/>
  <c r="L481" i="8"/>
  <c r="W480" i="8"/>
  <c r="AB480" i="8" s="1"/>
  <c r="J481" i="8"/>
  <c r="K481" i="8"/>
  <c r="T480" i="8"/>
  <c r="AA480" i="8" s="1"/>
  <c r="N482" i="8"/>
  <c r="B484" i="8"/>
  <c r="C483" i="8"/>
  <c r="K482" i="8" l="1"/>
  <c r="L482" i="8"/>
  <c r="Z481" i="8"/>
  <c r="AC481" i="8" s="1"/>
  <c r="J482" i="8"/>
  <c r="W481" i="8"/>
  <c r="AB481" i="8" s="1"/>
  <c r="T481" i="8"/>
  <c r="AA481" i="8" s="1"/>
  <c r="N483" i="8"/>
  <c r="C484" i="8"/>
  <c r="B485" i="8"/>
  <c r="L483" i="8" l="1"/>
  <c r="Z482" i="8"/>
  <c r="AC482" i="8" s="1"/>
  <c r="J483" i="8"/>
  <c r="W482" i="8"/>
  <c r="AB482" i="8" s="1"/>
  <c r="K483" i="8"/>
  <c r="T482" i="8"/>
  <c r="AA482" i="8" s="1"/>
  <c r="N484" i="8"/>
  <c r="C485" i="8"/>
  <c r="B486" i="8"/>
  <c r="L484" i="8" l="1"/>
  <c r="K484" i="8"/>
  <c r="Z483" i="8"/>
  <c r="AC483" i="8" s="1"/>
  <c r="J484" i="8"/>
  <c r="W483" i="8"/>
  <c r="AB483" i="8" s="1"/>
  <c r="T483" i="8"/>
  <c r="AA483" i="8" s="1"/>
  <c r="N485" i="8"/>
  <c r="C486" i="8"/>
  <c r="B487" i="8"/>
  <c r="K485" i="8" l="1"/>
  <c r="Z484" i="8"/>
  <c r="AC484" i="8" s="1"/>
  <c r="J485" i="8"/>
  <c r="L485" i="8"/>
  <c r="W484" i="8"/>
  <c r="AB484" i="8" s="1"/>
  <c r="T484" i="8"/>
  <c r="AA484" i="8" s="1"/>
  <c r="N486" i="8"/>
  <c r="C487" i="8"/>
  <c r="B488" i="8"/>
  <c r="L486" i="8" l="1"/>
  <c r="K486" i="8"/>
  <c r="J486" i="8"/>
  <c r="Z485" i="8"/>
  <c r="AC485" i="8" s="1"/>
  <c r="T485" i="8"/>
  <c r="AA485" i="8" s="1"/>
  <c r="W485" i="8"/>
  <c r="AB485" i="8" s="1"/>
  <c r="N487" i="8"/>
  <c r="C488" i="8"/>
  <c r="B489" i="8"/>
  <c r="L487" i="8" l="1"/>
  <c r="K487" i="8"/>
  <c r="J487" i="8"/>
  <c r="T486" i="8"/>
  <c r="AA486" i="8" s="1"/>
  <c r="W486" i="8"/>
  <c r="AB486" i="8" s="1"/>
  <c r="Z486" i="8"/>
  <c r="AC486" i="8" s="1"/>
  <c r="N488" i="8"/>
  <c r="C489" i="8"/>
  <c r="B490" i="8"/>
  <c r="L488" i="8" l="1"/>
  <c r="J488" i="8"/>
  <c r="T487" i="8"/>
  <c r="AA487" i="8" s="1"/>
  <c r="K488" i="8"/>
  <c r="W487" i="8"/>
  <c r="AB487" i="8" s="1"/>
  <c r="Z487" i="8"/>
  <c r="AC487" i="8" s="1"/>
  <c r="N489" i="8"/>
  <c r="C490" i="8"/>
  <c r="B491" i="8"/>
  <c r="L489" i="8" l="1"/>
  <c r="Z488" i="8"/>
  <c r="AC488" i="8" s="1"/>
  <c r="J489" i="8"/>
  <c r="K489" i="8"/>
  <c r="W488" i="8"/>
  <c r="AB488" i="8" s="1"/>
  <c r="T488" i="8"/>
  <c r="AA488" i="8" s="1"/>
  <c r="N490" i="8"/>
  <c r="B492" i="8"/>
  <c r="C491" i="8"/>
  <c r="L490" i="8" l="1"/>
  <c r="Z489" i="8"/>
  <c r="AC489" i="8" s="1"/>
  <c r="J490" i="8"/>
  <c r="W489" i="8"/>
  <c r="AB489" i="8" s="1"/>
  <c r="K490" i="8"/>
  <c r="T489" i="8"/>
  <c r="AA489" i="8" s="1"/>
  <c r="N491" i="8"/>
  <c r="C492" i="8"/>
  <c r="B493" i="8"/>
  <c r="L491" i="8" l="1"/>
  <c r="K491" i="8"/>
  <c r="Z490" i="8"/>
  <c r="AC490" i="8" s="1"/>
  <c r="J491" i="8"/>
  <c r="W490" i="8"/>
  <c r="AB490" i="8" s="1"/>
  <c r="T490" i="8"/>
  <c r="AA490" i="8" s="1"/>
  <c r="N492" i="8"/>
  <c r="B494" i="8"/>
  <c r="C493" i="8"/>
  <c r="Z491" i="8" l="1"/>
  <c r="AC491" i="8" s="1"/>
  <c r="L492" i="8"/>
  <c r="W491" i="8"/>
  <c r="AB491" i="8" s="1"/>
  <c r="J492" i="8"/>
  <c r="T491" i="8"/>
  <c r="AA491" i="8" s="1"/>
  <c r="K492" i="8"/>
  <c r="N493" i="8"/>
  <c r="C494" i="8"/>
  <c r="B495" i="8"/>
  <c r="L493" i="8" l="1"/>
  <c r="K493" i="8"/>
  <c r="Z492" i="8"/>
  <c r="AC492" i="8" s="1"/>
  <c r="J493" i="8"/>
  <c r="W492" i="8"/>
  <c r="AB492" i="8" s="1"/>
  <c r="T492" i="8"/>
  <c r="AA492" i="8" s="1"/>
  <c r="N494" i="8"/>
  <c r="C495" i="8"/>
  <c r="B496" i="8"/>
  <c r="K494" i="8" l="1"/>
  <c r="L494" i="8"/>
  <c r="Z493" i="8"/>
  <c r="AC493" i="8" s="1"/>
  <c r="J494" i="8"/>
  <c r="W493" i="8"/>
  <c r="AB493" i="8" s="1"/>
  <c r="T493" i="8"/>
  <c r="AA493" i="8" s="1"/>
  <c r="N495" i="8"/>
  <c r="C496" i="8"/>
  <c r="B497" i="8"/>
  <c r="L495" i="8" l="1"/>
  <c r="K495" i="8"/>
  <c r="J495" i="8"/>
  <c r="T494" i="8"/>
  <c r="AA494" i="8" s="1"/>
  <c r="W494" i="8"/>
  <c r="AB494" i="8" s="1"/>
  <c r="Z494" i="8"/>
  <c r="AC494" i="8" s="1"/>
  <c r="N496" i="8"/>
  <c r="C497" i="8"/>
  <c r="B498" i="8"/>
  <c r="J496" i="8" l="1"/>
  <c r="L496" i="8"/>
  <c r="K496" i="8"/>
  <c r="T495" i="8"/>
  <c r="AA495" i="8" s="1"/>
  <c r="W495" i="8"/>
  <c r="AB495" i="8" s="1"/>
  <c r="Z495" i="8"/>
  <c r="AC495" i="8" s="1"/>
  <c r="N497" i="8"/>
  <c r="C498" i="8"/>
  <c r="B499" i="8"/>
  <c r="L497" i="8" l="1"/>
  <c r="Z496" i="8"/>
  <c r="AC496" i="8" s="1"/>
  <c r="K497" i="8"/>
  <c r="W496" i="8"/>
  <c r="AB496" i="8" s="1"/>
  <c r="J497" i="8"/>
  <c r="T496" i="8"/>
  <c r="AA496" i="8" s="1"/>
  <c r="N498" i="8"/>
  <c r="B500" i="8"/>
  <c r="C499" i="8"/>
  <c r="K498" i="8" l="1"/>
  <c r="L498" i="8"/>
  <c r="Z497" i="8"/>
  <c r="AC497" i="8" s="1"/>
  <c r="J498" i="8"/>
  <c r="W497" i="8"/>
  <c r="AB497" i="8" s="1"/>
  <c r="T497" i="8"/>
  <c r="AA497" i="8" s="1"/>
  <c r="N499" i="8"/>
  <c r="C500" i="8"/>
  <c r="B501" i="8"/>
  <c r="L499" i="8" l="1"/>
  <c r="W498" i="8"/>
  <c r="AB498" i="8" s="1"/>
  <c r="J499" i="8"/>
  <c r="Z498" i="8"/>
  <c r="AC498" i="8" s="1"/>
  <c r="K499" i="8"/>
  <c r="T498" i="8"/>
  <c r="AA498" i="8" s="1"/>
  <c r="N500" i="8"/>
  <c r="C501" i="8"/>
  <c r="B502" i="8"/>
  <c r="L500" i="8" l="1"/>
  <c r="Z499" i="8"/>
  <c r="AC499" i="8" s="1"/>
  <c r="J500" i="8"/>
  <c r="W499" i="8"/>
  <c r="AB499" i="8" s="1"/>
  <c r="T499" i="8"/>
  <c r="AA499" i="8" s="1"/>
  <c r="K500" i="8"/>
  <c r="N501" i="8"/>
  <c r="C502" i="8"/>
  <c r="B503" i="8"/>
  <c r="L501" i="8" l="1"/>
  <c r="J501" i="8"/>
  <c r="Z500" i="8"/>
  <c r="AC500" i="8" s="1"/>
  <c r="T500" i="8"/>
  <c r="AA500" i="8" s="1"/>
  <c r="W500" i="8"/>
  <c r="AB500" i="8" s="1"/>
  <c r="K501" i="8"/>
  <c r="N502" i="8"/>
  <c r="C503" i="8"/>
  <c r="B504" i="8"/>
  <c r="L502" i="8" l="1"/>
  <c r="J502" i="8"/>
  <c r="Z501" i="8"/>
  <c r="AC501" i="8" s="1"/>
  <c r="T501" i="8"/>
  <c r="AA501" i="8" s="1"/>
  <c r="K502" i="8"/>
  <c r="W501" i="8"/>
  <c r="AB501" i="8" s="1"/>
  <c r="N503" i="8"/>
  <c r="C504" i="8"/>
  <c r="B505" i="8"/>
  <c r="L503" i="8" l="1"/>
  <c r="K503" i="8"/>
  <c r="J503" i="8"/>
  <c r="T502" i="8"/>
  <c r="AA502" i="8" s="1"/>
  <c r="W502" i="8"/>
  <c r="AB502" i="8" s="1"/>
  <c r="Z502" i="8"/>
  <c r="AC502" i="8" s="1"/>
  <c r="N504" i="8"/>
  <c r="C505" i="8"/>
  <c r="B506" i="8"/>
  <c r="L504" i="8" l="1"/>
  <c r="J504" i="8"/>
  <c r="K504" i="8"/>
  <c r="T503" i="8"/>
  <c r="AA503" i="8" s="1"/>
  <c r="W503" i="8"/>
  <c r="AB503" i="8" s="1"/>
  <c r="Z503" i="8"/>
  <c r="AC503" i="8" s="1"/>
  <c r="N505" i="8"/>
  <c r="B507" i="8"/>
  <c r="C506" i="8"/>
  <c r="L505" i="8" l="1"/>
  <c r="W504" i="8"/>
  <c r="AB504" i="8" s="1"/>
  <c r="Z504" i="8"/>
  <c r="AC504" i="8" s="1"/>
  <c r="K505" i="8"/>
  <c r="J505" i="8"/>
  <c r="T504" i="8"/>
  <c r="AA504" i="8" s="1"/>
  <c r="N506" i="8"/>
  <c r="B508" i="8"/>
  <c r="C507" i="8"/>
  <c r="Z505" i="8" l="1"/>
  <c r="AC505" i="8" s="1"/>
  <c r="W505" i="8"/>
  <c r="AB505" i="8" s="1"/>
  <c r="J506" i="8"/>
  <c r="T505" i="8"/>
  <c r="AA505" i="8" s="1"/>
  <c r="L506" i="8"/>
  <c r="K506" i="8"/>
  <c r="N507" i="8"/>
  <c r="C508" i="8"/>
  <c r="B509" i="8"/>
  <c r="L507" i="8" l="1"/>
  <c r="K507" i="8"/>
  <c r="Z506" i="8"/>
  <c r="AC506" i="8" s="1"/>
  <c r="J507" i="8"/>
  <c r="W506" i="8"/>
  <c r="AB506" i="8" s="1"/>
  <c r="T506" i="8"/>
  <c r="AA506" i="8" s="1"/>
  <c r="N508" i="8"/>
  <c r="B510" i="8"/>
  <c r="C509" i="8"/>
  <c r="L508" i="8" l="1"/>
  <c r="K508" i="8"/>
  <c r="Z507" i="8"/>
  <c r="AC507" i="8" s="1"/>
  <c r="J508" i="8"/>
  <c r="W507" i="8"/>
  <c r="AB507" i="8" s="1"/>
  <c r="T507" i="8"/>
  <c r="AA507" i="8" s="1"/>
  <c r="N509" i="8"/>
  <c r="C510" i="8"/>
  <c r="B511" i="8"/>
  <c r="L509" i="8" l="1"/>
  <c r="W508" i="8"/>
  <c r="AB508" i="8" s="1"/>
  <c r="J509" i="8"/>
  <c r="Z508" i="8"/>
  <c r="AC508" i="8" s="1"/>
  <c r="K509" i="8"/>
  <c r="T508" i="8"/>
  <c r="AA508" i="8" s="1"/>
  <c r="N510" i="8"/>
  <c r="B512" i="8"/>
  <c r="C511" i="8"/>
  <c r="L510" i="8" l="1"/>
  <c r="J510" i="8"/>
  <c r="K510" i="8"/>
  <c r="Z509" i="8"/>
  <c r="AC509" i="8" s="1"/>
  <c r="T509" i="8"/>
  <c r="AA509" i="8" s="1"/>
  <c r="W509" i="8"/>
  <c r="AB509" i="8" s="1"/>
  <c r="N511" i="8"/>
  <c r="C512" i="8"/>
  <c r="B513" i="8"/>
  <c r="L511" i="8" l="1"/>
  <c r="K511" i="8"/>
  <c r="J511" i="8"/>
  <c r="T510" i="8"/>
  <c r="AA510" i="8" s="1"/>
  <c r="W510" i="8"/>
  <c r="AB510" i="8" s="1"/>
  <c r="Z510" i="8"/>
  <c r="AC510" i="8" s="1"/>
  <c r="N512" i="8"/>
  <c r="B514" i="8"/>
  <c r="C513" i="8"/>
  <c r="L512" i="8" l="1"/>
  <c r="J512" i="8"/>
  <c r="T511" i="8"/>
  <c r="AA511" i="8" s="1"/>
  <c r="K512" i="8"/>
  <c r="W511" i="8"/>
  <c r="AB511" i="8" s="1"/>
  <c r="Z511" i="8"/>
  <c r="AC511" i="8" s="1"/>
  <c r="N513" i="8"/>
  <c r="B515" i="8"/>
  <c r="C514" i="8"/>
  <c r="W512" i="8" l="1"/>
  <c r="AB512" i="8" s="1"/>
  <c r="L513" i="8"/>
  <c r="J513" i="8"/>
  <c r="T512" i="8"/>
  <c r="AA512" i="8" s="1"/>
  <c r="K513" i="8"/>
  <c r="Z512" i="8"/>
  <c r="AC512" i="8" s="1"/>
  <c r="N514" i="8"/>
  <c r="B516" i="8"/>
  <c r="C515" i="8"/>
  <c r="L514" i="8" l="1"/>
  <c r="Z513" i="8"/>
  <c r="AC513" i="8" s="1"/>
  <c r="J514" i="8"/>
  <c r="T513" i="8"/>
  <c r="AA513" i="8" s="1"/>
  <c r="W513" i="8"/>
  <c r="AB513" i="8" s="1"/>
  <c r="K514" i="8"/>
  <c r="N515" i="8"/>
  <c r="C516" i="8"/>
  <c r="B517" i="8"/>
  <c r="L515" i="8" l="1"/>
  <c r="J515" i="8"/>
  <c r="W514" i="8"/>
  <c r="AB514" i="8" s="1"/>
  <c r="Z514" i="8"/>
  <c r="AC514" i="8" s="1"/>
  <c r="K515" i="8"/>
  <c r="T514" i="8"/>
  <c r="AA514" i="8" s="1"/>
  <c r="N516" i="8"/>
  <c r="B518" i="8"/>
  <c r="C517" i="8"/>
  <c r="L516" i="8" l="1"/>
  <c r="K516" i="8"/>
  <c r="J516" i="8"/>
  <c r="T515" i="8"/>
  <c r="AA515" i="8" s="1"/>
  <c r="W515" i="8"/>
  <c r="AB515" i="8" s="1"/>
  <c r="Z515" i="8"/>
  <c r="AC515" i="8" s="1"/>
  <c r="N517" i="8"/>
  <c r="B519" i="8"/>
  <c r="C518" i="8"/>
  <c r="L517" i="8" l="1"/>
  <c r="J517" i="8"/>
  <c r="K517" i="8"/>
  <c r="Z516" i="8"/>
  <c r="AC516" i="8" s="1"/>
  <c r="W516" i="8"/>
  <c r="AB516" i="8" s="1"/>
  <c r="T516" i="8"/>
  <c r="AA516" i="8" s="1"/>
  <c r="N518" i="8"/>
  <c r="B520" i="8"/>
  <c r="C519" i="8"/>
  <c r="L518" i="8" l="1"/>
  <c r="K518" i="8"/>
  <c r="J518" i="8"/>
  <c r="Z517" i="8"/>
  <c r="AC517" i="8" s="1"/>
  <c r="W517" i="8"/>
  <c r="AB517" i="8" s="1"/>
  <c r="T517" i="8"/>
  <c r="AA517" i="8" s="1"/>
  <c r="N519" i="8"/>
  <c r="C520" i="8"/>
  <c r="B521" i="8"/>
  <c r="L519" i="8" l="1"/>
  <c r="J519" i="8"/>
  <c r="K519" i="8"/>
  <c r="T518" i="8"/>
  <c r="AA518" i="8" s="1"/>
  <c r="W518" i="8"/>
  <c r="AB518" i="8" s="1"/>
  <c r="Z518" i="8"/>
  <c r="AC518" i="8" s="1"/>
  <c r="N520" i="8"/>
  <c r="B522" i="8"/>
  <c r="C521" i="8"/>
  <c r="J520" i="8" l="1"/>
  <c r="K520" i="8"/>
  <c r="L520" i="8"/>
  <c r="T519" i="8"/>
  <c r="AA519" i="8" s="1"/>
  <c r="W519" i="8"/>
  <c r="AB519" i="8" s="1"/>
  <c r="Z519" i="8"/>
  <c r="AC519" i="8" s="1"/>
  <c r="N521" i="8"/>
  <c r="C522" i="8"/>
  <c r="B523" i="8"/>
  <c r="Z520" i="8" l="1"/>
  <c r="AC520" i="8" s="1"/>
  <c r="L521" i="8"/>
  <c r="K521" i="8"/>
  <c r="W520" i="8"/>
  <c r="AB520" i="8" s="1"/>
  <c r="J521" i="8"/>
  <c r="T520" i="8"/>
  <c r="AA520" i="8" s="1"/>
  <c r="N522" i="8"/>
  <c r="B524" i="8"/>
  <c r="C523" i="8"/>
  <c r="Z521" i="8" l="1"/>
  <c r="AC521" i="8" s="1"/>
  <c r="J522" i="8"/>
  <c r="W521" i="8"/>
  <c r="AB521" i="8" s="1"/>
  <c r="L522" i="8"/>
  <c r="K522" i="8"/>
  <c r="T521" i="8"/>
  <c r="AA521" i="8" s="1"/>
  <c r="N523" i="8"/>
  <c r="C524" i="8"/>
  <c r="B525" i="8"/>
  <c r="K523" i="8" l="1"/>
  <c r="L523" i="8"/>
  <c r="J523" i="8"/>
  <c r="W522" i="8"/>
  <c r="AB522" i="8" s="1"/>
  <c r="Z522" i="8"/>
  <c r="AC522" i="8" s="1"/>
  <c r="T522" i="8"/>
  <c r="AA522" i="8" s="1"/>
  <c r="N524" i="8"/>
  <c r="B526" i="8"/>
  <c r="C525" i="8"/>
  <c r="L524" i="8" l="1"/>
  <c r="J524" i="8"/>
  <c r="T523" i="8"/>
  <c r="AA523" i="8" s="1"/>
  <c r="W523" i="8"/>
  <c r="AB523" i="8" s="1"/>
  <c r="Z523" i="8"/>
  <c r="AC523" i="8" s="1"/>
  <c r="K524" i="8"/>
  <c r="N525" i="8"/>
  <c r="C526" i="8"/>
  <c r="B527" i="8"/>
  <c r="L525" i="8" l="1"/>
  <c r="J525" i="8"/>
  <c r="W524" i="8"/>
  <c r="AB524" i="8" s="1"/>
  <c r="Z524" i="8"/>
  <c r="AC524" i="8" s="1"/>
  <c r="K525" i="8"/>
  <c r="T524" i="8"/>
  <c r="AA524" i="8" s="1"/>
  <c r="N526" i="8"/>
  <c r="B528" i="8"/>
  <c r="C527" i="8"/>
  <c r="K526" i="8" l="1"/>
  <c r="L526" i="8"/>
  <c r="J526" i="8"/>
  <c r="Z525" i="8"/>
  <c r="AC525" i="8" s="1"/>
  <c r="T525" i="8"/>
  <c r="AA525" i="8" s="1"/>
  <c r="W525" i="8"/>
  <c r="AB525" i="8" s="1"/>
  <c r="N527" i="8"/>
  <c r="B529" i="8"/>
  <c r="C528" i="8"/>
  <c r="J527" i="8" l="1"/>
  <c r="L527" i="8"/>
  <c r="K527" i="8"/>
  <c r="T526" i="8"/>
  <c r="AA526" i="8" s="1"/>
  <c r="W526" i="8"/>
  <c r="AB526" i="8" s="1"/>
  <c r="Z526" i="8"/>
  <c r="AC526" i="8" s="1"/>
  <c r="N528" i="8"/>
  <c r="B530" i="8"/>
  <c r="C529" i="8"/>
  <c r="L528" i="8" l="1"/>
  <c r="K528" i="8"/>
  <c r="J528" i="8"/>
  <c r="T527" i="8"/>
  <c r="AA527" i="8" s="1"/>
  <c r="W527" i="8"/>
  <c r="AB527" i="8" s="1"/>
  <c r="Z527" i="8"/>
  <c r="AC527" i="8" s="1"/>
  <c r="N529" i="8"/>
  <c r="B531" i="8"/>
  <c r="C530" i="8"/>
  <c r="Z528" i="8" l="1"/>
  <c r="AC528" i="8" s="1"/>
  <c r="L529" i="8"/>
  <c r="J529" i="8"/>
  <c r="K529" i="8"/>
  <c r="T528" i="8"/>
  <c r="AA528" i="8" s="1"/>
  <c r="W528" i="8"/>
  <c r="AB528" i="8" s="1"/>
  <c r="N530" i="8"/>
  <c r="B532" i="8"/>
  <c r="C531" i="8"/>
  <c r="Z529" i="8" l="1"/>
  <c r="AC529" i="8" s="1"/>
  <c r="J530" i="8"/>
  <c r="L530" i="8"/>
  <c r="K530" i="8"/>
  <c r="T529" i="8"/>
  <c r="AA529" i="8" s="1"/>
  <c r="W529" i="8"/>
  <c r="AB529" i="8" s="1"/>
  <c r="N531" i="8"/>
  <c r="B533" i="8"/>
  <c r="C532" i="8"/>
  <c r="L531" i="8" l="1"/>
  <c r="J531" i="8"/>
  <c r="K531" i="8"/>
  <c r="W530" i="8"/>
  <c r="AB530" i="8" s="1"/>
  <c r="Z530" i="8"/>
  <c r="AC530" i="8" s="1"/>
  <c r="T530" i="8"/>
  <c r="AA530" i="8" s="1"/>
  <c r="N532" i="8"/>
  <c r="B534" i="8"/>
  <c r="C533" i="8"/>
  <c r="L532" i="8" l="1"/>
  <c r="J532" i="8"/>
  <c r="Z531" i="8"/>
  <c r="AC531" i="8" s="1"/>
  <c r="W531" i="8"/>
  <c r="AB531" i="8" s="1"/>
  <c r="K532" i="8"/>
  <c r="T531" i="8"/>
  <c r="AA531" i="8" s="1"/>
  <c r="N533" i="8"/>
  <c r="C534" i="8"/>
  <c r="B535" i="8"/>
  <c r="L533" i="8" l="1"/>
  <c r="K533" i="8"/>
  <c r="J533" i="8"/>
  <c r="Z532" i="8"/>
  <c r="AC532" i="8" s="1"/>
  <c r="W532" i="8"/>
  <c r="AB532" i="8" s="1"/>
  <c r="T532" i="8"/>
  <c r="AA532" i="8" s="1"/>
  <c r="N534" i="8"/>
  <c r="B536" i="8"/>
  <c r="C535" i="8"/>
  <c r="L534" i="8" l="1"/>
  <c r="K534" i="8"/>
  <c r="J534" i="8"/>
  <c r="W533" i="8"/>
  <c r="AB533" i="8" s="1"/>
  <c r="Z533" i="8"/>
  <c r="AC533" i="8" s="1"/>
  <c r="T533" i="8"/>
  <c r="AA533" i="8" s="1"/>
  <c r="N535" i="8"/>
  <c r="C536" i="8"/>
  <c r="B537" i="8"/>
  <c r="L535" i="8" l="1"/>
  <c r="J535" i="8"/>
  <c r="K535" i="8"/>
  <c r="T534" i="8"/>
  <c r="AA534" i="8" s="1"/>
  <c r="W534" i="8"/>
  <c r="AB534" i="8" s="1"/>
  <c r="Z534" i="8"/>
  <c r="AC534" i="8" s="1"/>
  <c r="N536" i="8"/>
  <c r="B538" i="8"/>
  <c r="C537" i="8"/>
  <c r="L536" i="8" l="1"/>
  <c r="J536" i="8"/>
  <c r="K536" i="8"/>
  <c r="T535" i="8"/>
  <c r="AA535" i="8" s="1"/>
  <c r="W535" i="8"/>
  <c r="AB535" i="8" s="1"/>
  <c r="Z535" i="8"/>
  <c r="AC535" i="8" s="1"/>
  <c r="N537" i="8"/>
  <c r="C538" i="8"/>
  <c r="B539" i="8"/>
  <c r="W536" i="8" l="1"/>
  <c r="AB536" i="8" s="1"/>
  <c r="Z536" i="8"/>
  <c r="AC536" i="8" s="1"/>
  <c r="L537" i="8"/>
  <c r="K537" i="8"/>
  <c r="J537" i="8"/>
  <c r="T536" i="8"/>
  <c r="AA536" i="8" s="1"/>
  <c r="N538" i="8"/>
  <c r="B540" i="8"/>
  <c r="C539" i="8"/>
  <c r="Z537" i="8" l="1"/>
  <c r="AC537" i="8" s="1"/>
  <c r="L538" i="8"/>
  <c r="K538" i="8"/>
  <c r="W537" i="8"/>
  <c r="AB537" i="8" s="1"/>
  <c r="J538" i="8"/>
  <c r="T537" i="8"/>
  <c r="AA537" i="8" s="1"/>
  <c r="N539" i="8"/>
  <c r="C540" i="8"/>
  <c r="B541" i="8"/>
  <c r="L539" i="8" l="1"/>
  <c r="W538" i="8"/>
  <c r="AB538" i="8" s="1"/>
  <c r="Z538" i="8"/>
  <c r="AC538" i="8" s="1"/>
  <c r="J539" i="8"/>
  <c r="K539" i="8"/>
  <c r="T538" i="8"/>
  <c r="AA538" i="8" s="1"/>
  <c r="N540" i="8"/>
  <c r="B542" i="8"/>
  <c r="C541" i="8"/>
  <c r="L540" i="8" l="1"/>
  <c r="J540" i="8"/>
  <c r="T539" i="8"/>
  <c r="AA539" i="8" s="1"/>
  <c r="Z539" i="8"/>
  <c r="AC539" i="8" s="1"/>
  <c r="W539" i="8"/>
  <c r="AB539" i="8" s="1"/>
  <c r="K540" i="8"/>
  <c r="N541" i="8"/>
  <c r="C542" i="8"/>
  <c r="B543" i="8"/>
  <c r="L541" i="8" l="1"/>
  <c r="J541" i="8"/>
  <c r="Z540" i="8"/>
  <c r="AC540" i="8" s="1"/>
  <c r="W540" i="8"/>
  <c r="AB540" i="8" s="1"/>
  <c r="K541" i="8"/>
  <c r="T540" i="8"/>
  <c r="AA540" i="8" s="1"/>
  <c r="N542" i="8"/>
  <c r="B544" i="8"/>
  <c r="C543" i="8"/>
  <c r="L542" i="8" l="1"/>
  <c r="K542" i="8"/>
  <c r="J542" i="8"/>
  <c r="Z541" i="8"/>
  <c r="AC541" i="8" s="1"/>
  <c r="T541" i="8"/>
  <c r="AA541" i="8" s="1"/>
  <c r="W541" i="8"/>
  <c r="AB541" i="8" s="1"/>
  <c r="N543" i="8"/>
  <c r="B545" i="8"/>
  <c r="C544" i="8"/>
  <c r="J543" i="8" l="1"/>
  <c r="L543" i="8"/>
  <c r="K543" i="8"/>
  <c r="T542" i="8"/>
  <c r="AA542" i="8" s="1"/>
  <c r="W542" i="8"/>
  <c r="AB542" i="8" s="1"/>
  <c r="Z542" i="8"/>
  <c r="AC542" i="8" s="1"/>
  <c r="N544" i="8"/>
  <c r="B546" i="8"/>
  <c r="C545" i="8"/>
  <c r="L544" i="8" l="1"/>
  <c r="J544" i="8"/>
  <c r="K544" i="8"/>
  <c r="T543" i="8"/>
  <c r="AA543" i="8" s="1"/>
  <c r="W543" i="8"/>
  <c r="AB543" i="8" s="1"/>
  <c r="Z543" i="8"/>
  <c r="AC543" i="8" s="1"/>
  <c r="N545" i="8"/>
  <c r="B547" i="8"/>
  <c r="C546" i="8"/>
  <c r="Z544" i="8" l="1"/>
  <c r="AC544" i="8" s="1"/>
  <c r="W544" i="8"/>
  <c r="AB544" i="8" s="1"/>
  <c r="L545" i="8"/>
  <c r="J545" i="8"/>
  <c r="K545" i="8"/>
  <c r="T544" i="8"/>
  <c r="AA544" i="8" s="1"/>
  <c r="N546" i="8"/>
  <c r="B548" i="8"/>
  <c r="C547" i="8"/>
  <c r="L546" i="8" l="1"/>
  <c r="J546" i="8"/>
  <c r="W545" i="8"/>
  <c r="AB545" i="8" s="1"/>
  <c r="Z545" i="8"/>
  <c r="AC545" i="8" s="1"/>
  <c r="K546" i="8"/>
  <c r="T545" i="8"/>
  <c r="AA545" i="8" s="1"/>
  <c r="N547" i="8"/>
  <c r="B549" i="8"/>
  <c r="C548" i="8"/>
  <c r="L547" i="8" l="1"/>
  <c r="J547" i="8"/>
  <c r="K547" i="8"/>
  <c r="Z546" i="8"/>
  <c r="AC546" i="8" s="1"/>
  <c r="T546" i="8"/>
  <c r="AA546" i="8" s="1"/>
  <c r="W546" i="8"/>
  <c r="AB546" i="8" s="1"/>
  <c r="N548" i="8"/>
  <c r="B550" i="8"/>
  <c r="C549" i="8"/>
  <c r="L548" i="8" l="1"/>
  <c r="K548" i="8"/>
  <c r="J548" i="8"/>
  <c r="Z547" i="8"/>
  <c r="AC547" i="8" s="1"/>
  <c r="W547" i="8"/>
  <c r="AB547" i="8" s="1"/>
  <c r="T547" i="8"/>
  <c r="AA547" i="8" s="1"/>
  <c r="N549" i="8"/>
  <c r="C550" i="8"/>
  <c r="B551" i="8"/>
  <c r="L549" i="8" l="1"/>
  <c r="J549" i="8"/>
  <c r="W548" i="8"/>
  <c r="AB548" i="8" s="1"/>
  <c r="K549" i="8"/>
  <c r="T548" i="8"/>
  <c r="AA548" i="8" s="1"/>
  <c r="Z548" i="8"/>
  <c r="AC548" i="8" s="1"/>
  <c r="N550" i="8"/>
  <c r="B552" i="8"/>
  <c r="C551" i="8"/>
  <c r="K550" i="8" l="1"/>
  <c r="L550" i="8"/>
  <c r="J550" i="8"/>
  <c r="W549" i="8"/>
  <c r="AB549" i="8" s="1"/>
  <c r="Z549" i="8"/>
  <c r="AC549" i="8" s="1"/>
  <c r="T549" i="8"/>
  <c r="AA549" i="8" s="1"/>
  <c r="N551" i="8"/>
  <c r="B553" i="8"/>
  <c r="C552" i="8"/>
  <c r="L551" i="8" l="1"/>
  <c r="K551" i="8"/>
  <c r="J551" i="8"/>
  <c r="T550" i="8"/>
  <c r="AA550" i="8" s="1"/>
  <c r="W550" i="8"/>
  <c r="AB550" i="8" s="1"/>
  <c r="Z550" i="8"/>
  <c r="AC550" i="8" s="1"/>
  <c r="N552" i="8"/>
  <c r="B554" i="8"/>
  <c r="C553" i="8"/>
  <c r="L552" i="8" l="1"/>
  <c r="J552" i="8"/>
  <c r="T551" i="8"/>
  <c r="AA551" i="8" s="1"/>
  <c r="K552" i="8"/>
  <c r="W551" i="8"/>
  <c r="AB551" i="8" s="1"/>
  <c r="Z551" i="8"/>
  <c r="AC551" i="8" s="1"/>
  <c r="N553" i="8"/>
  <c r="C554" i="8"/>
  <c r="B555" i="8"/>
  <c r="Z552" i="8" l="1"/>
  <c r="AC552" i="8" s="1"/>
  <c r="J553" i="8"/>
  <c r="K553" i="8"/>
  <c r="T552" i="8"/>
  <c r="AA552" i="8" s="1"/>
  <c r="L553" i="8"/>
  <c r="W552" i="8"/>
  <c r="AB552" i="8" s="1"/>
  <c r="N554" i="8"/>
  <c r="B556" i="8"/>
  <c r="C555" i="8"/>
  <c r="L554" i="8" l="1"/>
  <c r="J554" i="8"/>
  <c r="Z553" i="8"/>
  <c r="AC553" i="8" s="1"/>
  <c r="W553" i="8"/>
  <c r="AB553" i="8" s="1"/>
  <c r="K554" i="8"/>
  <c r="T553" i="8"/>
  <c r="AA553" i="8" s="1"/>
  <c r="N555" i="8"/>
  <c r="C556" i="8"/>
  <c r="B557" i="8"/>
  <c r="L555" i="8" l="1"/>
  <c r="K555" i="8"/>
  <c r="J555" i="8"/>
  <c r="Z554" i="8"/>
  <c r="AC554" i="8" s="1"/>
  <c r="W554" i="8"/>
  <c r="AB554" i="8" s="1"/>
  <c r="T554" i="8"/>
  <c r="AA554" i="8" s="1"/>
  <c r="N556" i="8"/>
  <c r="B558" i="8"/>
  <c r="C557" i="8"/>
  <c r="L556" i="8" l="1"/>
  <c r="J556" i="8"/>
  <c r="Z555" i="8"/>
  <c r="AC555" i="8" s="1"/>
  <c r="W555" i="8"/>
  <c r="AB555" i="8" s="1"/>
  <c r="K556" i="8"/>
  <c r="T555" i="8"/>
  <c r="AA555" i="8" s="1"/>
  <c r="N557" i="8"/>
  <c r="C558" i="8"/>
  <c r="B559" i="8"/>
  <c r="J557" i="8" l="1"/>
  <c r="K557" i="8"/>
  <c r="L557" i="8"/>
  <c r="Z556" i="8"/>
  <c r="AC556" i="8" s="1"/>
  <c r="W556" i="8"/>
  <c r="AB556" i="8" s="1"/>
  <c r="T556" i="8"/>
  <c r="AA556" i="8" s="1"/>
  <c r="N558" i="8"/>
  <c r="B560" i="8"/>
  <c r="C559" i="8"/>
  <c r="K558" i="8" l="1"/>
  <c r="Z557" i="8"/>
  <c r="AC557" i="8" s="1"/>
  <c r="J558" i="8"/>
  <c r="W557" i="8"/>
  <c r="AB557" i="8" s="1"/>
  <c r="L558" i="8"/>
  <c r="T557" i="8"/>
  <c r="AA557" i="8" s="1"/>
  <c r="N559" i="8"/>
  <c r="B561" i="8"/>
  <c r="C560" i="8"/>
  <c r="L559" i="8" l="1"/>
  <c r="J559" i="8"/>
  <c r="K559" i="8"/>
  <c r="T558" i="8"/>
  <c r="AA558" i="8" s="1"/>
  <c r="W558" i="8"/>
  <c r="AB558" i="8" s="1"/>
  <c r="Z558" i="8"/>
  <c r="AC558" i="8" s="1"/>
  <c r="N560" i="8"/>
  <c r="B562" i="8"/>
  <c r="C561" i="8"/>
  <c r="L560" i="8" l="1"/>
  <c r="J560" i="8"/>
  <c r="T559" i="8"/>
  <c r="AA559" i="8" s="1"/>
  <c r="K560" i="8"/>
  <c r="W559" i="8"/>
  <c r="AB559" i="8" s="1"/>
  <c r="Z559" i="8"/>
  <c r="AC559" i="8" s="1"/>
  <c r="N561" i="8"/>
  <c r="B563" i="8"/>
  <c r="C562" i="8"/>
  <c r="Z560" i="8" l="1"/>
  <c r="AC560" i="8" s="1"/>
  <c r="W560" i="8"/>
  <c r="AB560" i="8" s="1"/>
  <c r="J561" i="8"/>
  <c r="L561" i="8"/>
  <c r="K561" i="8"/>
  <c r="T560" i="8"/>
  <c r="AA560" i="8" s="1"/>
  <c r="N562" i="8"/>
  <c r="B564" i="8"/>
  <c r="C563" i="8"/>
  <c r="L562" i="8" l="1"/>
  <c r="K562" i="8"/>
  <c r="J562" i="8"/>
  <c r="Z561" i="8"/>
  <c r="AC561" i="8" s="1"/>
  <c r="T561" i="8"/>
  <c r="AA561" i="8" s="1"/>
  <c r="W561" i="8"/>
  <c r="AB561" i="8" s="1"/>
  <c r="N563" i="8"/>
  <c r="B565" i="8"/>
  <c r="C564" i="8"/>
  <c r="K563" i="8" l="1"/>
  <c r="J563" i="8"/>
  <c r="L563" i="8"/>
  <c r="Z562" i="8"/>
  <c r="AC562" i="8" s="1"/>
  <c r="W562" i="8"/>
  <c r="AB562" i="8" s="1"/>
  <c r="T562" i="8"/>
  <c r="AA562" i="8" s="1"/>
  <c r="N564" i="8"/>
  <c r="B566" i="8"/>
  <c r="C565" i="8"/>
  <c r="L564" i="8" l="1"/>
  <c r="K564" i="8"/>
  <c r="J564" i="8"/>
  <c r="Z563" i="8"/>
  <c r="AC563" i="8" s="1"/>
  <c r="W563" i="8"/>
  <c r="AB563" i="8" s="1"/>
  <c r="T563" i="8"/>
  <c r="AA563" i="8" s="1"/>
  <c r="N565" i="8"/>
  <c r="C566" i="8"/>
  <c r="B567" i="8"/>
  <c r="L565" i="8" l="1"/>
  <c r="K565" i="8"/>
  <c r="J565" i="8"/>
  <c r="W564" i="8"/>
  <c r="AB564" i="8" s="1"/>
  <c r="Z564" i="8"/>
  <c r="AC564" i="8" s="1"/>
  <c r="T564" i="8"/>
  <c r="AA564" i="8" s="1"/>
  <c r="N566" i="8"/>
  <c r="B568" i="8"/>
  <c r="C567" i="8"/>
  <c r="L566" i="8" l="1"/>
  <c r="J566" i="8"/>
  <c r="K566" i="8"/>
  <c r="Z565" i="8"/>
  <c r="AC565" i="8" s="1"/>
  <c r="W565" i="8"/>
  <c r="AB565" i="8" s="1"/>
  <c r="T565" i="8"/>
  <c r="AA565" i="8" s="1"/>
  <c r="N567" i="8"/>
  <c r="C568" i="8"/>
  <c r="B569" i="8"/>
  <c r="L567" i="8" l="1"/>
  <c r="J567" i="8"/>
  <c r="K567" i="8"/>
  <c r="T566" i="8"/>
  <c r="AA566" i="8" s="1"/>
  <c r="W566" i="8"/>
  <c r="AB566" i="8" s="1"/>
  <c r="Z566" i="8"/>
  <c r="AC566" i="8" s="1"/>
  <c r="N568" i="8"/>
  <c r="B570" i="8"/>
  <c r="C569" i="8"/>
  <c r="L568" i="8" l="1"/>
  <c r="J568" i="8"/>
  <c r="K568" i="8"/>
  <c r="T567" i="8"/>
  <c r="AA567" i="8" s="1"/>
  <c r="W567" i="8"/>
  <c r="AB567" i="8" s="1"/>
  <c r="Z567" i="8"/>
  <c r="AC567" i="8" s="1"/>
  <c r="N569" i="8"/>
  <c r="C570" i="8"/>
  <c r="B571" i="8"/>
  <c r="Z568" i="8" l="1"/>
  <c r="AC568" i="8" s="1"/>
  <c r="L569" i="8"/>
  <c r="K569" i="8"/>
  <c r="J569" i="8"/>
  <c r="W568" i="8"/>
  <c r="AB568" i="8" s="1"/>
  <c r="T568" i="8"/>
  <c r="AA568" i="8" s="1"/>
  <c r="N570" i="8"/>
  <c r="B572" i="8"/>
  <c r="C571" i="8"/>
  <c r="K570" i="8" l="1"/>
  <c r="Z569" i="8"/>
  <c r="AC569" i="8" s="1"/>
  <c r="J570" i="8"/>
  <c r="L570" i="8"/>
  <c r="T569" i="8"/>
  <c r="AA569" i="8" s="1"/>
  <c r="W569" i="8"/>
  <c r="AB569" i="8" s="1"/>
  <c r="N571" i="8"/>
  <c r="C572" i="8"/>
  <c r="B573" i="8"/>
  <c r="L571" i="8" l="1"/>
  <c r="Z570" i="8"/>
  <c r="AC570" i="8" s="1"/>
  <c r="J571" i="8"/>
  <c r="K571" i="8"/>
  <c r="T570" i="8"/>
  <c r="AA570" i="8" s="1"/>
  <c r="W570" i="8"/>
  <c r="AB570" i="8" s="1"/>
  <c r="N572" i="8"/>
  <c r="B574" i="8"/>
  <c r="C573" i="8"/>
  <c r="Z571" i="8" l="1"/>
  <c r="AC571" i="8" s="1"/>
  <c r="J572" i="8"/>
  <c r="L572" i="8"/>
  <c r="K572" i="8"/>
  <c r="W571" i="8"/>
  <c r="AB571" i="8" s="1"/>
  <c r="T571" i="8"/>
  <c r="AA571" i="8" s="1"/>
  <c r="N573" i="8"/>
  <c r="C574" i="8"/>
  <c r="B575" i="8"/>
  <c r="L573" i="8" l="1"/>
  <c r="J573" i="8"/>
  <c r="K573" i="8"/>
  <c r="Z572" i="8"/>
  <c r="AC572" i="8" s="1"/>
  <c r="W572" i="8"/>
  <c r="AB572" i="8" s="1"/>
  <c r="T572" i="8"/>
  <c r="AA572" i="8" s="1"/>
  <c r="N574" i="8"/>
  <c r="B576" i="8"/>
  <c r="C575" i="8"/>
  <c r="L574" i="8" l="1"/>
  <c r="K574" i="8"/>
  <c r="J574" i="8"/>
  <c r="Z573" i="8"/>
  <c r="AC573" i="8" s="1"/>
  <c r="W573" i="8"/>
  <c r="AB573" i="8" s="1"/>
  <c r="T573" i="8"/>
  <c r="AA573" i="8" s="1"/>
  <c r="N575" i="8"/>
  <c r="B577" i="8"/>
  <c r="C576" i="8"/>
  <c r="J575" i="8" l="1"/>
  <c r="L575" i="8"/>
  <c r="K575" i="8"/>
  <c r="T574" i="8"/>
  <c r="AA574" i="8" s="1"/>
  <c r="W574" i="8"/>
  <c r="AB574" i="8" s="1"/>
  <c r="Z574" i="8"/>
  <c r="AC574" i="8" s="1"/>
  <c r="N576" i="8"/>
  <c r="B578" i="8"/>
  <c r="C577" i="8"/>
  <c r="L576" i="8" l="1"/>
  <c r="K576" i="8"/>
  <c r="J576" i="8"/>
  <c r="T575" i="8"/>
  <c r="AA575" i="8" s="1"/>
  <c r="W575" i="8"/>
  <c r="AB575" i="8" s="1"/>
  <c r="Z575" i="8"/>
  <c r="AC575" i="8" s="1"/>
  <c r="N577" i="8"/>
  <c r="B579" i="8"/>
  <c r="C578" i="8"/>
  <c r="W576" i="8" l="1"/>
  <c r="AB576" i="8" s="1"/>
  <c r="L577" i="8"/>
  <c r="J577" i="8"/>
  <c r="Z576" i="8"/>
  <c r="AC576" i="8" s="1"/>
  <c r="K577" i="8"/>
  <c r="T576" i="8"/>
  <c r="AA576" i="8" s="1"/>
  <c r="N578" i="8"/>
  <c r="B580" i="8"/>
  <c r="C579" i="8"/>
  <c r="J578" i="8" l="1"/>
  <c r="Z577" i="8"/>
  <c r="AC577" i="8" s="1"/>
  <c r="W577" i="8"/>
  <c r="AB577" i="8" s="1"/>
  <c r="L578" i="8"/>
  <c r="K578" i="8"/>
  <c r="T577" i="8"/>
  <c r="AA577" i="8" s="1"/>
  <c r="N579" i="8"/>
  <c r="B581" i="8"/>
  <c r="C580" i="8"/>
  <c r="L579" i="8" l="1"/>
  <c r="K579" i="8"/>
  <c r="J579" i="8"/>
  <c r="W578" i="8"/>
  <c r="AB578" i="8" s="1"/>
  <c r="T578" i="8"/>
  <c r="AA578" i="8" s="1"/>
  <c r="Z578" i="8"/>
  <c r="AC578" i="8" s="1"/>
  <c r="N580" i="8"/>
  <c r="B582" i="8"/>
  <c r="C581" i="8"/>
  <c r="J580" i="8" l="1"/>
  <c r="K580" i="8"/>
  <c r="L580" i="8"/>
  <c r="Z579" i="8"/>
  <c r="AC579" i="8" s="1"/>
  <c r="T579" i="8"/>
  <c r="AA579" i="8" s="1"/>
  <c r="W579" i="8"/>
  <c r="AB579" i="8" s="1"/>
  <c r="N581" i="8"/>
  <c r="C582" i="8"/>
  <c r="B583" i="8"/>
  <c r="K581" i="8" l="1"/>
  <c r="L581" i="8"/>
  <c r="J581" i="8"/>
  <c r="Z580" i="8"/>
  <c r="AC580" i="8" s="1"/>
  <c r="W580" i="8"/>
  <c r="AB580" i="8" s="1"/>
  <c r="T580" i="8"/>
  <c r="AA580" i="8" s="1"/>
  <c r="N582" i="8"/>
  <c r="B584" i="8"/>
  <c r="C583" i="8"/>
  <c r="Z581" i="8" l="1"/>
  <c r="AC581" i="8" s="1"/>
  <c r="L582" i="8"/>
  <c r="K582" i="8"/>
  <c r="J582" i="8"/>
  <c r="W581" i="8"/>
  <c r="AB581" i="8" s="1"/>
  <c r="T581" i="8"/>
  <c r="AA581" i="8" s="1"/>
  <c r="N583" i="8"/>
  <c r="B585" i="8"/>
  <c r="C584" i="8"/>
  <c r="J583" i="8" l="1"/>
  <c r="L583" i="8"/>
  <c r="K583" i="8"/>
  <c r="T582" i="8"/>
  <c r="AA582" i="8" s="1"/>
  <c r="W582" i="8"/>
  <c r="AB582" i="8" s="1"/>
  <c r="Z582" i="8"/>
  <c r="AC582" i="8" s="1"/>
  <c r="N584" i="8"/>
  <c r="B586" i="8"/>
  <c r="C585" i="8"/>
  <c r="J584" i="8" l="1"/>
  <c r="K584" i="8"/>
  <c r="L584" i="8"/>
  <c r="T583" i="8"/>
  <c r="AA583" i="8" s="1"/>
  <c r="W583" i="8"/>
  <c r="AB583" i="8" s="1"/>
  <c r="Z583" i="8"/>
  <c r="AC583" i="8" s="1"/>
  <c r="N585" i="8"/>
  <c r="C586" i="8"/>
  <c r="B587" i="8"/>
  <c r="W584" i="8" l="1"/>
  <c r="AB584" i="8" s="1"/>
  <c r="J585" i="8"/>
  <c r="L585" i="8"/>
  <c r="K585" i="8"/>
  <c r="Z584" i="8"/>
  <c r="AC584" i="8" s="1"/>
  <c r="T584" i="8"/>
  <c r="AA584" i="8" s="1"/>
  <c r="N586" i="8"/>
  <c r="B588" i="8"/>
  <c r="C587" i="8"/>
  <c r="K586" i="8" l="1"/>
  <c r="L586" i="8"/>
  <c r="J586" i="8"/>
  <c r="W585" i="8"/>
  <c r="AB585" i="8" s="1"/>
  <c r="Z585" i="8"/>
  <c r="AC585" i="8" s="1"/>
  <c r="T585" i="8"/>
  <c r="AA585" i="8" s="1"/>
  <c r="N587" i="8"/>
  <c r="C588" i="8"/>
  <c r="B589" i="8"/>
  <c r="Z586" i="8" l="1"/>
  <c r="AC586" i="8" s="1"/>
  <c r="K587" i="8"/>
  <c r="L587" i="8"/>
  <c r="W586" i="8"/>
  <c r="AB586" i="8" s="1"/>
  <c r="J587" i="8"/>
  <c r="T586" i="8"/>
  <c r="AA586" i="8" s="1"/>
  <c r="N588" i="8"/>
  <c r="B590" i="8"/>
  <c r="C589" i="8"/>
  <c r="L588" i="8" l="1"/>
  <c r="J588" i="8"/>
  <c r="K588" i="8"/>
  <c r="Z587" i="8"/>
  <c r="AC587" i="8" s="1"/>
  <c r="T587" i="8"/>
  <c r="AA587" i="8" s="1"/>
  <c r="W587" i="8"/>
  <c r="AB587" i="8" s="1"/>
  <c r="N589" i="8"/>
  <c r="C590" i="8"/>
  <c r="B591" i="8"/>
  <c r="L589" i="8" l="1"/>
  <c r="K589" i="8"/>
  <c r="J589" i="8"/>
  <c r="T588" i="8"/>
  <c r="AA588" i="8" s="1"/>
  <c r="Z588" i="8"/>
  <c r="AC588" i="8" s="1"/>
  <c r="W588" i="8"/>
  <c r="AB588" i="8" s="1"/>
  <c r="N590" i="8"/>
  <c r="B592" i="8"/>
  <c r="C591" i="8"/>
  <c r="L590" i="8" l="1"/>
  <c r="J590" i="8"/>
  <c r="K590" i="8"/>
  <c r="W589" i="8"/>
  <c r="AB589" i="8" s="1"/>
  <c r="Z589" i="8"/>
  <c r="AC589" i="8" s="1"/>
  <c r="T589" i="8"/>
  <c r="AA589" i="8" s="1"/>
  <c r="N591" i="8"/>
  <c r="C592" i="8"/>
  <c r="B593" i="8"/>
  <c r="L591" i="8" l="1"/>
  <c r="J591" i="8"/>
  <c r="K591" i="8"/>
  <c r="T590" i="8"/>
  <c r="AA590" i="8" s="1"/>
  <c r="W590" i="8"/>
  <c r="AB590" i="8" s="1"/>
  <c r="Z590" i="8"/>
  <c r="AC590" i="8" s="1"/>
  <c r="N592" i="8"/>
  <c r="B594" i="8"/>
  <c r="C593" i="8"/>
  <c r="L592" i="8" l="1"/>
  <c r="K592" i="8"/>
  <c r="J592" i="8"/>
  <c r="T591" i="8"/>
  <c r="AA591" i="8" s="1"/>
  <c r="W591" i="8"/>
  <c r="AB591" i="8" s="1"/>
  <c r="Z591" i="8"/>
  <c r="AC591" i="8" s="1"/>
  <c r="N593" i="8"/>
  <c r="C594" i="8"/>
  <c r="B595" i="8"/>
  <c r="L593" i="8" l="1"/>
  <c r="J593" i="8"/>
  <c r="Z592" i="8"/>
  <c r="AC592" i="8" s="1"/>
  <c r="W592" i="8"/>
  <c r="AB592" i="8" s="1"/>
  <c r="K593" i="8"/>
  <c r="T592" i="8"/>
  <c r="AA592" i="8" s="1"/>
  <c r="N594" i="8"/>
  <c r="B596" i="8"/>
  <c r="C595" i="8"/>
  <c r="L594" i="8" l="1"/>
  <c r="K594" i="8"/>
  <c r="J594" i="8"/>
  <c r="W593" i="8"/>
  <c r="AB593" i="8" s="1"/>
  <c r="Z593" i="8"/>
  <c r="AC593" i="8" s="1"/>
  <c r="T593" i="8"/>
  <c r="AA593" i="8" s="1"/>
  <c r="N595" i="8"/>
  <c r="C596" i="8"/>
  <c r="B597" i="8"/>
  <c r="Z594" i="8" l="1"/>
  <c r="AC594" i="8" s="1"/>
  <c r="K595" i="8"/>
  <c r="L595" i="8"/>
  <c r="J595" i="8"/>
  <c r="W594" i="8"/>
  <c r="AB594" i="8" s="1"/>
  <c r="T594" i="8"/>
  <c r="AA594" i="8" s="1"/>
  <c r="N596" i="8"/>
  <c r="B598" i="8"/>
  <c r="C597" i="8"/>
  <c r="J596" i="8" l="1"/>
  <c r="T595" i="8"/>
  <c r="AA595" i="8" s="1"/>
  <c r="Z595" i="8"/>
  <c r="AC595" i="8" s="1"/>
  <c r="L596" i="8"/>
  <c r="K596" i="8"/>
  <c r="W595" i="8"/>
  <c r="AB595" i="8" s="1"/>
  <c r="N597" i="8"/>
  <c r="C598" i="8"/>
  <c r="B599" i="8"/>
  <c r="L597" i="8" l="1"/>
  <c r="J597" i="8"/>
  <c r="K597" i="8"/>
  <c r="Z596" i="8"/>
  <c r="AC596" i="8" s="1"/>
  <c r="T596" i="8"/>
  <c r="AA596" i="8" s="1"/>
  <c r="W596" i="8"/>
  <c r="AB596" i="8" s="1"/>
  <c r="N598" i="8"/>
  <c r="B600" i="8"/>
  <c r="C599" i="8"/>
  <c r="L598" i="8" l="1"/>
  <c r="Z597" i="8"/>
  <c r="AC597" i="8" s="1"/>
  <c r="J598" i="8"/>
  <c r="W597" i="8"/>
  <c r="AB597" i="8" s="1"/>
  <c r="K598" i="8"/>
  <c r="T597" i="8"/>
  <c r="AA597" i="8" s="1"/>
  <c r="N599" i="8"/>
  <c r="C600" i="8"/>
  <c r="B601" i="8"/>
  <c r="L599" i="8" l="1"/>
  <c r="K599" i="8"/>
  <c r="J599" i="8"/>
  <c r="T598" i="8"/>
  <c r="AA598" i="8" s="1"/>
  <c r="W598" i="8"/>
  <c r="AB598" i="8" s="1"/>
  <c r="Z598" i="8"/>
  <c r="AC598" i="8" s="1"/>
  <c r="N600" i="8"/>
  <c r="B602" i="8"/>
  <c r="C601" i="8"/>
  <c r="L600" i="8" l="1"/>
  <c r="K600" i="8"/>
  <c r="J600" i="8"/>
  <c r="T599" i="8"/>
  <c r="AA599" i="8" s="1"/>
  <c r="W599" i="8"/>
  <c r="AB599" i="8" s="1"/>
  <c r="Z599" i="8"/>
  <c r="AC599" i="8" s="1"/>
  <c r="N601" i="8"/>
  <c r="C602" i="8"/>
  <c r="B603" i="8"/>
  <c r="Z600" i="8" l="1"/>
  <c r="AC600" i="8" s="1"/>
  <c r="L601" i="8"/>
  <c r="K601" i="8"/>
  <c r="J601" i="8"/>
  <c r="T600" i="8"/>
  <c r="AA600" i="8" s="1"/>
  <c r="W600" i="8"/>
  <c r="AB600" i="8" s="1"/>
  <c r="N602" i="8"/>
  <c r="B604" i="8"/>
  <c r="C603" i="8"/>
  <c r="J602" i="8" l="1"/>
  <c r="L602" i="8"/>
  <c r="K602" i="8"/>
  <c r="W601" i="8"/>
  <c r="AB601" i="8" s="1"/>
  <c r="Z601" i="8"/>
  <c r="AC601" i="8" s="1"/>
  <c r="T601" i="8"/>
  <c r="AA601" i="8" s="1"/>
  <c r="N603" i="8"/>
  <c r="C604" i="8"/>
  <c r="B605" i="8"/>
  <c r="L603" i="8" l="1"/>
  <c r="K603" i="8"/>
  <c r="J603" i="8"/>
  <c r="Z602" i="8"/>
  <c r="AC602" i="8" s="1"/>
  <c r="T602" i="8"/>
  <c r="AA602" i="8" s="1"/>
  <c r="W602" i="8"/>
  <c r="AB602" i="8" s="1"/>
  <c r="N604" i="8"/>
  <c r="B606" i="8"/>
  <c r="C605" i="8"/>
  <c r="K604" i="8" l="1"/>
  <c r="J604" i="8"/>
  <c r="Z603" i="8"/>
  <c r="AC603" i="8" s="1"/>
  <c r="L604" i="8"/>
  <c r="T603" i="8"/>
  <c r="AA603" i="8" s="1"/>
  <c r="W603" i="8"/>
  <c r="AB603" i="8" s="1"/>
  <c r="N605" i="8"/>
  <c r="C606" i="8"/>
  <c r="B607" i="8"/>
  <c r="L605" i="8" l="1"/>
  <c r="K605" i="8"/>
  <c r="J605" i="8"/>
  <c r="Z604" i="8"/>
  <c r="AC604" i="8" s="1"/>
  <c r="W604" i="8"/>
  <c r="AB604" i="8" s="1"/>
  <c r="T604" i="8"/>
  <c r="AA604" i="8" s="1"/>
  <c r="N606" i="8"/>
  <c r="B608" i="8"/>
  <c r="C607" i="8"/>
  <c r="Z605" i="8" l="1"/>
  <c r="AC605" i="8" s="1"/>
  <c r="J606" i="8"/>
  <c r="L606" i="8"/>
  <c r="K606" i="8"/>
  <c r="W605" i="8"/>
  <c r="AB605" i="8" s="1"/>
  <c r="T605" i="8"/>
  <c r="AA605" i="8" s="1"/>
  <c r="N607" i="8"/>
  <c r="C608" i="8"/>
  <c r="B609" i="8"/>
  <c r="L607" i="8" l="1"/>
  <c r="J607" i="8"/>
  <c r="K607" i="8"/>
  <c r="T606" i="8"/>
  <c r="AA606" i="8" s="1"/>
  <c r="W606" i="8"/>
  <c r="AB606" i="8" s="1"/>
  <c r="Z606" i="8"/>
  <c r="AC606" i="8" s="1"/>
  <c r="N608" i="8"/>
  <c r="B610" i="8"/>
  <c r="C609" i="8"/>
  <c r="J608" i="8" l="1"/>
  <c r="L608" i="8"/>
  <c r="K608" i="8"/>
  <c r="T607" i="8"/>
  <c r="AA607" i="8" s="1"/>
  <c r="W607" i="8"/>
  <c r="AB607" i="8" s="1"/>
  <c r="Z607" i="8"/>
  <c r="AC607" i="8" s="1"/>
  <c r="N609" i="8"/>
  <c r="C610" i="8"/>
  <c r="B611" i="8"/>
  <c r="Z608" i="8" l="1"/>
  <c r="AC608" i="8" s="1"/>
  <c r="L609" i="8"/>
  <c r="W608" i="8"/>
  <c r="AB608" i="8" s="1"/>
  <c r="J609" i="8"/>
  <c r="K609" i="8"/>
  <c r="T608" i="8"/>
  <c r="AA608" i="8" s="1"/>
  <c r="N610" i="8"/>
  <c r="B612" i="8"/>
  <c r="C611" i="8"/>
  <c r="Z609" i="8" l="1"/>
  <c r="AC609" i="8" s="1"/>
  <c r="J610" i="8"/>
  <c r="L610" i="8"/>
  <c r="K610" i="8"/>
  <c r="W609" i="8"/>
  <c r="AB609" i="8" s="1"/>
  <c r="T609" i="8"/>
  <c r="AA609" i="8" s="1"/>
  <c r="N611" i="8"/>
  <c r="C612" i="8"/>
  <c r="B613" i="8"/>
  <c r="L611" i="8" l="1"/>
  <c r="Z610" i="8"/>
  <c r="AC610" i="8" s="1"/>
  <c r="J611" i="8"/>
  <c r="K611" i="8"/>
  <c r="W610" i="8"/>
  <c r="AB610" i="8" s="1"/>
  <c r="T610" i="8"/>
  <c r="AA610" i="8" s="1"/>
  <c r="N612" i="8"/>
  <c r="B614" i="8"/>
  <c r="C613" i="8"/>
  <c r="Z611" i="8" l="1"/>
  <c r="AC611" i="8" s="1"/>
  <c r="J612" i="8"/>
  <c r="L612" i="8"/>
  <c r="K612" i="8"/>
  <c r="T611" i="8"/>
  <c r="AA611" i="8" s="1"/>
  <c r="W611" i="8"/>
  <c r="AB611" i="8" s="1"/>
  <c r="N613" i="8"/>
  <c r="C614" i="8"/>
  <c r="B615" i="8"/>
  <c r="K613" i="8" l="1"/>
  <c r="L613" i="8"/>
  <c r="J613" i="8"/>
  <c r="Z612" i="8"/>
  <c r="AC612" i="8" s="1"/>
  <c r="W612" i="8"/>
  <c r="AB612" i="8" s="1"/>
  <c r="T612" i="8"/>
  <c r="AA612" i="8" s="1"/>
  <c r="N614" i="8"/>
  <c r="B616" i="8"/>
  <c r="C615" i="8"/>
  <c r="Z613" i="8" l="1"/>
  <c r="AC613" i="8" s="1"/>
  <c r="L614" i="8"/>
  <c r="K614" i="8"/>
  <c r="J614" i="8"/>
  <c r="W613" i="8"/>
  <c r="AB613" i="8" s="1"/>
  <c r="T613" i="8"/>
  <c r="AA613" i="8" s="1"/>
  <c r="N615" i="8"/>
  <c r="C616" i="8"/>
  <c r="B617" i="8"/>
  <c r="J615" i="8" l="1"/>
  <c r="L615" i="8"/>
  <c r="K615" i="8"/>
  <c r="T614" i="8"/>
  <c r="AA614" i="8" s="1"/>
  <c r="W614" i="8"/>
  <c r="AB614" i="8" s="1"/>
  <c r="Z614" i="8"/>
  <c r="AC614" i="8" s="1"/>
  <c r="N616" i="8"/>
  <c r="B618" i="8"/>
  <c r="C617" i="8"/>
  <c r="L616" i="8" l="1"/>
  <c r="K616" i="8"/>
  <c r="J616" i="8"/>
  <c r="T615" i="8"/>
  <c r="AA615" i="8" s="1"/>
  <c r="W615" i="8"/>
  <c r="AB615" i="8" s="1"/>
  <c r="Z615" i="8"/>
  <c r="AC615" i="8" s="1"/>
  <c r="N617" i="8"/>
  <c r="C618" i="8"/>
  <c r="B619" i="8"/>
  <c r="W616" i="8" l="1"/>
  <c r="AB616" i="8" s="1"/>
  <c r="K617" i="8"/>
  <c r="L617" i="8"/>
  <c r="J617" i="8"/>
  <c r="T616" i="8"/>
  <c r="AA616" i="8" s="1"/>
  <c r="Z616" i="8"/>
  <c r="AC616" i="8" s="1"/>
  <c r="N618" i="8"/>
  <c r="B620" i="8"/>
  <c r="C619" i="8"/>
  <c r="Z617" i="8" l="1"/>
  <c r="AC617" i="8" s="1"/>
  <c r="J618" i="8"/>
  <c r="W617" i="8"/>
  <c r="AB617" i="8" s="1"/>
  <c r="L618" i="8"/>
  <c r="K618" i="8"/>
  <c r="T617" i="8"/>
  <c r="AA617" i="8" s="1"/>
  <c r="N619" i="8"/>
  <c r="C620" i="8"/>
  <c r="B621" i="8"/>
  <c r="L619" i="8" l="1"/>
  <c r="Z618" i="8"/>
  <c r="AC618" i="8" s="1"/>
  <c r="J619" i="8"/>
  <c r="W618" i="8"/>
  <c r="AB618" i="8" s="1"/>
  <c r="K619" i="8"/>
  <c r="T618" i="8"/>
  <c r="AA618" i="8" s="1"/>
  <c r="N620" i="8"/>
  <c r="B622" i="8"/>
  <c r="C621" i="8"/>
  <c r="J620" i="8" l="1"/>
  <c r="Z619" i="8"/>
  <c r="AC619" i="8" s="1"/>
  <c r="L620" i="8"/>
  <c r="K620" i="8"/>
  <c r="T619" i="8"/>
  <c r="AA619" i="8" s="1"/>
  <c r="W619" i="8"/>
  <c r="AB619" i="8" s="1"/>
  <c r="N621" i="8"/>
  <c r="C622" i="8"/>
  <c r="B623" i="8"/>
  <c r="L621" i="8" l="1"/>
  <c r="K621" i="8"/>
  <c r="J621" i="8"/>
  <c r="Z620" i="8"/>
  <c r="AC620" i="8" s="1"/>
  <c r="W620" i="8"/>
  <c r="AB620" i="8" s="1"/>
  <c r="T620" i="8"/>
  <c r="AA620" i="8" s="1"/>
  <c r="N622" i="8"/>
  <c r="B624" i="8"/>
  <c r="C623" i="8"/>
  <c r="Z621" i="8" l="1"/>
  <c r="AC621" i="8" s="1"/>
  <c r="K622" i="8"/>
  <c r="J622" i="8"/>
  <c r="L622" i="8"/>
  <c r="W621" i="8"/>
  <c r="AB621" i="8" s="1"/>
  <c r="T621" i="8"/>
  <c r="AA621" i="8" s="1"/>
  <c r="N623" i="8"/>
  <c r="C624" i="8"/>
  <c r="B625" i="8"/>
  <c r="J623" i="8" l="1"/>
  <c r="L623" i="8"/>
  <c r="K623" i="8"/>
  <c r="T622" i="8"/>
  <c r="AA622" i="8" s="1"/>
  <c r="W622" i="8"/>
  <c r="AB622" i="8" s="1"/>
  <c r="Z622" i="8"/>
  <c r="AC622" i="8" s="1"/>
  <c r="N624" i="8"/>
  <c r="B626" i="8"/>
  <c r="C625" i="8"/>
  <c r="L624" i="8" l="1"/>
  <c r="J624" i="8"/>
  <c r="K624" i="8"/>
  <c r="T623" i="8"/>
  <c r="AA623" i="8" s="1"/>
  <c r="W623" i="8"/>
  <c r="AB623" i="8" s="1"/>
  <c r="Z623" i="8"/>
  <c r="AC623" i="8" s="1"/>
  <c r="N625" i="8"/>
  <c r="C626" i="8"/>
  <c r="B627" i="8"/>
  <c r="L625" i="8" l="1"/>
  <c r="J625" i="8"/>
  <c r="Z624" i="8"/>
  <c r="AC624" i="8" s="1"/>
  <c r="K625" i="8"/>
  <c r="W624" i="8"/>
  <c r="AB624" i="8" s="1"/>
  <c r="T624" i="8"/>
  <c r="AA624" i="8" s="1"/>
  <c r="N626" i="8"/>
  <c r="B628" i="8"/>
  <c r="C627" i="8"/>
  <c r="Z625" i="8" l="1"/>
  <c r="AC625" i="8" s="1"/>
  <c r="J626" i="8"/>
  <c r="L626" i="8"/>
  <c r="K626" i="8"/>
  <c r="T625" i="8"/>
  <c r="AA625" i="8" s="1"/>
  <c r="W625" i="8"/>
  <c r="AB625" i="8" s="1"/>
  <c r="N627" i="8"/>
  <c r="C628" i="8"/>
  <c r="B629" i="8"/>
  <c r="L627" i="8" l="1"/>
  <c r="J627" i="8"/>
  <c r="K627" i="8"/>
  <c r="Z626" i="8"/>
  <c r="AC626" i="8" s="1"/>
  <c r="T626" i="8"/>
  <c r="AA626" i="8" s="1"/>
  <c r="W626" i="8"/>
  <c r="AB626" i="8" s="1"/>
  <c r="N628" i="8"/>
  <c r="B630" i="8"/>
  <c r="C629" i="8"/>
  <c r="Z627" i="8" l="1"/>
  <c r="AC627" i="8" s="1"/>
  <c r="J628" i="8"/>
  <c r="K628" i="8"/>
  <c r="L628" i="8"/>
  <c r="W627" i="8"/>
  <c r="AB627" i="8" s="1"/>
  <c r="T627" i="8"/>
  <c r="AA627" i="8" s="1"/>
  <c r="N629" i="8"/>
  <c r="C630" i="8"/>
  <c r="B631" i="8"/>
  <c r="L629" i="8" l="1"/>
  <c r="K629" i="8"/>
  <c r="J629" i="8"/>
  <c r="Z628" i="8"/>
  <c r="AC628" i="8" s="1"/>
  <c r="T628" i="8"/>
  <c r="AA628" i="8" s="1"/>
  <c r="W628" i="8"/>
  <c r="AB628" i="8" s="1"/>
  <c r="N630" i="8"/>
  <c r="B632" i="8"/>
  <c r="C631" i="8"/>
  <c r="Z629" i="8" l="1"/>
  <c r="AC629" i="8" s="1"/>
  <c r="L630" i="8"/>
  <c r="K630" i="8"/>
  <c r="W629" i="8"/>
  <c r="AB629" i="8" s="1"/>
  <c r="J630" i="8"/>
  <c r="T629" i="8"/>
  <c r="AA629" i="8" s="1"/>
  <c r="N631" i="8"/>
  <c r="C632" i="8"/>
  <c r="B633" i="8"/>
  <c r="L631" i="8" l="1"/>
  <c r="J631" i="8"/>
  <c r="K631" i="8"/>
  <c r="T630" i="8"/>
  <c r="AA630" i="8" s="1"/>
  <c r="W630" i="8"/>
  <c r="AB630" i="8" s="1"/>
  <c r="Z630" i="8"/>
  <c r="AC630" i="8" s="1"/>
  <c r="N632" i="8"/>
  <c r="B634" i="8"/>
  <c r="C633" i="8"/>
  <c r="L632" i="8" l="1"/>
  <c r="J632" i="8"/>
  <c r="K632" i="8"/>
  <c r="T631" i="8"/>
  <c r="AA631" i="8" s="1"/>
  <c r="W631" i="8"/>
  <c r="AB631" i="8" s="1"/>
  <c r="Z631" i="8"/>
  <c r="AC631" i="8" s="1"/>
  <c r="N633" i="8"/>
  <c r="C634" i="8"/>
  <c r="B635" i="8"/>
  <c r="Z632" i="8" l="1"/>
  <c r="AC632" i="8" s="1"/>
  <c r="L633" i="8"/>
  <c r="K633" i="8"/>
  <c r="J633" i="8"/>
  <c r="T632" i="8"/>
  <c r="AA632" i="8" s="1"/>
  <c r="W632" i="8"/>
  <c r="AB632" i="8" s="1"/>
  <c r="N634" i="8"/>
  <c r="C635" i="8"/>
  <c r="B636" i="8"/>
  <c r="Z633" i="8" l="1"/>
  <c r="AC633" i="8" s="1"/>
  <c r="K634" i="8"/>
  <c r="L634" i="8"/>
  <c r="J634" i="8"/>
  <c r="W633" i="8"/>
  <c r="AB633" i="8" s="1"/>
  <c r="T633" i="8"/>
  <c r="AA633" i="8" s="1"/>
  <c r="N635" i="8"/>
  <c r="C636" i="8"/>
  <c r="B637" i="8"/>
  <c r="Z634" i="8" l="1"/>
  <c r="AC634" i="8" s="1"/>
  <c r="J635" i="8"/>
  <c r="W634" i="8"/>
  <c r="AB634" i="8" s="1"/>
  <c r="K635" i="8"/>
  <c r="L635" i="8"/>
  <c r="T634" i="8"/>
  <c r="AA634" i="8" s="1"/>
  <c r="N636" i="8"/>
  <c r="C637" i="8"/>
  <c r="B638" i="8"/>
  <c r="L636" i="8" l="1"/>
  <c r="K636" i="8"/>
  <c r="J636" i="8"/>
  <c r="Z635" i="8"/>
  <c r="AC635" i="8" s="1"/>
  <c r="W635" i="8"/>
  <c r="AB635" i="8" s="1"/>
  <c r="T635" i="8"/>
  <c r="AA635" i="8" s="1"/>
  <c r="N637" i="8"/>
  <c r="B639" i="8"/>
  <c r="C638" i="8"/>
  <c r="L637" i="8" l="1"/>
  <c r="J637" i="8"/>
  <c r="Z636" i="8"/>
  <c r="AC636" i="8" s="1"/>
  <c r="T636" i="8"/>
  <c r="AA636" i="8" s="1"/>
  <c r="K637" i="8"/>
  <c r="W636" i="8"/>
  <c r="AB636" i="8" s="1"/>
  <c r="N638" i="8"/>
  <c r="C639" i="8"/>
  <c r="B640" i="8"/>
  <c r="L638" i="8" l="1"/>
  <c r="K638" i="8"/>
  <c r="Z637" i="8"/>
  <c r="AC637" i="8" s="1"/>
  <c r="J638" i="8"/>
  <c r="T637" i="8"/>
  <c r="AA637" i="8" s="1"/>
  <c r="W637" i="8"/>
  <c r="AB637" i="8" s="1"/>
  <c r="N639" i="8"/>
  <c r="C640" i="8"/>
  <c r="B641" i="8"/>
  <c r="J639" i="8" l="1"/>
  <c r="K639" i="8"/>
  <c r="L639" i="8"/>
  <c r="T638" i="8"/>
  <c r="AA638" i="8" s="1"/>
  <c r="W638" i="8"/>
  <c r="AB638" i="8" s="1"/>
  <c r="Z638" i="8"/>
  <c r="AC638" i="8" s="1"/>
  <c r="N640" i="8"/>
  <c r="C641" i="8"/>
  <c r="B642" i="8"/>
  <c r="L640" i="8" l="1"/>
  <c r="K640" i="8"/>
  <c r="J640" i="8"/>
  <c r="T639" i="8"/>
  <c r="AA639" i="8" s="1"/>
  <c r="W639" i="8"/>
  <c r="AB639" i="8" s="1"/>
  <c r="Z639" i="8"/>
  <c r="AC639" i="8" s="1"/>
  <c r="N641" i="8"/>
  <c r="C642" i="8"/>
  <c r="B643" i="8"/>
  <c r="L641" i="8" l="1"/>
  <c r="J641" i="8"/>
  <c r="K641" i="8"/>
  <c r="T640" i="8"/>
  <c r="AA640" i="8" s="1"/>
  <c r="W640" i="8"/>
  <c r="AB640" i="8" s="1"/>
  <c r="Z640" i="8"/>
  <c r="AC640" i="8" s="1"/>
  <c r="N642" i="8"/>
  <c r="C643" i="8"/>
  <c r="B644" i="8"/>
  <c r="K642" i="8" l="1"/>
  <c r="L642" i="8"/>
  <c r="J642" i="8"/>
  <c r="W641" i="8"/>
  <c r="AB641" i="8" s="1"/>
  <c r="Z641" i="8"/>
  <c r="AC641" i="8" s="1"/>
  <c r="T641" i="8"/>
  <c r="AA641" i="8" s="1"/>
  <c r="N643" i="8"/>
  <c r="C644" i="8"/>
  <c r="B645" i="8"/>
  <c r="L643" i="8" l="1"/>
  <c r="J643" i="8"/>
  <c r="W642" i="8"/>
  <c r="AB642" i="8" s="1"/>
  <c r="K643" i="8"/>
  <c r="Z642" i="8"/>
  <c r="AC642" i="8" s="1"/>
  <c r="T642" i="8"/>
  <c r="AA642" i="8" s="1"/>
  <c r="N644" i="8"/>
  <c r="C645" i="8"/>
  <c r="B646" i="8"/>
  <c r="L644" i="8" l="1"/>
  <c r="J644" i="8"/>
  <c r="W643" i="8"/>
  <c r="AB643" i="8" s="1"/>
  <c r="K644" i="8"/>
  <c r="Z643" i="8"/>
  <c r="AC643" i="8" s="1"/>
  <c r="T643" i="8"/>
  <c r="AA643" i="8" s="1"/>
  <c r="N645" i="8"/>
  <c r="B647" i="8"/>
  <c r="C646" i="8"/>
  <c r="L645" i="8" l="1"/>
  <c r="K645" i="8"/>
  <c r="J645" i="8"/>
  <c r="W644" i="8"/>
  <c r="AB644" i="8" s="1"/>
  <c r="Z644" i="8"/>
  <c r="AC644" i="8" s="1"/>
  <c r="T644" i="8"/>
  <c r="AA644" i="8" s="1"/>
  <c r="N646" i="8"/>
  <c r="C647" i="8"/>
  <c r="B648" i="8"/>
  <c r="Z645" i="8" l="1"/>
  <c r="AC645" i="8" s="1"/>
  <c r="J646" i="8"/>
  <c r="L646" i="8"/>
  <c r="K646" i="8"/>
  <c r="T645" i="8"/>
  <c r="AA645" i="8" s="1"/>
  <c r="W645" i="8"/>
  <c r="AB645" i="8" s="1"/>
  <c r="N647" i="8"/>
  <c r="C648" i="8"/>
  <c r="B649" i="8"/>
  <c r="K647" i="8" l="1"/>
  <c r="L647" i="8"/>
  <c r="J647" i="8"/>
  <c r="T646" i="8"/>
  <c r="AA646" i="8" s="1"/>
  <c r="W646" i="8"/>
  <c r="AB646" i="8" s="1"/>
  <c r="Z646" i="8"/>
  <c r="AC646" i="8" s="1"/>
  <c r="N648" i="8"/>
  <c r="C649" i="8"/>
  <c r="B650" i="8"/>
  <c r="L648" i="8" l="1"/>
  <c r="K648" i="8"/>
  <c r="J648" i="8"/>
  <c r="T647" i="8"/>
  <c r="AA647" i="8" s="1"/>
  <c r="W647" i="8"/>
  <c r="AB647" i="8" s="1"/>
  <c r="Z647" i="8"/>
  <c r="AC647" i="8" s="1"/>
  <c r="N649" i="8"/>
  <c r="B651" i="8"/>
  <c r="C650" i="8"/>
  <c r="Z648" i="8" l="1"/>
  <c r="AC648" i="8" s="1"/>
  <c r="L649" i="8"/>
  <c r="K649" i="8"/>
  <c r="J649" i="8"/>
  <c r="T648" i="8"/>
  <c r="AA648" i="8" s="1"/>
  <c r="W648" i="8"/>
  <c r="AB648" i="8" s="1"/>
  <c r="N650" i="8"/>
  <c r="C651" i="8"/>
  <c r="B652" i="8"/>
  <c r="L650" i="8" l="1"/>
  <c r="Z649" i="8"/>
  <c r="AC649" i="8" s="1"/>
  <c r="J650" i="8"/>
  <c r="K650" i="8"/>
  <c r="T649" i="8"/>
  <c r="AA649" i="8" s="1"/>
  <c r="W649" i="8"/>
  <c r="AB649" i="8" s="1"/>
  <c r="N651" i="8"/>
  <c r="C652" i="8"/>
  <c r="B653" i="8"/>
  <c r="K651" i="8" l="1"/>
  <c r="L651" i="8"/>
  <c r="J651" i="8"/>
  <c r="W650" i="8"/>
  <c r="AB650" i="8" s="1"/>
  <c r="T650" i="8"/>
  <c r="AA650" i="8" s="1"/>
  <c r="Z650" i="8"/>
  <c r="AC650" i="8" s="1"/>
  <c r="N652" i="8"/>
  <c r="C653" i="8"/>
  <c r="B654" i="8"/>
  <c r="Z651" i="8" l="1"/>
  <c r="AC651" i="8" s="1"/>
  <c r="J652" i="8"/>
  <c r="W651" i="8"/>
  <c r="AB651" i="8" s="1"/>
  <c r="L652" i="8"/>
  <c r="K652" i="8"/>
  <c r="T651" i="8"/>
  <c r="AA651" i="8" s="1"/>
  <c r="N653" i="8"/>
  <c r="B655" i="8"/>
  <c r="C654" i="8"/>
  <c r="L653" i="8" l="1"/>
  <c r="K653" i="8"/>
  <c r="J653" i="8"/>
  <c r="W652" i="8"/>
  <c r="AB652" i="8" s="1"/>
  <c r="Z652" i="8"/>
  <c r="AC652" i="8" s="1"/>
  <c r="T652" i="8"/>
  <c r="AA652" i="8" s="1"/>
  <c r="N654" i="8"/>
  <c r="C655" i="8"/>
  <c r="B656" i="8"/>
  <c r="J654" i="8" l="1"/>
  <c r="K654" i="8"/>
  <c r="L654" i="8"/>
  <c r="W653" i="8"/>
  <c r="AB653" i="8" s="1"/>
  <c r="Z653" i="8"/>
  <c r="AC653" i="8" s="1"/>
  <c r="T653" i="8"/>
  <c r="AA653" i="8" s="1"/>
  <c r="N655" i="8"/>
  <c r="C656" i="8"/>
  <c r="B657" i="8"/>
  <c r="K655" i="8" l="1"/>
  <c r="J655" i="8"/>
  <c r="L655" i="8"/>
  <c r="T654" i="8"/>
  <c r="AA654" i="8" s="1"/>
  <c r="W654" i="8"/>
  <c r="AB654" i="8" s="1"/>
  <c r="Z654" i="8"/>
  <c r="AC654" i="8" s="1"/>
  <c r="N656" i="8"/>
  <c r="C657" i="8"/>
  <c r="B658" i="8"/>
  <c r="L656" i="8" l="1"/>
  <c r="J656" i="8"/>
  <c r="K656" i="8"/>
  <c r="T655" i="8"/>
  <c r="AA655" i="8" s="1"/>
  <c r="W655" i="8"/>
  <c r="AB655" i="8" s="1"/>
  <c r="Z655" i="8"/>
  <c r="AC655" i="8" s="1"/>
  <c r="N657" i="8"/>
  <c r="B659" i="8"/>
  <c r="C658" i="8"/>
  <c r="Z656" i="8" l="1"/>
  <c r="AC656" i="8" s="1"/>
  <c r="L657" i="8"/>
  <c r="K657" i="8"/>
  <c r="J657" i="8"/>
  <c r="T656" i="8"/>
  <c r="AA656" i="8" s="1"/>
  <c r="W656" i="8"/>
  <c r="AB656" i="8" s="1"/>
  <c r="N658" i="8"/>
  <c r="C659" i="8"/>
  <c r="B660" i="8"/>
  <c r="Z657" i="8" l="1"/>
  <c r="AC657" i="8" s="1"/>
  <c r="J658" i="8"/>
  <c r="T657" i="8"/>
  <c r="AA657" i="8" s="1"/>
  <c r="L658" i="8"/>
  <c r="K658" i="8"/>
  <c r="W657" i="8"/>
  <c r="AB657" i="8" s="1"/>
  <c r="N659" i="8"/>
  <c r="C660" i="8"/>
  <c r="B661" i="8"/>
  <c r="L659" i="8" l="1"/>
  <c r="Z658" i="8"/>
  <c r="AC658" i="8" s="1"/>
  <c r="J659" i="8"/>
  <c r="K659" i="8"/>
  <c r="T658" i="8"/>
  <c r="AA658" i="8" s="1"/>
  <c r="W658" i="8"/>
  <c r="AB658" i="8" s="1"/>
  <c r="N660" i="8"/>
  <c r="C661" i="8"/>
  <c r="B662" i="8"/>
  <c r="L660" i="8" l="1"/>
  <c r="W659" i="8"/>
  <c r="AB659" i="8" s="1"/>
  <c r="Z659" i="8"/>
  <c r="AC659" i="8" s="1"/>
  <c r="J660" i="8"/>
  <c r="K660" i="8"/>
  <c r="T659" i="8"/>
  <c r="AA659" i="8" s="1"/>
  <c r="N661" i="8"/>
  <c r="C662" i="8"/>
  <c r="B663" i="8"/>
  <c r="L661" i="8" l="1"/>
  <c r="W660" i="8"/>
  <c r="AB660" i="8" s="1"/>
  <c r="J661" i="8"/>
  <c r="Z660" i="8"/>
  <c r="AC660" i="8" s="1"/>
  <c r="K661" i="8"/>
  <c r="T660" i="8"/>
  <c r="AA660" i="8" s="1"/>
  <c r="N662" i="8"/>
  <c r="C663" i="8"/>
  <c r="B664" i="8"/>
  <c r="K662" i="8" l="1"/>
  <c r="L662" i="8"/>
  <c r="J662" i="8"/>
  <c r="Z661" i="8"/>
  <c r="AC661" i="8" s="1"/>
  <c r="W661" i="8"/>
  <c r="AB661" i="8" s="1"/>
  <c r="T661" i="8"/>
  <c r="AA661" i="8" s="1"/>
  <c r="N663" i="8"/>
  <c r="C664" i="8"/>
  <c r="B665" i="8"/>
  <c r="L663" i="8" l="1"/>
  <c r="J663" i="8"/>
  <c r="K663" i="8"/>
  <c r="T662" i="8"/>
  <c r="AA662" i="8" s="1"/>
  <c r="W662" i="8"/>
  <c r="AB662" i="8" s="1"/>
  <c r="Z662" i="8"/>
  <c r="AC662" i="8" s="1"/>
  <c r="N664" i="8"/>
  <c r="C665" i="8"/>
  <c r="B666" i="8"/>
  <c r="L664" i="8" l="1"/>
  <c r="J664" i="8"/>
  <c r="K664" i="8"/>
  <c r="T663" i="8"/>
  <c r="AA663" i="8" s="1"/>
  <c r="W663" i="8"/>
  <c r="AB663" i="8" s="1"/>
  <c r="Z663" i="8"/>
  <c r="AC663" i="8" s="1"/>
  <c r="N665" i="8"/>
  <c r="C666" i="8"/>
  <c r="B667" i="8"/>
  <c r="W664" i="8" l="1"/>
  <c r="AB664" i="8" s="1"/>
  <c r="Z664" i="8"/>
  <c r="AC664" i="8" s="1"/>
  <c r="L665" i="8"/>
  <c r="K665" i="8"/>
  <c r="J665" i="8"/>
  <c r="T664" i="8"/>
  <c r="AA664" i="8" s="1"/>
  <c r="N666" i="8"/>
  <c r="C667" i="8"/>
  <c r="B668" i="8"/>
  <c r="W665" i="8" l="1"/>
  <c r="AB665" i="8" s="1"/>
  <c r="L666" i="8"/>
  <c r="K666" i="8"/>
  <c r="J666" i="8"/>
  <c r="Z665" i="8"/>
  <c r="AC665" i="8" s="1"/>
  <c r="T665" i="8"/>
  <c r="AA665" i="8" s="1"/>
  <c r="N667" i="8"/>
  <c r="B669" i="8"/>
  <c r="C668" i="8"/>
  <c r="Z666" i="8" l="1"/>
  <c r="AC666" i="8" s="1"/>
  <c r="J667" i="8"/>
  <c r="L667" i="8"/>
  <c r="K667" i="8"/>
  <c r="W666" i="8"/>
  <c r="AB666" i="8" s="1"/>
  <c r="T666" i="8"/>
  <c r="AA666" i="8" s="1"/>
  <c r="N668" i="8"/>
  <c r="C669" i="8"/>
  <c r="B670" i="8"/>
  <c r="J668" i="8" l="1"/>
  <c r="Z667" i="8"/>
  <c r="AC667" i="8" s="1"/>
  <c r="L668" i="8"/>
  <c r="K668" i="8"/>
  <c r="T667" i="8"/>
  <c r="AA667" i="8" s="1"/>
  <c r="W667" i="8"/>
  <c r="AB667" i="8" s="1"/>
  <c r="N669" i="8"/>
  <c r="B671" i="8"/>
  <c r="C670" i="8"/>
  <c r="L669" i="8" l="1"/>
  <c r="J669" i="8"/>
  <c r="K669" i="8"/>
  <c r="W668" i="8"/>
  <c r="AB668" i="8" s="1"/>
  <c r="T668" i="8"/>
  <c r="AA668" i="8" s="1"/>
  <c r="Z668" i="8"/>
  <c r="AC668" i="8" s="1"/>
  <c r="N670" i="8"/>
  <c r="C671" i="8"/>
  <c r="B672" i="8"/>
  <c r="J670" i="8" l="1"/>
  <c r="W669" i="8"/>
  <c r="AB669" i="8" s="1"/>
  <c r="L670" i="8"/>
  <c r="K670" i="8"/>
  <c r="Z669" i="8"/>
  <c r="AC669" i="8" s="1"/>
  <c r="T669" i="8"/>
  <c r="AA669" i="8" s="1"/>
  <c r="N671" i="8"/>
  <c r="B673" i="8"/>
  <c r="C672" i="8"/>
  <c r="L671" i="8" l="1"/>
  <c r="K671" i="8"/>
  <c r="J671" i="8"/>
  <c r="T670" i="8"/>
  <c r="AA670" i="8" s="1"/>
  <c r="W670" i="8"/>
  <c r="AB670" i="8" s="1"/>
  <c r="Z670" i="8"/>
  <c r="AC670" i="8" s="1"/>
  <c r="N672" i="8"/>
  <c r="C673" i="8"/>
  <c r="B674" i="8"/>
  <c r="L672" i="8" l="1"/>
  <c r="K672" i="8"/>
  <c r="J672" i="8"/>
  <c r="T671" i="8"/>
  <c r="AA671" i="8" s="1"/>
  <c r="W671" i="8"/>
  <c r="AB671" i="8" s="1"/>
  <c r="Z671" i="8"/>
  <c r="AC671" i="8" s="1"/>
  <c r="N673" i="8"/>
  <c r="B675" i="8"/>
  <c r="C674" i="8"/>
  <c r="W672" i="8" l="1"/>
  <c r="AB672" i="8" s="1"/>
  <c r="Z672" i="8"/>
  <c r="AC672" i="8" s="1"/>
  <c r="L673" i="8"/>
  <c r="J673" i="8"/>
  <c r="K673" i="8"/>
  <c r="T672" i="8"/>
  <c r="AA672" i="8" s="1"/>
  <c r="N674" i="8"/>
  <c r="C675" i="8"/>
  <c r="B676" i="8"/>
  <c r="L674" i="8" l="1"/>
  <c r="K674" i="8"/>
  <c r="Z673" i="8"/>
  <c r="AC673" i="8" s="1"/>
  <c r="J674" i="8"/>
  <c r="W673" i="8"/>
  <c r="AB673" i="8" s="1"/>
  <c r="T673" i="8"/>
  <c r="AA673" i="8" s="1"/>
  <c r="N675" i="8"/>
  <c r="B677" i="8"/>
  <c r="C676" i="8"/>
  <c r="W674" i="8" l="1"/>
  <c r="AB674" i="8" s="1"/>
  <c r="J675" i="8"/>
  <c r="L675" i="8"/>
  <c r="K675" i="8"/>
  <c r="T674" i="8"/>
  <c r="AA674" i="8" s="1"/>
  <c r="Z674" i="8"/>
  <c r="AC674" i="8" s="1"/>
  <c r="N676" i="8"/>
  <c r="C677" i="8"/>
  <c r="B678" i="8"/>
  <c r="Z675" i="8" l="1"/>
  <c r="AC675" i="8" s="1"/>
  <c r="J676" i="8"/>
  <c r="W675" i="8"/>
  <c r="AB675" i="8" s="1"/>
  <c r="T675" i="8"/>
  <c r="AA675" i="8" s="1"/>
  <c r="L676" i="8"/>
  <c r="K676" i="8"/>
  <c r="N677" i="8"/>
  <c r="B679" i="8"/>
  <c r="C678" i="8"/>
  <c r="J677" i="8" l="1"/>
  <c r="K677" i="8"/>
  <c r="L677" i="8"/>
  <c r="Z676" i="8"/>
  <c r="AC676" i="8" s="1"/>
  <c r="W676" i="8"/>
  <c r="AB676" i="8" s="1"/>
  <c r="T676" i="8"/>
  <c r="AA676" i="8" s="1"/>
  <c r="N678" i="8"/>
  <c r="C679" i="8"/>
  <c r="B680" i="8"/>
  <c r="L678" i="8" l="1"/>
  <c r="K678" i="8"/>
  <c r="J678" i="8"/>
  <c r="W677" i="8"/>
  <c r="AB677" i="8" s="1"/>
  <c r="T677" i="8"/>
  <c r="AA677" i="8" s="1"/>
  <c r="Z677" i="8"/>
  <c r="AC677" i="8" s="1"/>
  <c r="N679" i="8"/>
  <c r="B681" i="8"/>
  <c r="C680" i="8"/>
  <c r="L679" i="8" l="1"/>
  <c r="J679" i="8"/>
  <c r="K679" i="8"/>
  <c r="T678" i="8"/>
  <c r="AA678" i="8" s="1"/>
  <c r="W678" i="8"/>
  <c r="AB678" i="8" s="1"/>
  <c r="Z678" i="8"/>
  <c r="AC678" i="8" s="1"/>
  <c r="N680" i="8"/>
  <c r="C681" i="8"/>
  <c r="B682" i="8"/>
  <c r="L680" i="8" l="1"/>
  <c r="J680" i="8"/>
  <c r="K680" i="8"/>
  <c r="T679" i="8"/>
  <c r="AA679" i="8" s="1"/>
  <c r="W679" i="8"/>
  <c r="AB679" i="8" s="1"/>
  <c r="Z679" i="8"/>
  <c r="AC679" i="8" s="1"/>
  <c r="N681" i="8"/>
  <c r="B683" i="8"/>
  <c r="C682" i="8"/>
  <c r="Z680" i="8" l="1"/>
  <c r="AC680" i="8" s="1"/>
  <c r="J681" i="8"/>
  <c r="K681" i="8"/>
  <c r="L681" i="8"/>
  <c r="T680" i="8"/>
  <c r="AA680" i="8" s="1"/>
  <c r="W680" i="8"/>
  <c r="AB680" i="8" s="1"/>
  <c r="N682" i="8"/>
  <c r="C683" i="8"/>
  <c r="B684" i="8"/>
  <c r="K682" i="8" l="1"/>
  <c r="L682" i="8"/>
  <c r="J682" i="8"/>
  <c r="Z681" i="8"/>
  <c r="AC681" i="8" s="1"/>
  <c r="W681" i="8"/>
  <c r="AB681" i="8" s="1"/>
  <c r="T681" i="8"/>
  <c r="AA681" i="8" s="1"/>
  <c r="N683" i="8"/>
  <c r="B685" i="8"/>
  <c r="C684" i="8"/>
  <c r="Z682" i="8" l="1"/>
  <c r="AC682" i="8" s="1"/>
  <c r="W682" i="8"/>
  <c r="AB682" i="8" s="1"/>
  <c r="L683" i="8"/>
  <c r="J683" i="8"/>
  <c r="K683" i="8"/>
  <c r="T682" i="8"/>
  <c r="AA682" i="8" s="1"/>
  <c r="N684" i="8"/>
  <c r="C685" i="8"/>
  <c r="B686" i="8"/>
  <c r="L684" i="8" l="1"/>
  <c r="K684" i="8"/>
  <c r="Z683" i="8"/>
  <c r="AC683" i="8" s="1"/>
  <c r="J684" i="8"/>
  <c r="W683" i="8"/>
  <c r="AB683" i="8" s="1"/>
  <c r="T683" i="8"/>
  <c r="AA683" i="8" s="1"/>
  <c r="N685" i="8"/>
  <c r="B687" i="8"/>
  <c r="C686" i="8"/>
  <c r="L685" i="8" l="1"/>
  <c r="Z684" i="8"/>
  <c r="AC684" i="8" s="1"/>
  <c r="J685" i="8"/>
  <c r="W684" i="8"/>
  <c r="AB684" i="8" s="1"/>
  <c r="K685" i="8"/>
  <c r="T684" i="8"/>
  <c r="AA684" i="8" s="1"/>
  <c r="N686" i="8"/>
  <c r="C687" i="8"/>
  <c r="B688" i="8"/>
  <c r="L686" i="8" l="1"/>
  <c r="K686" i="8"/>
  <c r="Z685" i="8"/>
  <c r="AC685" i="8" s="1"/>
  <c r="J686" i="8"/>
  <c r="W685" i="8"/>
  <c r="AB685" i="8" s="1"/>
  <c r="T685" i="8"/>
  <c r="AA685" i="8" s="1"/>
  <c r="N687" i="8"/>
  <c r="B689" i="8"/>
  <c r="C688" i="8"/>
  <c r="J687" i="8" l="1"/>
  <c r="K687" i="8"/>
  <c r="L687" i="8"/>
  <c r="T686" i="8"/>
  <c r="AA686" i="8" s="1"/>
  <c r="W686" i="8"/>
  <c r="AB686" i="8" s="1"/>
  <c r="Z686" i="8"/>
  <c r="AC686" i="8" s="1"/>
  <c r="N688" i="8"/>
  <c r="C689" i="8"/>
  <c r="B690" i="8"/>
  <c r="L688" i="8" l="1"/>
  <c r="J688" i="8"/>
  <c r="K688" i="8"/>
  <c r="T687" i="8"/>
  <c r="AA687" i="8" s="1"/>
  <c r="W687" i="8"/>
  <c r="AB687" i="8" s="1"/>
  <c r="Z687" i="8"/>
  <c r="AC687" i="8" s="1"/>
  <c r="N689" i="8"/>
  <c r="B691" i="8"/>
  <c r="C690" i="8"/>
  <c r="Z688" i="8" l="1"/>
  <c r="AC688" i="8" s="1"/>
  <c r="L689" i="8"/>
  <c r="J689" i="8"/>
  <c r="K689" i="8"/>
  <c r="T688" i="8"/>
  <c r="AA688" i="8" s="1"/>
  <c r="W688" i="8"/>
  <c r="AB688" i="8" s="1"/>
  <c r="N690" i="8"/>
  <c r="C691" i="8"/>
  <c r="B692" i="8"/>
  <c r="L690" i="8" l="1"/>
  <c r="K690" i="8"/>
  <c r="W689" i="8"/>
  <c r="AB689" i="8" s="1"/>
  <c r="J690" i="8"/>
  <c r="Z689" i="8"/>
  <c r="AC689" i="8" s="1"/>
  <c r="T689" i="8"/>
  <c r="AA689" i="8" s="1"/>
  <c r="N691" i="8"/>
  <c r="B693" i="8"/>
  <c r="C692" i="8"/>
  <c r="Z690" i="8" l="1"/>
  <c r="AC690" i="8" s="1"/>
  <c r="K691" i="8"/>
  <c r="L691" i="8"/>
  <c r="W690" i="8"/>
  <c r="AB690" i="8" s="1"/>
  <c r="J691" i="8"/>
  <c r="T690" i="8"/>
  <c r="AA690" i="8" s="1"/>
  <c r="N692" i="8"/>
  <c r="C693" i="8"/>
  <c r="B694" i="8"/>
  <c r="Z691" i="8" l="1"/>
  <c r="AC691" i="8" s="1"/>
  <c r="J692" i="8"/>
  <c r="L692" i="8"/>
  <c r="K692" i="8"/>
  <c r="T691" i="8"/>
  <c r="AA691" i="8" s="1"/>
  <c r="W691" i="8"/>
  <c r="AB691" i="8" s="1"/>
  <c r="N693" i="8"/>
  <c r="B695" i="8"/>
  <c r="C694" i="8"/>
  <c r="L693" i="8" l="1"/>
  <c r="K693" i="8"/>
  <c r="J693" i="8"/>
  <c r="Z692" i="8"/>
  <c r="AC692" i="8" s="1"/>
  <c r="T692" i="8"/>
  <c r="AA692" i="8" s="1"/>
  <c r="W692" i="8"/>
  <c r="AB692" i="8" s="1"/>
  <c r="N694" i="8"/>
  <c r="C695" i="8"/>
  <c r="B696" i="8"/>
  <c r="L694" i="8" l="1"/>
  <c r="K694" i="8"/>
  <c r="J694" i="8"/>
  <c r="W693" i="8"/>
  <c r="AB693" i="8" s="1"/>
  <c r="Z693" i="8"/>
  <c r="AC693" i="8" s="1"/>
  <c r="T693" i="8"/>
  <c r="AA693" i="8" s="1"/>
  <c r="N695" i="8"/>
  <c r="B697" i="8"/>
  <c r="C696" i="8"/>
  <c r="L695" i="8" l="1"/>
  <c r="J695" i="8"/>
  <c r="K695" i="8"/>
  <c r="T694" i="8"/>
  <c r="AA694" i="8" s="1"/>
  <c r="W694" i="8"/>
  <c r="AB694" i="8" s="1"/>
  <c r="Z694" i="8"/>
  <c r="AC694" i="8" s="1"/>
  <c r="N696" i="8"/>
  <c r="B698" i="8"/>
  <c r="C697" i="8"/>
  <c r="Z695" i="8" l="1"/>
  <c r="AC695" i="8" s="1"/>
  <c r="L696" i="8"/>
  <c r="J696" i="8"/>
  <c r="K696" i="8"/>
  <c r="T695" i="8"/>
  <c r="AA695" i="8" s="1"/>
  <c r="W695" i="8"/>
  <c r="AB695" i="8" s="1"/>
  <c r="N697" i="8"/>
  <c r="C698" i="8"/>
  <c r="B699" i="8"/>
  <c r="Z696" i="8" l="1"/>
  <c r="AC696" i="8" s="1"/>
  <c r="L697" i="8"/>
  <c r="K697" i="8"/>
  <c r="J697" i="8"/>
  <c r="W696" i="8"/>
  <c r="AB696" i="8" s="1"/>
  <c r="T696" i="8"/>
  <c r="AA696" i="8" s="1"/>
  <c r="N698" i="8"/>
  <c r="B700" i="8"/>
  <c r="C699" i="8"/>
  <c r="Z697" i="8" l="1"/>
  <c r="AC697" i="8" s="1"/>
  <c r="J698" i="8"/>
  <c r="W697" i="8"/>
  <c r="AB697" i="8" s="1"/>
  <c r="K698" i="8"/>
  <c r="L698" i="8"/>
  <c r="T697" i="8"/>
  <c r="AA697" i="8" s="1"/>
  <c r="N699" i="8"/>
  <c r="C700" i="8"/>
  <c r="B701" i="8"/>
  <c r="L699" i="8" l="1"/>
  <c r="J699" i="8"/>
  <c r="W698" i="8"/>
  <c r="AB698" i="8" s="1"/>
  <c r="K699" i="8"/>
  <c r="Z698" i="8"/>
  <c r="AC698" i="8" s="1"/>
  <c r="T698" i="8"/>
  <c r="AA698" i="8" s="1"/>
  <c r="N700" i="8"/>
  <c r="B702" i="8"/>
  <c r="C701" i="8"/>
  <c r="J700" i="8" l="1"/>
  <c r="Z699" i="8"/>
  <c r="AC699" i="8" s="1"/>
  <c r="K700" i="8"/>
  <c r="L700" i="8"/>
  <c r="W699" i="8"/>
  <c r="AB699" i="8" s="1"/>
  <c r="T699" i="8"/>
  <c r="AA699" i="8" s="1"/>
  <c r="N701" i="8"/>
  <c r="C702" i="8"/>
  <c r="B703" i="8"/>
  <c r="L701" i="8" l="1"/>
  <c r="J701" i="8"/>
  <c r="K701" i="8"/>
  <c r="W700" i="8"/>
  <c r="AB700" i="8" s="1"/>
  <c r="Z700" i="8"/>
  <c r="AC700" i="8" s="1"/>
  <c r="T700" i="8"/>
  <c r="AA700" i="8" s="1"/>
  <c r="N702" i="8"/>
  <c r="B704" i="8"/>
  <c r="C703" i="8"/>
  <c r="K702" i="8" l="1"/>
  <c r="L702" i="8"/>
  <c r="J702" i="8"/>
  <c r="W701" i="8"/>
  <c r="AB701" i="8" s="1"/>
  <c r="Z701" i="8"/>
  <c r="AC701" i="8" s="1"/>
  <c r="T701" i="8"/>
  <c r="AA701" i="8" s="1"/>
  <c r="N703" i="8"/>
  <c r="C704" i="8"/>
  <c r="B705" i="8"/>
  <c r="K703" i="8" l="1"/>
  <c r="L703" i="8"/>
  <c r="J703" i="8"/>
  <c r="T702" i="8"/>
  <c r="AA702" i="8" s="1"/>
  <c r="W702" i="8"/>
  <c r="AB702" i="8" s="1"/>
  <c r="Z702" i="8"/>
  <c r="AC702" i="8" s="1"/>
  <c r="N704" i="8"/>
  <c r="B706" i="8"/>
  <c r="C705" i="8"/>
  <c r="W703" i="8" l="1"/>
  <c r="AB703" i="8" s="1"/>
  <c r="L704" i="8"/>
  <c r="J704" i="8"/>
  <c r="Z703" i="8"/>
  <c r="AC703" i="8" s="1"/>
  <c r="K704" i="8"/>
  <c r="T703" i="8"/>
  <c r="AA703" i="8" s="1"/>
  <c r="N705" i="8"/>
  <c r="C706" i="8"/>
  <c r="B707" i="8"/>
  <c r="L705" i="8" l="1"/>
  <c r="J705" i="8"/>
  <c r="W704" i="8"/>
  <c r="AB704" i="8" s="1"/>
  <c r="T704" i="8"/>
  <c r="AA704" i="8" s="1"/>
  <c r="K705" i="8"/>
  <c r="Z704" i="8"/>
  <c r="AC704" i="8" s="1"/>
  <c r="N706" i="8"/>
  <c r="B708" i="8"/>
  <c r="C707" i="8"/>
  <c r="L706" i="8" l="1"/>
  <c r="J706" i="8"/>
  <c r="K706" i="8"/>
  <c r="Z705" i="8"/>
  <c r="AC705" i="8" s="1"/>
  <c r="W705" i="8"/>
  <c r="AB705" i="8" s="1"/>
  <c r="T705" i="8"/>
  <c r="AA705" i="8" s="1"/>
  <c r="N707" i="8"/>
  <c r="C708" i="8"/>
  <c r="B709" i="8"/>
  <c r="K707" i="8" l="1"/>
  <c r="L707" i="8"/>
  <c r="J707" i="8"/>
  <c r="T706" i="8"/>
  <c r="AA706" i="8" s="1"/>
  <c r="W706" i="8"/>
  <c r="AB706" i="8" s="1"/>
  <c r="Z706" i="8"/>
  <c r="AC706" i="8" s="1"/>
  <c r="N708" i="8"/>
  <c r="B710" i="8"/>
  <c r="C709" i="8"/>
  <c r="L708" i="8" l="1"/>
  <c r="J708" i="8"/>
  <c r="K708" i="8"/>
  <c r="W707" i="8"/>
  <c r="AB707" i="8" s="1"/>
  <c r="T707" i="8"/>
  <c r="AA707" i="8" s="1"/>
  <c r="Z707" i="8"/>
  <c r="AC707" i="8" s="1"/>
  <c r="N709" i="8"/>
  <c r="C710" i="8"/>
  <c r="B711" i="8"/>
  <c r="L709" i="8" l="1"/>
  <c r="J709" i="8"/>
  <c r="W708" i="8"/>
  <c r="AB708" i="8" s="1"/>
  <c r="K709" i="8"/>
  <c r="T708" i="8"/>
  <c r="AA708" i="8" s="1"/>
  <c r="Z708" i="8"/>
  <c r="AC708" i="8" s="1"/>
  <c r="N710" i="8"/>
  <c r="B712" i="8"/>
  <c r="C711" i="8"/>
  <c r="L710" i="8" l="1"/>
  <c r="Z709" i="8"/>
  <c r="AC709" i="8" s="1"/>
  <c r="J710" i="8"/>
  <c r="K710" i="8"/>
  <c r="T709" i="8"/>
  <c r="AA709" i="8" s="1"/>
  <c r="W709" i="8"/>
  <c r="AB709" i="8" s="1"/>
  <c r="N711" i="8"/>
  <c r="C712" i="8"/>
  <c r="B713" i="8"/>
  <c r="L711" i="8" l="1"/>
  <c r="K711" i="8"/>
  <c r="J711" i="8"/>
  <c r="T710" i="8"/>
  <c r="AA710" i="8" s="1"/>
  <c r="Z710" i="8"/>
  <c r="AC710" i="8" s="1"/>
  <c r="W710" i="8"/>
  <c r="AB710" i="8" s="1"/>
  <c r="N712" i="8"/>
  <c r="B714" i="8"/>
  <c r="C713" i="8"/>
  <c r="L712" i="8" l="1"/>
  <c r="J712" i="8"/>
  <c r="W711" i="8"/>
  <c r="AB711" i="8" s="1"/>
  <c r="K712" i="8"/>
  <c r="T711" i="8"/>
  <c r="AA711" i="8" s="1"/>
  <c r="Z711" i="8"/>
  <c r="AC711" i="8" s="1"/>
  <c r="N713" i="8"/>
  <c r="C714" i="8"/>
  <c r="B715" i="8"/>
  <c r="L713" i="8" l="1"/>
  <c r="J713" i="8"/>
  <c r="W712" i="8"/>
  <c r="AB712" i="8" s="1"/>
  <c r="Z712" i="8"/>
  <c r="AC712" i="8" s="1"/>
  <c r="T712" i="8"/>
  <c r="AA712" i="8" s="1"/>
  <c r="K713" i="8"/>
  <c r="N714" i="8"/>
  <c r="B716" i="8"/>
  <c r="C715" i="8"/>
  <c r="L714" i="8" l="1"/>
  <c r="K714" i="8"/>
  <c r="J714" i="8"/>
  <c r="Z713" i="8"/>
  <c r="AC713" i="8" s="1"/>
  <c r="W713" i="8"/>
  <c r="AB713" i="8" s="1"/>
  <c r="T713" i="8"/>
  <c r="AA713" i="8" s="1"/>
  <c r="N715" i="8"/>
  <c r="C716" i="8"/>
  <c r="B717" i="8"/>
  <c r="L715" i="8" l="1"/>
  <c r="K715" i="8"/>
  <c r="J715" i="8"/>
  <c r="W714" i="8"/>
  <c r="AB714" i="8" s="1"/>
  <c r="T714" i="8"/>
  <c r="AA714" i="8" s="1"/>
  <c r="Z714" i="8"/>
  <c r="AC714" i="8" s="1"/>
  <c r="N716" i="8"/>
  <c r="B718" i="8"/>
  <c r="C717" i="8"/>
  <c r="Z715" i="8" l="1"/>
  <c r="AC715" i="8" s="1"/>
  <c r="J716" i="8"/>
  <c r="L716" i="8"/>
  <c r="K716" i="8"/>
  <c r="T715" i="8"/>
  <c r="AA715" i="8" s="1"/>
  <c r="W715" i="8"/>
  <c r="AB715" i="8" s="1"/>
  <c r="N717" i="8"/>
  <c r="C718" i="8"/>
  <c r="B719" i="8"/>
  <c r="L717" i="8" l="1"/>
  <c r="K717" i="8"/>
  <c r="J717" i="8"/>
  <c r="Z716" i="8"/>
  <c r="AC716" i="8" s="1"/>
  <c r="W716" i="8"/>
  <c r="AB716" i="8" s="1"/>
  <c r="T716" i="8"/>
  <c r="AA716" i="8" s="1"/>
  <c r="N718" i="8"/>
  <c r="B720" i="8"/>
  <c r="C719" i="8"/>
  <c r="Z717" i="8" l="1"/>
  <c r="AC717" i="8" s="1"/>
  <c r="J718" i="8"/>
  <c r="L718" i="8"/>
  <c r="K718" i="8"/>
  <c r="T717" i="8"/>
  <c r="AA717" i="8" s="1"/>
  <c r="W717" i="8"/>
  <c r="AB717" i="8" s="1"/>
  <c r="N719" i="8"/>
  <c r="C720" i="8"/>
  <c r="B721" i="8"/>
  <c r="L719" i="8" l="1"/>
  <c r="K719" i="8"/>
  <c r="J719" i="8"/>
  <c r="Z718" i="8"/>
  <c r="AC718" i="8" s="1"/>
  <c r="T718" i="8"/>
  <c r="AA718" i="8" s="1"/>
  <c r="W718" i="8"/>
  <c r="AB718" i="8" s="1"/>
  <c r="N720" i="8"/>
  <c r="B722" i="8"/>
  <c r="C721" i="8"/>
  <c r="W719" i="8" l="1"/>
  <c r="AB719" i="8" s="1"/>
  <c r="Z719" i="8"/>
  <c r="AC719" i="8" s="1"/>
  <c r="L720" i="8"/>
  <c r="J720" i="8"/>
  <c r="K720" i="8"/>
  <c r="T719" i="8"/>
  <c r="AA719" i="8" s="1"/>
  <c r="N721" i="8"/>
  <c r="C722" i="8"/>
  <c r="B723" i="8"/>
  <c r="L721" i="8" l="1"/>
  <c r="Z720" i="8"/>
  <c r="AC720" i="8" s="1"/>
  <c r="J721" i="8"/>
  <c r="K721" i="8"/>
  <c r="T720" i="8"/>
  <c r="AA720" i="8" s="1"/>
  <c r="W720" i="8"/>
  <c r="AB720" i="8" s="1"/>
  <c r="N722" i="8"/>
  <c r="B724" i="8"/>
  <c r="C723" i="8"/>
  <c r="L722" i="8" l="1"/>
  <c r="J722" i="8"/>
  <c r="K722" i="8"/>
  <c r="W721" i="8"/>
  <c r="AB721" i="8" s="1"/>
  <c r="Z721" i="8"/>
  <c r="AC721" i="8" s="1"/>
  <c r="T721" i="8"/>
  <c r="AA721" i="8" s="1"/>
  <c r="N723" i="8"/>
  <c r="C724" i="8"/>
  <c r="B725" i="8"/>
  <c r="W722" i="8" l="1"/>
  <c r="AB722" i="8" s="1"/>
  <c r="K723" i="8"/>
  <c r="L723" i="8"/>
  <c r="J723" i="8"/>
  <c r="Z722" i="8"/>
  <c r="AC722" i="8" s="1"/>
  <c r="T722" i="8"/>
  <c r="AA722" i="8" s="1"/>
  <c r="N724" i="8"/>
  <c r="B726" i="8"/>
  <c r="C725" i="8"/>
  <c r="Z723" i="8" l="1"/>
  <c r="AC723" i="8" s="1"/>
  <c r="K724" i="8"/>
  <c r="L724" i="8"/>
  <c r="J724" i="8"/>
  <c r="W723" i="8"/>
  <c r="AB723" i="8" s="1"/>
  <c r="T723" i="8"/>
  <c r="AA723" i="8" s="1"/>
  <c r="N725" i="8"/>
  <c r="C726" i="8"/>
  <c r="B727" i="8"/>
  <c r="L725" i="8" l="1"/>
  <c r="J725" i="8"/>
  <c r="Z724" i="8"/>
  <c r="AC724" i="8" s="1"/>
  <c r="K725" i="8"/>
  <c r="W724" i="8"/>
  <c r="AB724" i="8" s="1"/>
  <c r="T724" i="8"/>
  <c r="AA724" i="8" s="1"/>
  <c r="N726" i="8"/>
  <c r="B728" i="8"/>
  <c r="C727" i="8"/>
  <c r="L726" i="8" l="1"/>
  <c r="K726" i="8"/>
  <c r="J726" i="8"/>
  <c r="Z725" i="8"/>
  <c r="AC725" i="8" s="1"/>
  <c r="T725" i="8"/>
  <c r="AA725" i="8" s="1"/>
  <c r="W725" i="8"/>
  <c r="AB725" i="8" s="1"/>
  <c r="N727" i="8"/>
  <c r="C728" i="8"/>
  <c r="B729" i="8"/>
  <c r="J727" i="8" l="1"/>
  <c r="L727" i="8"/>
  <c r="Z726" i="8"/>
  <c r="AC726" i="8" s="1"/>
  <c r="K727" i="8"/>
  <c r="T726" i="8"/>
  <c r="AA726" i="8" s="1"/>
  <c r="W726" i="8"/>
  <c r="AB726" i="8" s="1"/>
  <c r="N728" i="8"/>
  <c r="B730" i="8"/>
  <c r="C729" i="8"/>
  <c r="K728" i="8" l="1"/>
  <c r="L728" i="8"/>
  <c r="J728" i="8"/>
  <c r="Z727" i="8"/>
  <c r="AC727" i="8" s="1"/>
  <c r="W727" i="8"/>
  <c r="AB727" i="8" s="1"/>
  <c r="T727" i="8"/>
  <c r="AA727" i="8" s="1"/>
  <c r="N729" i="8"/>
  <c r="C730" i="8"/>
  <c r="B731" i="8"/>
  <c r="J729" i="8" l="1"/>
  <c r="L729" i="8"/>
  <c r="Z728" i="8"/>
  <c r="AC728" i="8" s="1"/>
  <c r="W728" i="8"/>
  <c r="AB728" i="8" s="1"/>
  <c r="K729" i="8"/>
  <c r="T728" i="8"/>
  <c r="AA728" i="8" s="1"/>
  <c r="N730" i="8"/>
  <c r="B732" i="8"/>
  <c r="C731" i="8"/>
  <c r="K730" i="8" l="1"/>
  <c r="J730" i="8"/>
  <c r="L730" i="8"/>
  <c r="Z729" i="8"/>
  <c r="AC729" i="8" s="1"/>
  <c r="T729" i="8"/>
  <c r="AA729" i="8" s="1"/>
  <c r="W729" i="8"/>
  <c r="AB729" i="8" s="1"/>
  <c r="N731" i="8"/>
  <c r="C732" i="8"/>
  <c r="B733" i="8"/>
  <c r="Z730" i="8" l="1"/>
  <c r="AC730" i="8" s="1"/>
  <c r="L731" i="8"/>
  <c r="K731" i="8"/>
  <c r="J731" i="8"/>
  <c r="W730" i="8"/>
  <c r="AB730" i="8" s="1"/>
  <c r="T730" i="8"/>
  <c r="AA730" i="8" s="1"/>
  <c r="N732" i="8"/>
  <c r="B734" i="8"/>
  <c r="C733" i="8"/>
  <c r="L732" i="8" l="1"/>
  <c r="W731" i="8"/>
  <c r="AB731" i="8" s="1"/>
  <c r="J732" i="8"/>
  <c r="K732" i="8"/>
  <c r="T731" i="8"/>
  <c r="AA731" i="8" s="1"/>
  <c r="Z731" i="8"/>
  <c r="AC731" i="8" s="1"/>
  <c r="N733" i="8"/>
  <c r="C734" i="8"/>
  <c r="B735" i="8"/>
  <c r="L733" i="8" l="1"/>
  <c r="K733" i="8"/>
  <c r="Z732" i="8"/>
  <c r="AC732" i="8" s="1"/>
  <c r="J733" i="8"/>
  <c r="T732" i="8"/>
  <c r="AA732" i="8" s="1"/>
  <c r="W732" i="8"/>
  <c r="AB732" i="8" s="1"/>
  <c r="N734" i="8"/>
  <c r="B736" i="8"/>
  <c r="C735" i="8"/>
  <c r="Z733" i="8" l="1"/>
  <c r="AC733" i="8" s="1"/>
  <c r="J734" i="8"/>
  <c r="L734" i="8"/>
  <c r="K734" i="8"/>
  <c r="W733" i="8"/>
  <c r="AB733" i="8" s="1"/>
  <c r="T733" i="8"/>
  <c r="AA733" i="8" s="1"/>
  <c r="N735" i="8"/>
  <c r="C736" i="8"/>
  <c r="B737" i="8"/>
  <c r="K735" i="8" l="1"/>
  <c r="L735" i="8"/>
  <c r="J735" i="8"/>
  <c r="W734" i="8"/>
  <c r="AB734" i="8" s="1"/>
  <c r="Z734" i="8"/>
  <c r="AC734" i="8" s="1"/>
  <c r="T734" i="8"/>
  <c r="AA734" i="8" s="1"/>
  <c r="N736" i="8"/>
  <c r="B738" i="8"/>
  <c r="C737" i="8"/>
  <c r="Z735" i="8" l="1"/>
  <c r="AC735" i="8" s="1"/>
  <c r="J736" i="8"/>
  <c r="L736" i="8"/>
  <c r="K736" i="8"/>
  <c r="W735" i="8"/>
  <c r="AB735" i="8" s="1"/>
  <c r="T735" i="8"/>
  <c r="AA735" i="8" s="1"/>
  <c r="N737" i="8"/>
  <c r="C738" i="8"/>
  <c r="B739" i="8"/>
  <c r="L737" i="8" l="1"/>
  <c r="K737" i="8"/>
  <c r="J737" i="8"/>
  <c r="W736" i="8"/>
  <c r="AB736" i="8" s="1"/>
  <c r="T736" i="8"/>
  <c r="AA736" i="8" s="1"/>
  <c r="Z736" i="8"/>
  <c r="AC736" i="8" s="1"/>
  <c r="N738" i="8"/>
  <c r="B740" i="8"/>
  <c r="C739" i="8"/>
  <c r="Z737" i="8" l="1"/>
  <c r="AC737" i="8" s="1"/>
  <c r="J738" i="8"/>
  <c r="K738" i="8"/>
  <c r="L738" i="8"/>
  <c r="T737" i="8"/>
  <c r="AA737" i="8" s="1"/>
  <c r="W737" i="8"/>
  <c r="AB737" i="8" s="1"/>
  <c r="N739" i="8"/>
  <c r="C740" i="8"/>
  <c r="B741" i="8"/>
  <c r="L739" i="8" l="1"/>
  <c r="J739" i="8"/>
  <c r="K739" i="8"/>
  <c r="Z738" i="8"/>
  <c r="AC738" i="8" s="1"/>
  <c r="T738" i="8"/>
  <c r="AA738" i="8" s="1"/>
  <c r="W738" i="8"/>
  <c r="AB738" i="8" s="1"/>
  <c r="N740" i="8"/>
  <c r="B742" i="8"/>
  <c r="C741" i="8"/>
  <c r="L740" i="8" l="1"/>
  <c r="W739" i="8"/>
  <c r="AB739" i="8" s="1"/>
  <c r="J740" i="8"/>
  <c r="K740" i="8"/>
  <c r="T739" i="8"/>
  <c r="AA739" i="8" s="1"/>
  <c r="Z739" i="8"/>
  <c r="AC739" i="8" s="1"/>
  <c r="N741" i="8"/>
  <c r="C742" i="8"/>
  <c r="B743" i="8"/>
  <c r="L741" i="8" l="1"/>
  <c r="K741" i="8"/>
  <c r="W740" i="8"/>
  <c r="AB740" i="8" s="1"/>
  <c r="J741" i="8"/>
  <c r="Z740" i="8"/>
  <c r="AC740" i="8" s="1"/>
  <c r="T740" i="8"/>
  <c r="AA740" i="8" s="1"/>
  <c r="N742" i="8"/>
  <c r="B744" i="8"/>
  <c r="C743" i="8"/>
  <c r="Z741" i="8" l="1"/>
  <c r="AC741" i="8" s="1"/>
  <c r="J742" i="8"/>
  <c r="L742" i="8"/>
  <c r="K742" i="8"/>
  <c r="T741" i="8"/>
  <c r="AA741" i="8" s="1"/>
  <c r="W741" i="8"/>
  <c r="AB741" i="8" s="1"/>
  <c r="N743" i="8"/>
  <c r="C744" i="8"/>
  <c r="B745" i="8"/>
  <c r="L743" i="8" l="1"/>
  <c r="K743" i="8"/>
  <c r="J743" i="8"/>
  <c r="Z742" i="8"/>
  <c r="AC742" i="8" s="1"/>
  <c r="W742" i="8"/>
  <c r="AB742" i="8" s="1"/>
  <c r="T742" i="8"/>
  <c r="AA742" i="8" s="1"/>
  <c r="N744" i="8"/>
  <c r="B746" i="8"/>
  <c r="C745" i="8"/>
  <c r="L744" i="8" l="1"/>
  <c r="J744" i="8"/>
  <c r="K744" i="8"/>
  <c r="W743" i="8"/>
  <c r="AB743" i="8" s="1"/>
  <c r="T743" i="8"/>
  <c r="AA743" i="8" s="1"/>
  <c r="Z743" i="8"/>
  <c r="AC743" i="8" s="1"/>
  <c r="N745" i="8"/>
  <c r="C746" i="8"/>
  <c r="B747" i="8"/>
  <c r="L745" i="8" l="1"/>
  <c r="K745" i="8"/>
  <c r="J745" i="8"/>
  <c r="W744" i="8"/>
  <c r="AB744" i="8" s="1"/>
  <c r="Z744" i="8"/>
  <c r="AC744" i="8" s="1"/>
  <c r="T744" i="8"/>
  <c r="AA744" i="8" s="1"/>
  <c r="N746" i="8"/>
  <c r="B748" i="8"/>
  <c r="C747" i="8"/>
  <c r="K746" i="8" l="1"/>
  <c r="J746" i="8"/>
  <c r="L746" i="8"/>
  <c r="T745" i="8"/>
  <c r="AA745" i="8" s="1"/>
  <c r="Z745" i="8"/>
  <c r="AC745" i="8" s="1"/>
  <c r="W745" i="8"/>
  <c r="AB745" i="8" s="1"/>
  <c r="N747" i="8"/>
  <c r="C748" i="8"/>
  <c r="B749" i="8"/>
  <c r="Z746" i="8" l="1"/>
  <c r="AC746" i="8" s="1"/>
  <c r="K747" i="8"/>
  <c r="L747" i="8"/>
  <c r="J747" i="8"/>
  <c r="T746" i="8"/>
  <c r="AA746" i="8" s="1"/>
  <c r="W746" i="8"/>
  <c r="AB746" i="8" s="1"/>
  <c r="N748" i="8"/>
  <c r="B750" i="8"/>
  <c r="C749" i="8"/>
  <c r="K748" i="8" l="1"/>
  <c r="J748" i="8"/>
  <c r="L748" i="8"/>
  <c r="T747" i="8"/>
  <c r="AA747" i="8" s="1"/>
  <c r="W747" i="8"/>
  <c r="AB747" i="8" s="1"/>
  <c r="Z747" i="8"/>
  <c r="AC747" i="8" s="1"/>
  <c r="N749" i="8"/>
  <c r="C750" i="8"/>
  <c r="B751" i="8"/>
  <c r="Z748" i="8" l="1"/>
  <c r="AC748" i="8" s="1"/>
  <c r="L749" i="8"/>
  <c r="J749" i="8"/>
  <c r="K749" i="8"/>
  <c r="W748" i="8"/>
  <c r="AB748" i="8" s="1"/>
  <c r="T748" i="8"/>
  <c r="AA748" i="8" s="1"/>
  <c r="N750" i="8"/>
  <c r="B752" i="8"/>
  <c r="C752" i="8" s="1"/>
  <c r="C751" i="8"/>
  <c r="Z749" i="8" l="1"/>
  <c r="AC749" i="8" s="1"/>
  <c r="L750" i="8"/>
  <c r="K750" i="8"/>
  <c r="J750" i="8"/>
  <c r="W749" i="8"/>
  <c r="AB749" i="8" s="1"/>
  <c r="T749" i="8"/>
  <c r="AA749" i="8" s="1"/>
  <c r="N751" i="8"/>
  <c r="N752" i="8"/>
  <c r="Z750" i="8" l="1"/>
  <c r="AC750" i="8" s="1"/>
  <c r="L751" i="8"/>
  <c r="K751" i="8"/>
  <c r="L752" i="8"/>
  <c r="M26" i="8" s="1"/>
  <c r="K752" i="8"/>
  <c r="L26" i="8" s="1"/>
  <c r="J752" i="8"/>
  <c r="W750" i="8"/>
  <c r="AB750" i="8" s="1"/>
  <c r="K26" i="8"/>
  <c r="J751" i="8"/>
  <c r="T750" i="8"/>
  <c r="AA750" i="8" s="1"/>
  <c r="W751" i="8" l="1"/>
  <c r="AB751" i="8" s="1"/>
  <c r="T751" i="8"/>
  <c r="AA751" i="8" s="1"/>
  <c r="W752" i="8"/>
  <c r="AB752" i="8" s="1"/>
  <c r="T752" i="8"/>
  <c r="AA752" i="8" s="1"/>
  <c r="Z752" i="8"/>
  <c r="AC752" i="8" s="1"/>
  <c r="M27" i="8" s="1"/>
  <c r="Z751" i="8"/>
  <c r="AC751" i="8" s="1"/>
  <c r="K27" i="8" l="1"/>
  <c r="L27" i="8"/>
</calcChain>
</file>

<file path=xl/sharedStrings.xml><?xml version="1.0" encoding="utf-8"?>
<sst xmlns="http://schemas.openxmlformats.org/spreadsheetml/2006/main" count="776" uniqueCount="667">
  <si>
    <t>Time</t>
  </si>
  <si>
    <t>Layer Number</t>
  </si>
  <si>
    <t>D8</t>
  </si>
  <si>
    <t>RMSE(%)</t>
  </si>
  <si>
    <t>Measured Deflections</t>
  </si>
  <si>
    <t>c1</t>
  </si>
  <si>
    <t>c2</t>
  </si>
  <si>
    <t>c3</t>
  </si>
  <si>
    <t>c4</t>
  </si>
  <si>
    <t>Sigmoidal Coefficients (Relaxation)</t>
  </si>
  <si>
    <t>D1</t>
  </si>
  <si>
    <t>D2</t>
  </si>
  <si>
    <t>D3</t>
  </si>
  <si>
    <t>D4</t>
  </si>
  <si>
    <t>D5</t>
  </si>
  <si>
    <t>D6</t>
  </si>
  <si>
    <t>D7</t>
  </si>
  <si>
    <t>D9</t>
  </si>
  <si>
    <t>Sensor Location (in.)</t>
  </si>
  <si>
    <t>ViscoWave</t>
  </si>
  <si>
    <t>PAVEMENT STRUCTURE AND MATERIALS</t>
  </si>
  <si>
    <t>Developed and Implemented by Hyung S. Lee, Ph.D., P.E.</t>
  </si>
  <si>
    <t>General Pavement Structure</t>
  </si>
  <si>
    <t>Relaxation Modulus Function:</t>
  </si>
  <si>
    <t>FWD LOAD SUMMARY</t>
  </si>
  <si>
    <t xml:space="preserve">                  provided in the table below.</t>
  </si>
  <si>
    <t>Note 2: For halfspace simulation, specify the thickness of the last layer to be "Zero"</t>
  </si>
  <si>
    <t>FWD Deflection Sensors</t>
  </si>
  <si>
    <t>in.</t>
  </si>
  <si>
    <t>Peak Load:</t>
  </si>
  <si>
    <t>Load Radius:</t>
  </si>
  <si>
    <t>lbs</t>
  </si>
  <si>
    <t>psi</t>
  </si>
  <si>
    <t>Peak Pressure:</t>
  </si>
  <si>
    <t>Note 1: Only enter Load Radius</t>
  </si>
  <si>
    <t>Deflection and Backcalculation Summary</t>
  </si>
  <si>
    <t>OBJECTIVE CELL FOR DYNAMIC BACKCALCULATION (Sum of Squared Errors:)</t>
  </si>
  <si>
    <t>mil^2</t>
  </si>
  <si>
    <t>LOAD AND DEFLECTION TIME HISTORIES</t>
  </si>
  <si>
    <r>
      <t xml:space="preserve">Note 1: For </t>
    </r>
    <r>
      <rPr>
        <b/>
        <sz val="12"/>
        <color rgb="FFFFFF00"/>
        <rFont val="Calibri"/>
        <family val="2"/>
        <scheme val="minor"/>
      </rPr>
      <t>VISCOELASTIC</t>
    </r>
    <r>
      <rPr>
        <sz val="12"/>
        <color rgb="FFFFFF00"/>
        <rFont val="Calibri"/>
        <family val="2"/>
        <scheme val="minor"/>
      </rPr>
      <t xml:space="preserve"> layers, the Elastic Modulus in the above table must be set to "ZERO" and the Sigmoidal Coefficients </t>
    </r>
  </si>
  <si>
    <t>Error^2</t>
  </si>
  <si>
    <t>ViscoWave Defl.</t>
  </si>
  <si>
    <t>Measured Defl.</t>
  </si>
  <si>
    <t>RMSE (mils)</t>
  </si>
  <si>
    <t>Norm. Load Hist.</t>
  </si>
  <si>
    <t>ViscoWave Deflections</t>
  </si>
  <si>
    <t>Note 2: Time Increment (dt) must be 0.2 milliseconds (Hard Coded in C++ Code)</t>
  </si>
  <si>
    <t>Note 4: Do NOT modify the Normalized Load History in Column P</t>
  </si>
  <si>
    <t>Note 2: Do NOT enter Peak Load and Pressure.  These values are obtained from the Load Time History entered below</t>
  </si>
  <si>
    <r>
      <t xml:space="preserve">Note 1: Load Time History must be inputted in the 2nd column highlighted in </t>
    </r>
    <r>
      <rPr>
        <sz val="12"/>
        <color rgb="FFFFC000"/>
        <rFont val="Calibri"/>
        <family val="2"/>
        <scheme val="minor"/>
      </rPr>
      <t>ORANGE</t>
    </r>
  </si>
  <si>
    <t>LOAD AND DEFLECTION TIME HISTORY PLOTS</t>
  </si>
  <si>
    <t>Peak Deflections and Root Mean Square Errors</t>
  </si>
  <si>
    <t>E (psi)</t>
  </si>
  <si>
    <t>m</t>
  </si>
  <si>
    <t>h (in)</t>
  </si>
  <si>
    <t>D (%)</t>
  </si>
  <si>
    <r>
      <rPr>
        <b/>
        <sz val="11"/>
        <color rgb="FF002060"/>
        <rFont val="Symbol"/>
        <family val="1"/>
        <charset val="2"/>
      </rPr>
      <t>r</t>
    </r>
    <r>
      <rPr>
        <b/>
        <sz val="11"/>
        <color rgb="FF002060"/>
        <rFont val="Times New Roman"/>
        <family val="1"/>
      </rPr>
      <t xml:space="preserve"> (pcf)</t>
    </r>
  </si>
  <si>
    <t xml:space="preserve">     Notation</t>
  </si>
  <si>
    <t xml:space="preserve">        E = Elastic Modulus</t>
  </si>
  <si>
    <t xml:space="preserve">        h = Thickness</t>
  </si>
  <si>
    <t xml:space="preserve">        D = Damping</t>
  </si>
  <si>
    <r>
      <t xml:space="preserve">        </t>
    </r>
    <r>
      <rPr>
        <sz val="11"/>
        <color rgb="FF002060"/>
        <rFont val="Symbol"/>
        <family val="1"/>
        <charset val="2"/>
      </rPr>
      <t>m</t>
    </r>
    <r>
      <rPr>
        <sz val="11"/>
        <color rgb="FF002060"/>
        <rFont val="Times New Roman"/>
        <family val="1"/>
      </rPr>
      <t xml:space="preserve"> = Poisson's Ratio</t>
    </r>
  </si>
  <si>
    <r>
      <t xml:space="preserve">        </t>
    </r>
    <r>
      <rPr>
        <sz val="11"/>
        <color rgb="FF002060"/>
        <rFont val="Symbol"/>
        <family val="1"/>
        <charset val="2"/>
      </rPr>
      <t>r</t>
    </r>
    <r>
      <rPr>
        <sz val="11"/>
        <color rgb="FF002060"/>
        <rFont val="Times New Roman"/>
        <family val="1"/>
      </rPr>
      <t xml:space="preserve"> = Mass Density</t>
    </r>
  </si>
  <si>
    <t>ViscowaveEXL(E25:H27,E12:I17,N39,D39,D33:L33,R69:R419,S69:S419,R70)</t>
  </si>
  <si>
    <t>Force</t>
  </si>
  <si>
    <t>Start</t>
  </si>
  <si>
    <t>Peak Load</t>
  </si>
  <si>
    <t>End</t>
  </si>
  <si>
    <t>Half Sine</t>
  </si>
  <si>
    <t>Normal</t>
  </si>
  <si>
    <t>Use Synthetic Load Time History</t>
  </si>
  <si>
    <t>Half-Sine Load</t>
  </si>
  <si>
    <t>HaverSine Load</t>
  </si>
  <si>
    <t>Begin:</t>
  </si>
  <si>
    <t>End:</t>
  </si>
  <si>
    <t>sec.</t>
  </si>
  <si>
    <t>Magnitude</t>
  </si>
  <si>
    <t>lb</t>
  </si>
  <si>
    <t>Centered</t>
  </si>
  <si>
    <t>Std. Dev.</t>
  </si>
  <si>
    <t>HaverSine</t>
  </si>
  <si>
    <t>Normal Distribution (Gaussian)</t>
  </si>
  <si>
    <t>Ei</t>
  </si>
  <si>
    <t>rho</t>
  </si>
  <si>
    <t>Real</t>
  </si>
  <si>
    <t>Imag</t>
  </si>
  <si>
    <t>Omega</t>
  </si>
  <si>
    <t>Error</t>
  </si>
  <si>
    <t>Index No.</t>
  </si>
  <si>
    <t>SIGMOIDAL COEFFICIENTS (RELAXATION MODULUS TO DYNAMIC MODULUS)</t>
  </si>
  <si>
    <t>PRONY SERIES COEFFICIENTS</t>
  </si>
  <si>
    <t>Prony Coefficients</t>
  </si>
  <si>
    <t>Layer1</t>
  </si>
  <si>
    <t>Layer2</t>
  </si>
  <si>
    <t>Layer3</t>
  </si>
  <si>
    <t>Relaxation Modulus</t>
  </si>
  <si>
    <t>Relaxation Mod.</t>
  </si>
  <si>
    <t>Dynamic Mod.</t>
  </si>
  <si>
    <t>CALCULATED MODULUS</t>
  </si>
  <si>
    <t>Time or Freq</t>
  </si>
  <si>
    <t>log(Time  or Freq)</t>
  </si>
  <si>
    <t>Layer 1</t>
  </si>
  <si>
    <t>Layer 2</t>
  </si>
  <si>
    <t>Layer 3</t>
  </si>
  <si>
    <t>Dynamic</t>
  </si>
  <si>
    <t>Sigmoidal</t>
  </si>
  <si>
    <t>Prony</t>
  </si>
  <si>
    <t>Complex and Dynamic Modulus</t>
  </si>
  <si>
    <t>Sum of Squared Errors (log psi)</t>
  </si>
  <si>
    <t>d1</t>
  </si>
  <si>
    <t>d2</t>
  </si>
  <si>
    <t>d3</t>
  </si>
  <si>
    <t>d4</t>
  </si>
  <si>
    <r>
      <t>Sigmoidal Coefficients [</t>
    </r>
    <r>
      <rPr>
        <b/>
        <sz val="11"/>
        <color rgb="FFC00000"/>
        <rFont val="Times New Roman"/>
        <family val="1"/>
      </rPr>
      <t>RELAXATION MODULUS, E(t)</t>
    </r>
    <r>
      <rPr>
        <b/>
        <sz val="11"/>
        <color rgb="FF002060"/>
        <rFont val="Times New Roman"/>
        <family val="1"/>
      </rPr>
      <t>]</t>
    </r>
  </si>
  <si>
    <r>
      <t>Sigmoidal Coefficients [</t>
    </r>
    <r>
      <rPr>
        <b/>
        <sz val="11"/>
        <color rgb="FFC00000"/>
        <rFont val="Times New Roman"/>
        <family val="1"/>
      </rPr>
      <t>DYNAMIC MODULUS, (|E*|)</t>
    </r>
    <r>
      <rPr>
        <b/>
        <sz val="11"/>
        <color rgb="FF002060"/>
        <rFont val="Times New Roman"/>
        <family val="1"/>
      </rPr>
      <t>]</t>
    </r>
  </si>
  <si>
    <t>Sigmoidal Relaxation Modulus Function:</t>
  </si>
  <si>
    <t>Sigmoidal Dynamic Modulus Function:</t>
  </si>
  <si>
    <t>Prony Series Resilient Modulus Function:</t>
  </si>
  <si>
    <t>Prony Series Dynamic Modulus Function:</t>
  </si>
  <si>
    <t>MODULUS PLOTS</t>
  </si>
  <si>
    <t>LAYER 1</t>
  </si>
  <si>
    <t>LAYER 3</t>
  </si>
  <si>
    <t xml:space="preserve">                    GNU AFFERO GENERAL PUBLIC LICENSE</t>
  </si>
  <si>
    <t xml:space="preserve">                       Version 3, 19 November 2007</t>
  </si>
  <si>
    <t xml:space="preserve"> Copyright (C) 2007 Free Software Foundation, Inc. &lt;https://fsf.org/&gt;</t>
  </si>
  <si>
    <t xml:space="preserve"> Everyone is permitted to copy and distribute verbatim copies</t>
  </si>
  <si>
    <t xml:space="preserve"> of this license document, but changing it is not allowed.</t>
  </si>
  <si>
    <t xml:space="preserve">                            Preamble</t>
  </si>
  <si>
    <t xml:space="preserve">  The GNU Affero General Public License is a free, copyleft license for</t>
  </si>
  <si>
    <t>software and other kinds of works, specifically designed to ensure</t>
  </si>
  <si>
    <t>cooperation with the community in the case of network server software.</t>
  </si>
  <si>
    <t xml:space="preserve">  The licenses for most software and other practical works are designed</t>
  </si>
  <si>
    <t>to take away your freedom to share and change the works.  By contrast,</t>
  </si>
  <si>
    <t>our General Public Licenses are intended to guarantee your freedom to</t>
  </si>
  <si>
    <t>share and change all versions of a program--to make sure it remains free</t>
  </si>
  <si>
    <t>software for all its users.</t>
  </si>
  <si>
    <t xml:space="preserve">  When we speak of free software, we are referring to freedom, not</t>
  </si>
  <si>
    <t>price.  Our General Public Licenses are designed to make sure that you</t>
  </si>
  <si>
    <t>have the freedom to distribute copies of free software (and charge for</t>
  </si>
  <si>
    <t>them if you wish), that you receive source code or can get it if you</t>
  </si>
  <si>
    <t>want it, that you can change the software or use pieces of it in new</t>
  </si>
  <si>
    <t>free programs, and that you know you can do these things.</t>
  </si>
  <si>
    <t xml:space="preserve">  Developers that use our General Public Licenses protect your rights</t>
  </si>
  <si>
    <t>with two steps: (1) assert copyright on the software, and (2) offer</t>
  </si>
  <si>
    <t>you this License which gives you legal permission to copy, distribute</t>
  </si>
  <si>
    <t>and/or modify the software.</t>
  </si>
  <si>
    <t xml:space="preserve">  A secondary benefit of defending all users' freedom is that</t>
  </si>
  <si>
    <t>improvements made in alternate versions of the program, if they</t>
  </si>
  <si>
    <t>receive widespread use, become available for other developers to</t>
  </si>
  <si>
    <t>incorporate.  Many developers of free software are heartened and</t>
  </si>
  <si>
    <t>encouraged by the resulting cooperation.  However, in the case of</t>
  </si>
  <si>
    <t>software used on network servers, this result may fail to come about.</t>
  </si>
  <si>
    <t>The GNU General Public License permits making a modified version and</t>
  </si>
  <si>
    <t>letting the public access it on a server without ever releasing its</t>
  </si>
  <si>
    <t>source code to the public.</t>
  </si>
  <si>
    <t xml:space="preserve">  The GNU Affero General Public License is designed specifically to</t>
  </si>
  <si>
    <t>ensure that, in such cases, the modified source code becomes available</t>
  </si>
  <si>
    <t>to the community.  It requires the operator of a network server to</t>
  </si>
  <si>
    <t>provide the source code of the modified version running there to the</t>
  </si>
  <si>
    <t>users of that server.  Therefore, public use of a modified version, on</t>
  </si>
  <si>
    <t>a publicly accessible server, gives the public access to the source</t>
  </si>
  <si>
    <t>code of the modified version.</t>
  </si>
  <si>
    <t xml:space="preserve">  An older license, called the Affero General Public License and</t>
  </si>
  <si>
    <t>published by Affero, was designed to accomplish similar goals.  This is</t>
  </si>
  <si>
    <t>a different license, not a version of the Affero GPL, but Affero has</t>
  </si>
  <si>
    <t>released a new version of the Affero GPL which permits relicensing under</t>
  </si>
  <si>
    <t>this license.</t>
  </si>
  <si>
    <t xml:space="preserve">  The precise terms and conditions for copying, distribution and</t>
  </si>
  <si>
    <t>modification follow.</t>
  </si>
  <si>
    <t xml:space="preserve">                       TERMS AND CONDITIONS</t>
  </si>
  <si>
    <t xml:space="preserve">  0. Definitions.</t>
  </si>
  <si>
    <t xml:space="preserve">  "This License" refers to version 3 of the GNU Affero General Public License.</t>
  </si>
  <si>
    <t xml:space="preserve">  "Copyright" also means copyright-like laws that apply to other kinds of</t>
  </si>
  <si>
    <t>works, such as semiconductor masks.</t>
  </si>
  <si>
    <t xml:space="preserve">  "The Program" refers to any copyrightable work licensed under this</t>
  </si>
  <si>
    <t>License.  Each licensee is addressed as "you".  "Licensees" and</t>
  </si>
  <si>
    <t>"recipients" may be individuals or organizations.</t>
  </si>
  <si>
    <t xml:space="preserve">  To "modify" a work means to copy from or adapt all or part of the work</t>
  </si>
  <si>
    <t>in a fashion requiring copyright permission, other than the making of an</t>
  </si>
  <si>
    <t>exact copy.  The resulting work is called a "modified version" of the</t>
  </si>
  <si>
    <t>earlier work or a work "based on" the earlier work.</t>
  </si>
  <si>
    <t xml:space="preserve">  A "covered work" means either the unmodified Program or a work based</t>
  </si>
  <si>
    <t>on the Program.</t>
  </si>
  <si>
    <t xml:space="preserve">  To "propagate" a work means to do anything with it that, without</t>
  </si>
  <si>
    <t>permission, would make you directly or secondarily liable for</t>
  </si>
  <si>
    <t>infringement under applicable copyright law, except executing it on a</t>
  </si>
  <si>
    <t>computer or modifying a private copy.  Propagation includes copying,</t>
  </si>
  <si>
    <t>distribution (with or without modification), making available to the</t>
  </si>
  <si>
    <t>public, and in some countries other activities as well.</t>
  </si>
  <si>
    <t xml:space="preserve">  To "convey" a work means any kind of propagation that enables other</t>
  </si>
  <si>
    <t>parties to make or receive copies.  Mere interaction with a user through</t>
  </si>
  <si>
    <t>a computer network, with no transfer of a copy, is not conveying.</t>
  </si>
  <si>
    <t xml:space="preserve">  An interactive user interface displays "Appropriate Legal Notices"</t>
  </si>
  <si>
    <t>to the extent that it includes a convenient and prominently visible</t>
  </si>
  <si>
    <t>feature that (1) displays an appropriate copyright notice, and (2)</t>
  </si>
  <si>
    <t>tells the user that there is no warranty for the work (except to the</t>
  </si>
  <si>
    <t>extent that warranties are provided), that licensees may convey the</t>
  </si>
  <si>
    <t>work under this License, and how to view a copy of this License.  If</t>
  </si>
  <si>
    <t>the interface presents a list of user commands or options, such as a</t>
  </si>
  <si>
    <t>menu, a prominent item in the list meets this criterion.</t>
  </si>
  <si>
    <t xml:space="preserve">  1. Source Code.</t>
  </si>
  <si>
    <t xml:space="preserve">  The "source code" for a work means the preferred form of the work</t>
  </si>
  <si>
    <t>for making modifications to it.  "Object code" means any non-source</t>
  </si>
  <si>
    <t>form of a work.</t>
  </si>
  <si>
    <t xml:space="preserve">  A "Standard Interface" means an interface that either is an official</t>
  </si>
  <si>
    <t>standard defined by a recognized standards body, or, in the case of</t>
  </si>
  <si>
    <t>interfaces specified for a particular programming language, one that</t>
  </si>
  <si>
    <t>is widely used among developers working in that language.</t>
  </si>
  <si>
    <t xml:space="preserve">  The "System Libraries" of an executable work include anything, other</t>
  </si>
  <si>
    <t>than the work as a whole, that (a) is included in the normal form of</t>
  </si>
  <si>
    <t>packaging a Major Component, but which is not part of that Major</t>
  </si>
  <si>
    <t>Component, and (b) serves only to enable use of the work with that</t>
  </si>
  <si>
    <t>Major Component, or to implement a Standard Interface for which an</t>
  </si>
  <si>
    <t>implementation is available to the public in source code form.  A</t>
  </si>
  <si>
    <t>"Major Component", in this context, means a major essential component</t>
  </si>
  <si>
    <t>(kernel, window system, and so on) of the specific operating system</t>
  </si>
  <si>
    <t>(if any) on which the executable work runs, or a compiler used to</t>
  </si>
  <si>
    <t>produce the work, or an object code interpreter used to run it.</t>
  </si>
  <si>
    <t xml:space="preserve">  The "Corresponding Source" for a work in object code form means all</t>
  </si>
  <si>
    <t>the source code needed to generate, install, and (for an executable</t>
  </si>
  <si>
    <t>work) run the object code and to modify the work, including scripts to</t>
  </si>
  <si>
    <t>control those activities.  However, it does not include the work's</t>
  </si>
  <si>
    <t>System Libraries, or general-purpose tools or generally available free</t>
  </si>
  <si>
    <t>programs which are used unmodified in performing those activities but</t>
  </si>
  <si>
    <t>which are not part of the work.  For example, Corresponding Source</t>
  </si>
  <si>
    <t>includes interface definition files associated with source files for</t>
  </si>
  <si>
    <t>the work, and the source code for shared libraries and dynamically</t>
  </si>
  <si>
    <t>linked subprograms that the work is specifically designed to require,</t>
  </si>
  <si>
    <t>such as by intimate data communication or control flow between those</t>
  </si>
  <si>
    <t>subprograms and other parts of the work.</t>
  </si>
  <si>
    <t xml:space="preserve">  The Corresponding Source need not include anything that users</t>
  </si>
  <si>
    <t>can regenerate automatically from other parts of the Corresponding</t>
  </si>
  <si>
    <t>Source.</t>
  </si>
  <si>
    <t xml:space="preserve">  The Corresponding Source for a work in source code form is that</t>
  </si>
  <si>
    <t>same work.</t>
  </si>
  <si>
    <t xml:space="preserve">  2. Basic Permissions.</t>
  </si>
  <si>
    <t xml:space="preserve">  All rights granted under this License are granted for the term of</t>
  </si>
  <si>
    <t>copyright on the Program, and are irrevocable provided the stated</t>
  </si>
  <si>
    <t>conditions are met.  This License explicitly affirms your unlimited</t>
  </si>
  <si>
    <t>permission to run the unmodified Program.  The output from running a</t>
  </si>
  <si>
    <t>covered work is covered by this License only if the output, given its</t>
  </si>
  <si>
    <t>content, constitutes a covered work.  This License acknowledges your</t>
  </si>
  <si>
    <t>rights of fair use or other equivalent, as provided by copyright law.</t>
  </si>
  <si>
    <t xml:space="preserve">  You may make, run and propagate covered works that you do not</t>
  </si>
  <si>
    <t>convey, without conditions so long as your license otherwise remains</t>
  </si>
  <si>
    <t>in force.  You may convey covered works to others for the sole purpose</t>
  </si>
  <si>
    <t>of having them make modifications exclusively for you, or provide you</t>
  </si>
  <si>
    <t>with facilities for running those works, provided that you comply with</t>
  </si>
  <si>
    <t>the terms of this License in conveying all material for which you do</t>
  </si>
  <si>
    <t>not control copyright.  Those thus making or running the covered works</t>
  </si>
  <si>
    <t>for you must do so exclusively on your behalf, under your direction</t>
  </si>
  <si>
    <t>and control, on terms that prohibit them from making any copies of</t>
  </si>
  <si>
    <t>your copyrighted material outside their relationship with you.</t>
  </si>
  <si>
    <t xml:space="preserve">  Conveying under any other circumstances is permitted solely under</t>
  </si>
  <si>
    <t>the conditions stated below.  Sublicensing is not allowed; section 10</t>
  </si>
  <si>
    <t>makes it unnecessary.</t>
  </si>
  <si>
    <t xml:space="preserve">  3. Protecting Users' Legal Rights From Anti-Circumvention Law.</t>
  </si>
  <si>
    <t xml:space="preserve">  No covered work shall be deemed part of an effective technological</t>
  </si>
  <si>
    <t>measure under any applicable law fulfilling obligations under article</t>
  </si>
  <si>
    <t>11 of the WIPO copyright treaty adopted on 20 December 1996, or</t>
  </si>
  <si>
    <t>similar laws prohibiting or restricting circumvention of such</t>
  </si>
  <si>
    <t>measures.</t>
  </si>
  <si>
    <t xml:space="preserve">  When you convey a covered work, you waive any legal power to forbid</t>
  </si>
  <si>
    <t>circumvention of technological measures to the extent such circumvention</t>
  </si>
  <si>
    <t>is effected by exercising rights under this License with respect to</t>
  </si>
  <si>
    <t>the covered work, and you disclaim any intention to limit operation or</t>
  </si>
  <si>
    <t>modification of the work as a means of enforcing, against the work's</t>
  </si>
  <si>
    <t>users, your or third parties' legal rights to forbid circumvention of</t>
  </si>
  <si>
    <t>technological measures.</t>
  </si>
  <si>
    <t xml:space="preserve">  4. Conveying Verbatim Copies.</t>
  </si>
  <si>
    <t xml:space="preserve">  You may convey verbatim copies of the Program's source code as you</t>
  </si>
  <si>
    <t>receive it, in any medium, provided that you conspicuously and</t>
  </si>
  <si>
    <t>appropriately publish on each copy an appropriate copyright notice;</t>
  </si>
  <si>
    <t>keep intact all notices stating that this License and any</t>
  </si>
  <si>
    <t>non-permissive terms added in accord with section 7 apply to the code;</t>
  </si>
  <si>
    <t>keep intact all notices of the absence of any warranty; and give all</t>
  </si>
  <si>
    <t>recipients a copy of this License along with the Program.</t>
  </si>
  <si>
    <t xml:space="preserve">  You may charge any price or no price for each copy that you convey,</t>
  </si>
  <si>
    <t>and you may offer support or warranty protection for a fee.</t>
  </si>
  <si>
    <t xml:space="preserve">  5. Conveying Modified Source Versions.</t>
  </si>
  <si>
    <t xml:space="preserve">  You may convey a work based on the Program, or the modifications to</t>
  </si>
  <si>
    <t>produce it from the Program, in the form of source code under the</t>
  </si>
  <si>
    <t>terms of section 4, provided that you also meet all of these conditions:</t>
  </si>
  <si>
    <t xml:space="preserve">    a) The work must carry prominent notices stating that you modified</t>
  </si>
  <si>
    <t xml:space="preserve">    it, and giving a relevant date.</t>
  </si>
  <si>
    <t xml:space="preserve">    b) The work must carry prominent notices stating that it is</t>
  </si>
  <si>
    <t xml:space="preserve">    released under this License and any conditions added under section</t>
  </si>
  <si>
    <t xml:space="preserve">    7.  This requirement modifies the requirement in section 4 to</t>
  </si>
  <si>
    <t xml:space="preserve">    "keep intact all notices".</t>
  </si>
  <si>
    <t xml:space="preserve">    c) You must license the entire work, as a whole, under this</t>
  </si>
  <si>
    <t xml:space="preserve">    License to anyone who comes into possession of a copy.  This</t>
  </si>
  <si>
    <t xml:space="preserve">    License will therefore apply, along with any applicable section 7</t>
  </si>
  <si>
    <t xml:space="preserve">    additional terms, to the whole of the work, and all its parts,</t>
  </si>
  <si>
    <t xml:space="preserve">    regardless of how they are packaged.  This License gives no</t>
  </si>
  <si>
    <t xml:space="preserve">    permission to license the work in any other way, but it does not</t>
  </si>
  <si>
    <t xml:space="preserve">    invalidate such permission if you have separately received it.</t>
  </si>
  <si>
    <t xml:space="preserve">    d) If the work has interactive user interfaces, each must display</t>
  </si>
  <si>
    <t xml:space="preserve">    Appropriate Legal Notices; however, if the Program has interactive</t>
  </si>
  <si>
    <t xml:space="preserve">    interfaces that do not display Appropriate Legal Notices, your</t>
  </si>
  <si>
    <t xml:space="preserve">    work need not make them do so.</t>
  </si>
  <si>
    <t xml:space="preserve">  A compilation of a covered work with other separate and independent</t>
  </si>
  <si>
    <t>works, which are not by their nature extensions of the covered work,</t>
  </si>
  <si>
    <t>and which are not combined with it such as to form a larger program,</t>
  </si>
  <si>
    <t>in or on a volume of a storage or distribution medium, is called an</t>
  </si>
  <si>
    <t>"aggregate" if the compilation and its resulting copyright are not</t>
  </si>
  <si>
    <t>used to limit the access or legal rights of the compilation's users</t>
  </si>
  <si>
    <t>beyond what the individual works permit.  Inclusion of a covered work</t>
  </si>
  <si>
    <t>in an aggregate does not cause this License to apply to the other</t>
  </si>
  <si>
    <t>parts of the aggregate.</t>
  </si>
  <si>
    <t xml:space="preserve">  6. Conveying Non-Source Forms.</t>
  </si>
  <si>
    <t xml:space="preserve">  You may convey a covered work in object code form under the terms</t>
  </si>
  <si>
    <t>of sections 4 and 5, provided that you also convey the</t>
  </si>
  <si>
    <t>machine-readable Corresponding Source under the terms of this License,</t>
  </si>
  <si>
    <t>in one of these ways:</t>
  </si>
  <si>
    <t xml:space="preserve">    a) Convey the object code in, or embodied in, a physical product</t>
  </si>
  <si>
    <t xml:space="preserve">    (including a physical distribution medium), accompanied by the</t>
  </si>
  <si>
    <t xml:space="preserve">    Corresponding Source fixed on a durable physical medium</t>
  </si>
  <si>
    <t xml:space="preserve">    customarily used for software interchange.</t>
  </si>
  <si>
    <t xml:space="preserve">    b) Convey the object code in, or embodied in, a physical product</t>
  </si>
  <si>
    <t xml:space="preserve">    (including a physical distribution medium), accompanied by a</t>
  </si>
  <si>
    <t xml:space="preserve">    written offer, valid for at least three years and valid for as</t>
  </si>
  <si>
    <t xml:space="preserve">    long as you offer spare parts or customer support for that product</t>
  </si>
  <si>
    <t xml:space="preserve">    model, to give anyone who possesses the object code either (1) a</t>
  </si>
  <si>
    <t xml:space="preserve">    copy of the Corresponding Source for all the software in the</t>
  </si>
  <si>
    <t xml:space="preserve">    product that is covered by this License, on a durable physical</t>
  </si>
  <si>
    <t xml:space="preserve">    medium customarily used for software interchange, for a price no</t>
  </si>
  <si>
    <t xml:space="preserve">    more than your reasonable cost of physically performing this</t>
  </si>
  <si>
    <t xml:space="preserve">    conveying of source, or (2) access to copy the</t>
  </si>
  <si>
    <t xml:space="preserve">    Corresponding Source from a network server at no charge.</t>
  </si>
  <si>
    <t xml:space="preserve">    c) Convey individual copies of the object code with a copy of the</t>
  </si>
  <si>
    <t xml:space="preserve">    written offer to provide the Corresponding Source.  This</t>
  </si>
  <si>
    <t xml:space="preserve">    alternative is allowed only occasionally and noncommercially, and</t>
  </si>
  <si>
    <t xml:space="preserve">    only if you received the object code with such an offer, in accord</t>
  </si>
  <si>
    <t xml:space="preserve">    with subsection 6b.</t>
  </si>
  <si>
    <t xml:space="preserve">    d) Convey the object code by offering access from a designated</t>
  </si>
  <si>
    <t xml:space="preserve">    place (gratis or for a charge), and offer equivalent access to the</t>
  </si>
  <si>
    <t xml:space="preserve">    Corresponding Source in the same way through the same place at no</t>
  </si>
  <si>
    <t xml:space="preserve">    further charge.  You need not require recipients to copy the</t>
  </si>
  <si>
    <t xml:space="preserve">    Corresponding Source along with the object code.  If the place to</t>
  </si>
  <si>
    <t xml:space="preserve">    copy the object code is a network server, the Corresponding Source</t>
  </si>
  <si>
    <t xml:space="preserve">    may be on a different server (operated by you or a third party)</t>
  </si>
  <si>
    <t xml:space="preserve">    that supports equivalent copying facilities, provided you maintain</t>
  </si>
  <si>
    <t xml:space="preserve">    clear directions next to the object code saying where to find the</t>
  </si>
  <si>
    <t xml:space="preserve">    Corresponding Source.  Regardless of what server hosts the</t>
  </si>
  <si>
    <t xml:space="preserve">    Corresponding Source, you remain obligated to ensure that it is</t>
  </si>
  <si>
    <t xml:space="preserve">    available for as long as needed to satisfy these requirements.</t>
  </si>
  <si>
    <t xml:space="preserve">    e) Convey the object code using peer-to-peer transmission, provided</t>
  </si>
  <si>
    <t xml:space="preserve">    you inform other peers where the object code and Corresponding</t>
  </si>
  <si>
    <t xml:space="preserve">    Source of the work are being offered to the general public at no</t>
  </si>
  <si>
    <t xml:space="preserve">    charge under subsection 6d.</t>
  </si>
  <si>
    <t xml:space="preserve">  A separable portion of the object code, whose source code is excluded</t>
  </si>
  <si>
    <t>from the Corresponding Source as a System Library, need not be</t>
  </si>
  <si>
    <t>included in conveying the object code work.</t>
  </si>
  <si>
    <t xml:space="preserve">  A "User Product" is either (1) a "consumer product", which means any</t>
  </si>
  <si>
    <t>tangible personal property which is normally used for personal, family,</t>
  </si>
  <si>
    <t>or household purposes, or (2) anything designed or sold for incorporation</t>
  </si>
  <si>
    <t>into a dwelling.  In determining whether a product is a consumer product,</t>
  </si>
  <si>
    <t>doubtful cases shall be resolved in favor of coverage.  For a particular</t>
  </si>
  <si>
    <t>product received by a particular user, "normally used" refers to a</t>
  </si>
  <si>
    <t>typical or common use of that class of product, regardless of the status</t>
  </si>
  <si>
    <t>of the particular user or of the way in which the particular user</t>
  </si>
  <si>
    <t>actually uses, or expects or is expected to use, the product.  A product</t>
  </si>
  <si>
    <t>is a consumer product regardless of whether the product has substantial</t>
  </si>
  <si>
    <t>commercial, industrial or non-consumer uses, unless such uses represent</t>
  </si>
  <si>
    <t>the only significant mode of use of the product.</t>
  </si>
  <si>
    <t xml:space="preserve">  "Installation Information" for a User Product means any methods,</t>
  </si>
  <si>
    <t>procedures, authorization keys, or other information required to install</t>
  </si>
  <si>
    <t>and execute modified versions of a covered work in that User Product from</t>
  </si>
  <si>
    <t>a modified version of its Corresponding Source.  The information must</t>
  </si>
  <si>
    <t>suffice to ensure that the continued functioning of the modified object</t>
  </si>
  <si>
    <t>code is in no case prevented or interfered with solely because</t>
  </si>
  <si>
    <t>modification has been made.</t>
  </si>
  <si>
    <t xml:space="preserve">  If you convey an object code work under this section in, or with, or</t>
  </si>
  <si>
    <t>specifically for use in, a User Product, and the conveying occurs as</t>
  </si>
  <si>
    <t>part of a transaction in which the right of possession and use of the</t>
  </si>
  <si>
    <t>User Product is transferred to the recipient in perpetuity or for a</t>
  </si>
  <si>
    <t>fixed term (regardless of how the transaction is characterized), the</t>
  </si>
  <si>
    <t>Corresponding Source conveyed under this section must be accompanied</t>
  </si>
  <si>
    <t>by the Installation Information.  But this requirement does not apply</t>
  </si>
  <si>
    <t>if neither you nor any third party retains the ability to install</t>
  </si>
  <si>
    <t>modified object code on the User Product (for example, the work has</t>
  </si>
  <si>
    <t>been installed in ROM).</t>
  </si>
  <si>
    <t xml:space="preserve">  The requirement to provide Installation Information does not include a</t>
  </si>
  <si>
    <t>requirement to continue to provide support service, warranty, or updates</t>
  </si>
  <si>
    <t>for a work that has been modified or installed by the recipient, or for</t>
  </si>
  <si>
    <t>the User Product in which it has been modified or installed.  Access to a</t>
  </si>
  <si>
    <t>network may be denied when the modification itself materially and</t>
  </si>
  <si>
    <t>adversely affects the operation of the network or violates the rules and</t>
  </si>
  <si>
    <t>protocols for communication across the network.</t>
  </si>
  <si>
    <t xml:space="preserve">  Corresponding Source conveyed, and Installation Information provided,</t>
  </si>
  <si>
    <t>in accord with this section must be in a format that is publicly</t>
  </si>
  <si>
    <t>documented (and with an implementation available to the public in</t>
  </si>
  <si>
    <t>source code form), and must require no special password or key for</t>
  </si>
  <si>
    <t>unpacking, reading or copying.</t>
  </si>
  <si>
    <t xml:space="preserve">  7. Additional Terms.</t>
  </si>
  <si>
    <t xml:space="preserve">  "Additional permissions" are terms that supplement the terms of this</t>
  </si>
  <si>
    <t>License by making exceptions from one or more of its conditions.</t>
  </si>
  <si>
    <t>Additional permissions that are applicable to the entire Program shall</t>
  </si>
  <si>
    <t>be treated as though they were included in this License, to the extent</t>
  </si>
  <si>
    <t>that they are valid under applicable law.  If additional permissions</t>
  </si>
  <si>
    <t>apply only to part of the Program, that part may be used separately</t>
  </si>
  <si>
    <t>under those permissions, but the entire Program remains governed by</t>
  </si>
  <si>
    <t>this License without regard to the additional permissions.</t>
  </si>
  <si>
    <t xml:space="preserve">  When you convey a copy of a covered work, you may at your option</t>
  </si>
  <si>
    <t>remove any additional permissions from that copy, or from any part of</t>
  </si>
  <si>
    <t>it.  (Additional permissions may be written to require their own</t>
  </si>
  <si>
    <t>removal in certain cases when you modify the work.)  You may place</t>
  </si>
  <si>
    <t>additional permissions on material, added by you to a covered work,</t>
  </si>
  <si>
    <t>for which you have or can give appropriate copyright permission.</t>
  </si>
  <si>
    <t xml:space="preserve">  Notwithstanding any other provision of this License, for material you</t>
  </si>
  <si>
    <t>add to a covered work, you may (if authorized by the copyright holders of</t>
  </si>
  <si>
    <t>that material) supplement the terms of this License with terms:</t>
  </si>
  <si>
    <t xml:space="preserve">    a) Disclaiming warranty or limiting liability differently from the</t>
  </si>
  <si>
    <t xml:space="preserve">    terms of sections 15 and 16 of this License; or</t>
  </si>
  <si>
    <t xml:space="preserve">    b) Requiring preservation of specified reasonable legal notices or</t>
  </si>
  <si>
    <t xml:space="preserve">    author attributions in that material or in the Appropriate Legal</t>
  </si>
  <si>
    <t xml:space="preserve">    Notices displayed by works containing it; or</t>
  </si>
  <si>
    <t xml:space="preserve">    c) Prohibiting misrepresentation of the origin of that material, or</t>
  </si>
  <si>
    <t xml:space="preserve">    requiring that modified versions of such material be marked in</t>
  </si>
  <si>
    <t xml:space="preserve">    reasonable ways as different from the original version; or</t>
  </si>
  <si>
    <t xml:space="preserve">    d) Limiting the use for publicity purposes of names of licensors or</t>
  </si>
  <si>
    <t xml:space="preserve">    authors of the material; or</t>
  </si>
  <si>
    <t xml:space="preserve">    e) Declining to grant rights under trademark law for use of some</t>
  </si>
  <si>
    <t xml:space="preserve">    trade names, trademarks, or service marks; or</t>
  </si>
  <si>
    <t xml:space="preserve">    f) Requiring indemnification of licensors and authors of that</t>
  </si>
  <si>
    <t xml:space="preserve">    material by anyone who conveys the material (or modified versions of</t>
  </si>
  <si>
    <t xml:space="preserve">    it) with contractual assumptions of liability to the recipient, for</t>
  </si>
  <si>
    <t xml:space="preserve">    any liability that these contractual assumptions directly impose on</t>
  </si>
  <si>
    <t xml:space="preserve">    those licensors and authors.</t>
  </si>
  <si>
    <t xml:space="preserve">  All other non-permissive additional terms are considered "further</t>
  </si>
  <si>
    <t>restrictions" within the meaning of section 10.  If the Program as you</t>
  </si>
  <si>
    <t>received it, or any part of it, contains a notice stating that it is</t>
  </si>
  <si>
    <t>governed by this License along with a term that is a further</t>
  </si>
  <si>
    <t>restriction, you may remove that term.  If a license document contains</t>
  </si>
  <si>
    <t>a further restriction but permits relicensing or conveying under this</t>
  </si>
  <si>
    <t>License, you may add to a covered work material governed by the terms</t>
  </si>
  <si>
    <t>of that license document, provided that the further restriction does</t>
  </si>
  <si>
    <t>not survive such relicensing or conveying.</t>
  </si>
  <si>
    <t xml:space="preserve">  If you add terms to a covered work in accord with this section, you</t>
  </si>
  <si>
    <t>must place, in the relevant source files, a statement of the</t>
  </si>
  <si>
    <t>additional terms that apply to those files, or a notice indicating</t>
  </si>
  <si>
    <t>where to find the applicable terms.</t>
  </si>
  <si>
    <t xml:space="preserve">  Additional terms, permissive or non-permissive, may be stated in the</t>
  </si>
  <si>
    <t>form of a separately written license, or stated as exceptions;</t>
  </si>
  <si>
    <t>the above requirements apply either way.</t>
  </si>
  <si>
    <t xml:space="preserve">  8. Termination.</t>
  </si>
  <si>
    <t xml:space="preserve">  You may not propagate or modify a covered work except as expressly</t>
  </si>
  <si>
    <t>provided under this License.  Any attempt otherwise to propagate or</t>
  </si>
  <si>
    <t>modify it is void, and will automatically terminate your rights under</t>
  </si>
  <si>
    <t>this License (including any patent licenses granted under the third</t>
  </si>
  <si>
    <t>paragraph of section 11).</t>
  </si>
  <si>
    <t xml:space="preserve">  However, if you cease all violation of this License, then your</t>
  </si>
  <si>
    <t>license from a particular copyright holder is reinstated (a)</t>
  </si>
  <si>
    <t>provisionally, unless and until the copyright holder explicitly and</t>
  </si>
  <si>
    <t>finally terminates your license, and (b) permanently, if the copyright</t>
  </si>
  <si>
    <t>holder fails to notify you of the violation by some reasonable means</t>
  </si>
  <si>
    <t>prior to 60 days after the cessation.</t>
  </si>
  <si>
    <t xml:space="preserve">  Moreover, your license from a particular copyright holder is</t>
  </si>
  <si>
    <t>reinstated permanently if the copyright holder notifies you of the</t>
  </si>
  <si>
    <t>violation by some reasonable means, this is the first time you have</t>
  </si>
  <si>
    <t>received notice of violation of this License (for any work) from that</t>
  </si>
  <si>
    <t>copyright holder, and you cure the violation prior to 30 days after</t>
  </si>
  <si>
    <t>your receipt of the notice.</t>
  </si>
  <si>
    <t xml:space="preserve">  Termination of your rights under this section does not terminate the</t>
  </si>
  <si>
    <t>licenses of parties who have received copies or rights from you under</t>
  </si>
  <si>
    <t>this License.  If your rights have been terminated and not permanently</t>
  </si>
  <si>
    <t>reinstated, you do not qualify to receive new licenses for the same</t>
  </si>
  <si>
    <t>material under section 10.</t>
  </si>
  <si>
    <t xml:space="preserve">  9. Acceptance Not Required for Having Copies.</t>
  </si>
  <si>
    <t xml:space="preserve">  You are not required to accept this License in order to receive or</t>
  </si>
  <si>
    <t>run a copy of the Program.  Ancillary propagation of a covered work</t>
  </si>
  <si>
    <t>occurring solely as a consequence of using peer-to-peer transmission</t>
  </si>
  <si>
    <t>to receive a copy likewise does not require acceptance.  However,</t>
  </si>
  <si>
    <t>nothing other than this License grants you permission to propagate or</t>
  </si>
  <si>
    <t>modify any covered work.  These actions infringe copyright if you do</t>
  </si>
  <si>
    <t>not accept this License.  Therefore, by modifying or propagating a</t>
  </si>
  <si>
    <t>covered work, you indicate your acceptance of this License to do so.</t>
  </si>
  <si>
    <t xml:space="preserve">  10. Automatic Licensing of Downstream Recipients.</t>
  </si>
  <si>
    <t xml:space="preserve">  Each time you convey a covered work, the recipient automatically</t>
  </si>
  <si>
    <t>receives a license from the original licensors, to run, modify and</t>
  </si>
  <si>
    <t>propagate that work, subject to this License.  You are not responsible</t>
  </si>
  <si>
    <t>for enforcing compliance by third parties with this License.</t>
  </si>
  <si>
    <t xml:space="preserve">  An "entity transaction" is a transaction transferring control of an</t>
  </si>
  <si>
    <t>organization, or substantially all assets of one, or subdividing an</t>
  </si>
  <si>
    <t>organization, or merging organizations.  If propagation of a covered</t>
  </si>
  <si>
    <t>work results from an entity transaction, each party to that</t>
  </si>
  <si>
    <t>transaction who receives a copy of the work also receives whatever</t>
  </si>
  <si>
    <t>licenses to the work the party's predecessor in interest had or could</t>
  </si>
  <si>
    <t>give under the previous paragraph, plus a right to possession of the</t>
  </si>
  <si>
    <t>Corresponding Source of the work from the predecessor in interest, if</t>
  </si>
  <si>
    <t>the predecessor has it or can get it with reasonable efforts.</t>
  </si>
  <si>
    <t xml:space="preserve">  You may not impose any further restrictions on the exercise of the</t>
  </si>
  <si>
    <t>rights granted or affirmed under this License.  For example, you may</t>
  </si>
  <si>
    <t>not impose a license fee, royalty, or other charge for exercise of</t>
  </si>
  <si>
    <t>rights granted under this License, and you may not initiate litigation</t>
  </si>
  <si>
    <t>(including a cross-claim or counterclaim in a lawsuit) alleging that</t>
  </si>
  <si>
    <t>any patent claim is infringed by making, using, selling, offering for</t>
  </si>
  <si>
    <t>sale, or importing the Program or any portion of it.</t>
  </si>
  <si>
    <t xml:space="preserve">  11. Patents.</t>
  </si>
  <si>
    <t xml:space="preserve">  A "contributor" is a copyright holder who authorizes use under this</t>
  </si>
  <si>
    <t>License of the Program or a work on which the Program is based.  The</t>
  </si>
  <si>
    <t>work thus licensed is called the contributor's "contributor version".</t>
  </si>
  <si>
    <t xml:space="preserve">  A contributor's "essential patent claims" are all patent claims</t>
  </si>
  <si>
    <t>owned or controlled by the contributor, whether already acquired or</t>
  </si>
  <si>
    <t>hereafter acquired, that would be infringed by some manner, permitted</t>
  </si>
  <si>
    <t>by this License, of making, using, or selling its contributor version,</t>
  </si>
  <si>
    <t>but do not include claims that would be infringed only as a</t>
  </si>
  <si>
    <t>consequence of further modification of the contributor version.  For</t>
  </si>
  <si>
    <t>purposes of this definition, "control" includes the right to grant</t>
  </si>
  <si>
    <t>patent sublicenses in a manner consistent with the requirements of</t>
  </si>
  <si>
    <t>this License.</t>
  </si>
  <si>
    <t xml:space="preserve">  Each contributor grants you a non-exclusive, worldwide, royalty-free</t>
  </si>
  <si>
    <t>patent license under the contributor's essential patent claims, to</t>
  </si>
  <si>
    <t>make, use, sell, offer for sale, import and otherwise run, modify and</t>
  </si>
  <si>
    <t>propagate the contents of its contributor version.</t>
  </si>
  <si>
    <t xml:space="preserve">  In the following three paragraphs, a "patent license" is any express</t>
  </si>
  <si>
    <t>agreement or commitment, however denominated, not to enforce a patent</t>
  </si>
  <si>
    <t>(such as an express permission to practice a patent or covenant not to</t>
  </si>
  <si>
    <t>sue for patent infringement).  To "grant" such a patent license to a</t>
  </si>
  <si>
    <t>party means to make such an agreement or commitment not to enforce a</t>
  </si>
  <si>
    <t>patent against the party.</t>
  </si>
  <si>
    <t xml:space="preserve">  If you convey a covered work, knowingly relying on a patent license,</t>
  </si>
  <si>
    <t>and the Corresponding Source of the work is not available for anyone</t>
  </si>
  <si>
    <t>to copy, free of charge and under the terms of this License, through a</t>
  </si>
  <si>
    <t>publicly available network server or other readily accessible means,</t>
  </si>
  <si>
    <t>then you must either (1) cause the Corresponding Source to be so</t>
  </si>
  <si>
    <t>available, or (2) arrange to deprive yourself of the benefit of the</t>
  </si>
  <si>
    <t>patent license for this particular work, or (3) arrange, in a manner</t>
  </si>
  <si>
    <t>consistent with the requirements of this License, to extend the patent</t>
  </si>
  <si>
    <t>license to downstream recipients.  "Knowingly relying" means you have</t>
  </si>
  <si>
    <t>actual knowledge that, but for the patent license, your conveying the</t>
  </si>
  <si>
    <t>covered work in a country, or your recipient's use of the covered work</t>
  </si>
  <si>
    <t>in a country, would infringe one or more identifiable patents in that</t>
  </si>
  <si>
    <t>country that you have reason to believe are valid.</t>
  </si>
  <si>
    <t xml:space="preserve">  If, pursuant to or in connection with a single transaction or</t>
  </si>
  <si>
    <t>arrangement, you convey, or propagate by procuring conveyance of, a</t>
  </si>
  <si>
    <t>covered work, and grant a patent license to some of the parties</t>
  </si>
  <si>
    <t>receiving the covered work authorizing them to use, propagate, modify</t>
  </si>
  <si>
    <t>or convey a specific copy of the covered work, then the patent license</t>
  </si>
  <si>
    <t>you grant is automatically extended to all recipients of the covered</t>
  </si>
  <si>
    <t>work and works based on it.</t>
  </si>
  <si>
    <t xml:space="preserve">  A patent license is "discriminatory" if it does not include within</t>
  </si>
  <si>
    <t>the scope of its coverage, prohibits the exercise of, or is</t>
  </si>
  <si>
    <t>conditioned on the non-exercise of one or more of the rights that are</t>
  </si>
  <si>
    <t>specifically granted under this License.  You may not convey a covered</t>
  </si>
  <si>
    <t>work if you are a party to an arrangement with a third party that is</t>
  </si>
  <si>
    <t>in the business of distributing software, under which you make payment</t>
  </si>
  <si>
    <t>to the third party based on the extent of your activity of conveying</t>
  </si>
  <si>
    <t>the work, and under which the third party grants, to any of the</t>
  </si>
  <si>
    <t>parties who would receive the covered work from you, a discriminatory</t>
  </si>
  <si>
    <t>patent license (a) in connection with copies of the covered work</t>
  </si>
  <si>
    <t>conveyed by you (or copies made from those copies), or (b) primarily</t>
  </si>
  <si>
    <t>for and in connection with specific products or compilations that</t>
  </si>
  <si>
    <t>contain the covered work, unless you entered into that arrangement,</t>
  </si>
  <si>
    <t>or that patent license was granted, prior to 28 March 2007.</t>
  </si>
  <si>
    <t xml:space="preserve">  Nothing in this License shall be construed as excluding or limiting</t>
  </si>
  <si>
    <t>any implied license or other defenses to infringement that may</t>
  </si>
  <si>
    <t>otherwise be available to you under applicable patent law.</t>
  </si>
  <si>
    <t xml:space="preserve">  12. No Surrender of Others' Freedom.</t>
  </si>
  <si>
    <t xml:space="preserve">  If conditions are imposed on you (whether by court order, agreement or</t>
  </si>
  <si>
    <t>otherwise) that contradict the conditions of this License, they do not</t>
  </si>
  <si>
    <t>excuse you from the conditions of this License.  If you cannot convey a</t>
  </si>
  <si>
    <t>covered work so as to satisfy simultaneously your obligations under this</t>
  </si>
  <si>
    <t>License and any other pertinent obligations, then as a consequence you may</t>
  </si>
  <si>
    <t>not convey it at all.  For example, if you agree to terms that obligate you</t>
  </si>
  <si>
    <t>to collect a royalty for further conveying from those to whom you convey</t>
  </si>
  <si>
    <t>the Program, the only way you could satisfy both those terms and this</t>
  </si>
  <si>
    <t>License would be to refrain entirely from conveying the Program.</t>
  </si>
  <si>
    <t xml:space="preserve">  13. Remote Network Interaction; Use with the GNU General Public License.</t>
  </si>
  <si>
    <t xml:space="preserve">  Notwithstanding any other provision of this License, if you modify the</t>
  </si>
  <si>
    <t>Program, your modified version must prominently offer all users</t>
  </si>
  <si>
    <t>interacting with it remotely through a computer network (if your version</t>
  </si>
  <si>
    <t>supports such interaction) an opportunity to receive the Corresponding</t>
  </si>
  <si>
    <t>Source of your version by providing access to the Corresponding Source</t>
  </si>
  <si>
    <t>from a network server at no charge, through some standard or customary</t>
  </si>
  <si>
    <t>means of facilitating copying of software.  This Corresponding Source</t>
  </si>
  <si>
    <t>shall include the Corresponding Source for any work covered by version 3</t>
  </si>
  <si>
    <t>of the GNU General Public License that is incorporated pursuant to the</t>
  </si>
  <si>
    <t>following paragraph.</t>
  </si>
  <si>
    <t xml:space="preserve">  Notwithstanding any other provision of this License, you have</t>
  </si>
  <si>
    <t>permission to link or combine any covered work with a work licensed</t>
  </si>
  <si>
    <t>under version 3 of the GNU General Public License into a single</t>
  </si>
  <si>
    <t>combined work, and to convey the resulting work.  The terms of this</t>
  </si>
  <si>
    <t>License will continue to apply to the part which is the covered work,</t>
  </si>
  <si>
    <t>but the work with which it is combined will remain governed by version</t>
  </si>
  <si>
    <t>3 of the GNU General Public License.</t>
  </si>
  <si>
    <t xml:space="preserve">  14. Revised Versions of this License.</t>
  </si>
  <si>
    <t xml:space="preserve">  The Free Software Foundation may publish revised and/or new versions of</t>
  </si>
  <si>
    <t>the GNU Affero General Public License from time to time.  Such new versions</t>
  </si>
  <si>
    <t>will be similar in spirit to the present version, but may differ in detail to</t>
  </si>
  <si>
    <t>address new problems or concerns.</t>
  </si>
  <si>
    <t xml:space="preserve">  Each version is given a distinguishing version number.  If the</t>
  </si>
  <si>
    <t>Program specifies that a certain numbered version of the GNU Affero General</t>
  </si>
  <si>
    <t>Public License "or any later version" applies to it, you have the</t>
  </si>
  <si>
    <t>option of following the terms and conditions either of that numbered</t>
  </si>
  <si>
    <t>version or of any later version published by the Free Software</t>
  </si>
  <si>
    <t>Foundation.  If the Program does not specify a version number of the</t>
  </si>
  <si>
    <t>GNU Affero General Public License, you may choose any version ever published</t>
  </si>
  <si>
    <t>by the Free Software Foundation.</t>
  </si>
  <si>
    <t xml:space="preserve">  If the Program specifies that a proxy can decide which future</t>
  </si>
  <si>
    <t>versions of the GNU Affero General Public License can be used, that proxy's</t>
  </si>
  <si>
    <t>public statement of acceptance of a version permanently authorizes you</t>
  </si>
  <si>
    <t>to choose that version for the Program.</t>
  </si>
  <si>
    <t xml:space="preserve">  Later license versions may give you additional or different</t>
  </si>
  <si>
    <t>permissions.  However, no additional obligations are imposed on any</t>
  </si>
  <si>
    <t>author or copyright holder as a result of your choosing to follow a</t>
  </si>
  <si>
    <t>later version.</t>
  </si>
  <si>
    <t xml:space="preserve">  15. Disclaimer of Warranty.</t>
  </si>
  <si>
    <t xml:space="preserve">  THERE IS NO WARRANTY FOR THE PROGRAM, TO THE EXTENT PERMITTED BY</t>
  </si>
  <si>
    <t>APPLICABLE LAW.  EXCEPT WHEN OTHERWISE STATED IN WRITING THE COPYRIGHT</t>
  </si>
  <si>
    <t>HOLDERS AND/OR OTHER PARTIES PROVIDE THE PROGRAM "AS IS" WITHOUT WARRANTY</t>
  </si>
  <si>
    <t>OF ANY KIND, EITHER EXPRESSED OR IMPLIED, INCLUDING, BUT NOT LIMITED TO,</t>
  </si>
  <si>
    <t>THE IMPLIED WARRANTIES OF MERCHANTABILITY AND FITNESS FOR A PARTICULAR</t>
  </si>
  <si>
    <t>PURPOSE.  THE ENTIRE RISK AS TO THE QUALITY AND PERFORMANCE OF THE PROGRAM</t>
  </si>
  <si>
    <t>IS WITH YOU.  SHOULD THE PROGRAM PROVE DEFECTIVE, YOU ASSUME THE COST OF</t>
  </si>
  <si>
    <t>ALL NECESSARY SERVICING, REPAIR OR CORRECTION.</t>
  </si>
  <si>
    <t xml:space="preserve">  16. Limitation of Liability.</t>
  </si>
  <si>
    <t xml:space="preserve">  IN NO EVENT UNLESS REQUIRED BY APPLICABLE LAW OR AGREED TO IN WRITING</t>
  </si>
  <si>
    <t>WILL ANY COPYRIGHT HOLDER, OR ANY OTHER PARTY WHO MODIFIES AND/OR CONVEYS</t>
  </si>
  <si>
    <t>THE PROGRAM AS PERMITTED ABOVE, BE LIABLE TO YOU FOR DAMAGES, INCLUDING ANY</t>
  </si>
  <si>
    <t>GENERAL, SPECIAL, INCIDENTAL OR CONSEQUENTIAL DAMAGES ARISING OUT OF THE</t>
  </si>
  <si>
    <t>USE OR INABILITY TO USE THE PROGRAM (INCLUDING BUT NOT LIMITED TO LOSS OF</t>
  </si>
  <si>
    <t>DATA OR DATA BEING RENDERED INACCURATE OR LOSSES SUSTAINED BY YOU OR THIRD</t>
  </si>
  <si>
    <t>PARTIES OR A FAILURE OF THE PROGRAM TO OPERATE WITH ANY OTHER PROGRAMS),</t>
  </si>
  <si>
    <t>EVEN IF SUCH HOLDER OR OTHER PARTY HAS BEEN ADVISED OF THE POSSIBILITY OF</t>
  </si>
  <si>
    <t>SUCH DAMAGES.</t>
  </si>
  <si>
    <t xml:space="preserve">  17. Interpretation of Sections 15 and 16.</t>
  </si>
  <si>
    <t xml:space="preserve">  If the disclaimer of warranty and limitation of liability provided</t>
  </si>
  <si>
    <t>above cannot be given local legal effect according to their terms,</t>
  </si>
  <si>
    <t>reviewing courts shall apply local law that most closely approximates</t>
  </si>
  <si>
    <t>an absolute waiver of all civil liability in connection with the</t>
  </si>
  <si>
    <t>Program, unless a warranty or assumption of liability accompanies a</t>
  </si>
  <si>
    <t>copy of the Program in return for a fee.</t>
  </si>
  <si>
    <t xml:space="preserve">                     END OF TERMS AND CONDITIONS</t>
  </si>
  <si>
    <t xml:space="preserve">            How to Apply These Terms to Your New Programs</t>
  </si>
  <si>
    <t xml:space="preserve">  If you develop a new program, and you want it to be of the greatest</t>
  </si>
  <si>
    <t>possible use to the public, the best way to achieve this is to make it</t>
  </si>
  <si>
    <t>free software which everyone can redistribute and change under these terms.</t>
  </si>
  <si>
    <t xml:space="preserve">  To do so, attach the following notices to the program.  It is safest</t>
  </si>
  <si>
    <t>to attach them to the start of each source file to most effectively</t>
  </si>
  <si>
    <t>state the exclusion of warranty; and each file should have at least</t>
  </si>
  <si>
    <t>the "copyright" line and a pointer to where the full notice is found.</t>
  </si>
  <si>
    <t xml:space="preserve">    &lt;one line to give the program's name and a brief idea of what it does.&gt;</t>
  </si>
  <si>
    <t xml:space="preserve">    Copyright (C) &lt;year&gt;  &lt;name of author&gt;</t>
  </si>
  <si>
    <t xml:space="preserve">    This program is free software: you can redistribute it and/or modify</t>
  </si>
  <si>
    <t xml:space="preserve">    it under the terms of the GNU Affero General Public License as published</t>
  </si>
  <si>
    <t xml:space="preserve">    by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</si>
  <si>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</si>
  <si>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</si>
  <si>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</si>
  <si>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</si>
  <si>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Affero General Public License for more details.</t>
  </si>
  <si>
    <t xml:space="preserve">    You should have received a copy of the GNU Affero General Public License</t>
  </si>
  <si>
    <t xml:space="preserve">    along with this program.  If not, see &lt;https://www.gnu.org/licenses/&gt;.</t>
  </si>
  <si>
    <t>Also add information on how to contact you by electronic and paper mail.</t>
  </si>
  <si>
    <t xml:space="preserve">  If your software can interact with users remotely through a computer</t>
  </si>
  <si>
    <t>network, you should also make sure that it provides a way for users to</t>
  </si>
  <si>
    <t>get its source.  For example, if your program is a web application, its</t>
  </si>
  <si>
    <t>interface could display a "Source" link that leads users to an archive</t>
  </si>
  <si>
    <t>of the code.  There are many ways you could offer source, and different</t>
  </si>
  <si>
    <t>solutions will be better for different programs; see section 13 for the</t>
  </si>
  <si>
    <t>specific requirements.</t>
  </si>
  <si>
    <t xml:space="preserve">  You should also get your employer (if you work as a programmer) or school,</t>
  </si>
  <si>
    <t>if any, to sign a "copyright disclaimer" for the program, if necessary.</t>
  </si>
  <si>
    <t>For more information on this, and how to apply and follow the GNU AGPL, see</t>
  </si>
  <si>
    <t>&lt;https://www.gnu.org/licenses/&gt;.</t>
  </si>
  <si>
    <t xml:space="preserve">Note 3: Maximum time should not exceed 0.07 seconds. It is generally recommended not to modify the time column.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</si>
</sst>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E+00"/>
  </numFmts>
  <fonts count="2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2060"/>
      <name val="Times New Roman"/>
      <family val="1"/>
    </font>
    <font>
      <b/>
      <sz val="48"/>
      <color rgb="FF002060"/>
      <name val="Times New Roman"/>
      <family val="1"/>
    </font>
    <font>
      <b/>
      <sz val="72"/>
      <color rgb="FF002060"/>
      <name val="Times New Roman"/>
      <family val="1"/>
    </font>
    <font>
      <b/>
      <sz val="12"/>
      <color rgb="FF002060"/>
      <name val="Times New Roman"/>
      <family val="1"/>
    </font>
    <font>
      <b/>
      <sz val="11"/>
      <color rgb="FF002060"/>
      <name val="Times New Roman"/>
      <family val="1"/>
    </font>
    <font>
      <b/>
      <sz val="12"/>
      <color rgb="FFFFFF0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1"/>
      <color rgb="FFC00000"/>
      <name val="Times New Roman"/>
      <family val="1"/>
    </font>
    <font>
      <sz val="12"/>
      <color rgb="FFFFC000"/>
      <name val="Calibri"/>
      <family val="2"/>
      <scheme val="minor"/>
    </font>
    <font>
      <b/>
      <sz val="11"/>
      <color rgb="FF002060"/>
      <name val="Symbol"/>
      <family val="1"/>
      <charset val="2"/>
    </font>
    <font>
      <b/>
      <sz val="11"/>
      <color rgb="FF002060"/>
      <name val="Times New Roman"/>
      <family val="1"/>
      <charset val="2"/>
    </font>
    <font>
      <sz val="11"/>
      <color rgb="FF002060"/>
      <name val="Symbol"/>
      <family val="1"/>
      <charset val="2"/>
    </font>
    <font>
      <sz val="11"/>
      <color theme="0"/>
      <name val="Times New Roman"/>
      <family val="1"/>
    </font>
    <font>
      <sz val="11"/>
      <color rgb="FFFFFF00"/>
      <name val="Times New Roman"/>
      <family val="1"/>
    </font>
    <font>
      <b/>
      <sz val="12"/>
      <color rgb="FF00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rgb="FFFF0000"/>
      <name val="Times New Roman"/>
      <family val="1"/>
    </font>
    <font>
      <sz val="10"/>
      <name val="Arial"/>
      <family val="2"/>
    </font>
    <font>
      <sz val="11"/>
      <color rgb="FF00206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rgb="FF00206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5" fillId="0" borderId="11" xfId="0" applyFont="1" applyBorder="1"/>
    <xf numFmtId="0" fontId="2" fillId="0" borderId="11" xfId="0" applyFont="1" applyBorder="1"/>
    <xf numFmtId="0" fontId="5" fillId="0" borderId="0" xfId="0" applyFont="1" applyBorder="1"/>
    <xf numFmtId="0" fontId="2" fillId="0" borderId="0" xfId="0" applyFont="1" applyBorder="1"/>
    <xf numFmtId="2" fontId="2" fillId="0" borderId="0" xfId="0" applyNumberFormat="1" applyFont="1"/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0" fontId="6" fillId="0" borderId="0" xfId="0" applyFont="1"/>
    <xf numFmtId="0" fontId="2" fillId="0" borderId="0" xfId="0" applyFont="1" applyFill="1"/>
    <xf numFmtId="0" fontId="2" fillId="0" borderId="0" xfId="0" applyFont="1" applyFill="1" applyBorder="1"/>
    <xf numFmtId="11" fontId="2" fillId="0" borderId="0" xfId="0" applyNumberFormat="1" applyFont="1"/>
    <xf numFmtId="0" fontId="2" fillId="0" borderId="0" xfId="0" applyFont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/>
    <xf numFmtId="2" fontId="2" fillId="0" borderId="0" xfId="0" applyNumberFormat="1" applyFont="1" applyFill="1" applyBorder="1"/>
    <xf numFmtId="165" fontId="2" fillId="0" borderId="0" xfId="0" applyNumberFormat="1" applyFont="1" applyFill="1" applyBorder="1"/>
    <xf numFmtId="2" fontId="2" fillId="0" borderId="0" xfId="0" applyNumberFormat="1" applyFont="1" applyFill="1" applyBorder="1" applyAlignment="1">
      <alignment horizontal="center"/>
    </xf>
    <xf numFmtId="0" fontId="6" fillId="0" borderId="0" xfId="0" applyFont="1" applyFill="1" applyBorder="1"/>
    <xf numFmtId="164" fontId="6" fillId="0" borderId="0" xfId="0" applyNumberFormat="1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6" fillId="0" borderId="5" xfId="0" applyFont="1" applyBorder="1" applyAlignment="1">
      <alignment horizontal="center" wrapText="1"/>
    </xf>
    <xf numFmtId="0" fontId="6" fillId="0" borderId="0" xfId="0" applyFont="1" applyAlignment="1">
      <alignment wrapText="1"/>
    </xf>
    <xf numFmtId="2" fontId="2" fillId="0" borderId="5" xfId="0" applyNumberFormat="1" applyFont="1" applyBorder="1" applyAlignment="1">
      <alignment horizontal="center"/>
    </xf>
    <xf numFmtId="2" fontId="2" fillId="2" borderId="5" xfId="0" applyNumberFormat="1" applyFont="1" applyFill="1" applyBorder="1" applyAlignment="1">
      <alignment horizontal="center"/>
    </xf>
    <xf numFmtId="0" fontId="6" fillId="0" borderId="0" xfId="0" applyFont="1" applyBorder="1" applyAlignment="1">
      <alignment vertical="center"/>
    </xf>
    <xf numFmtId="0" fontId="6" fillId="0" borderId="5" xfId="0" applyFont="1" applyFill="1" applyBorder="1" applyAlignment="1">
      <alignment horizontal="center"/>
    </xf>
    <xf numFmtId="164" fontId="6" fillId="0" borderId="5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vertical="center"/>
    </xf>
    <xf numFmtId="165" fontId="2" fillId="0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/>
    <xf numFmtId="0" fontId="6" fillId="0" borderId="9" xfId="0" applyFont="1" applyFill="1" applyBorder="1" applyAlignment="1">
      <alignment horizontal="center"/>
    </xf>
    <xf numFmtId="164" fontId="6" fillId="0" borderId="9" xfId="0" applyNumberFormat="1" applyFont="1" applyFill="1" applyBorder="1" applyAlignment="1">
      <alignment horizontal="center"/>
    </xf>
    <xf numFmtId="2" fontId="2" fillId="0" borderId="5" xfId="0" applyNumberFormat="1" applyFont="1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2" fontId="2" fillId="3" borderId="5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center" wrapText="1"/>
    </xf>
    <xf numFmtId="2" fontId="2" fillId="0" borderId="0" xfId="0" applyNumberFormat="1" applyFont="1" applyBorder="1" applyAlignment="1">
      <alignment horizontal="center"/>
    </xf>
    <xf numFmtId="164" fontId="6" fillId="5" borderId="1" xfId="0" applyNumberFormat="1" applyFont="1" applyFill="1" applyBorder="1" applyAlignment="1">
      <alignment horizontal="center"/>
    </xf>
    <xf numFmtId="1" fontId="6" fillId="5" borderId="1" xfId="0" applyNumberFormat="1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2" fontId="2" fillId="0" borderId="5" xfId="0" applyNumberFormat="1" applyFont="1" applyFill="1" applyBorder="1" applyAlignment="1">
      <alignment horizontal="center"/>
    </xf>
    <xf numFmtId="1" fontId="2" fillId="0" borderId="5" xfId="0" applyNumberFormat="1" applyFont="1" applyFill="1" applyBorder="1" applyAlignment="1">
      <alignment horizontal="center"/>
    </xf>
    <xf numFmtId="0" fontId="2" fillId="0" borderId="5" xfId="0" applyNumberFormat="1" applyFont="1" applyFill="1" applyBorder="1" applyAlignment="1">
      <alignment horizontal="center"/>
    </xf>
    <xf numFmtId="164" fontId="9" fillId="0" borderId="0" xfId="0" applyNumberFormat="1" applyFont="1" applyFill="1" applyAlignment="1"/>
    <xf numFmtId="0" fontId="2" fillId="0" borderId="5" xfId="0" applyFont="1" applyFill="1" applyBorder="1" applyAlignment="1"/>
    <xf numFmtId="1" fontId="2" fillId="0" borderId="5" xfId="0" applyNumberFormat="1" applyFont="1" applyFill="1" applyBorder="1" applyAlignment="1"/>
    <xf numFmtId="164" fontId="2" fillId="0" borderId="5" xfId="0" applyNumberFormat="1" applyFont="1" applyFill="1" applyBorder="1" applyAlignment="1"/>
    <xf numFmtId="2" fontId="2" fillId="0" borderId="5" xfId="0" applyNumberFormat="1" applyFont="1" applyFill="1" applyBorder="1" applyAlignment="1"/>
    <xf numFmtId="0" fontId="6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/>
    <xf numFmtId="0" fontId="6" fillId="0" borderId="0" xfId="0" applyFont="1" applyFill="1" applyBorder="1" applyAlignment="1">
      <alignment vertical="center"/>
    </xf>
    <xf numFmtId="0" fontId="2" fillId="0" borderId="6" xfId="0" applyFont="1" applyBorder="1"/>
    <xf numFmtId="0" fontId="2" fillId="0" borderId="10" xfId="0" applyFont="1" applyFill="1" applyBorder="1"/>
    <xf numFmtId="0" fontId="2" fillId="0" borderId="2" xfId="0" applyFont="1" applyBorder="1"/>
    <xf numFmtId="0" fontId="2" fillId="0" borderId="7" xfId="0" applyFont="1" applyBorder="1"/>
    <xf numFmtId="0" fontId="2" fillId="0" borderId="3" xfId="0" applyFont="1" applyBorder="1"/>
    <xf numFmtId="0" fontId="2" fillId="0" borderId="8" xfId="0" applyFont="1" applyBorder="1"/>
    <xf numFmtId="0" fontId="2" fillId="0" borderId="1" xfId="0" applyFont="1" applyFill="1" applyBorder="1"/>
    <xf numFmtId="0" fontId="2" fillId="0" borderId="4" xfId="0" applyFont="1" applyBorder="1"/>
    <xf numFmtId="0" fontId="6" fillId="0" borderId="5" xfId="0" applyFont="1" applyFill="1" applyBorder="1" applyAlignment="1">
      <alignment horizontal="center" vertical="center" wrapText="1"/>
    </xf>
    <xf numFmtId="0" fontId="11" fillId="0" borderId="5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14" fillId="0" borderId="0" xfId="0" applyFont="1"/>
    <xf numFmtId="0" fontId="2" fillId="0" borderId="5" xfId="0" applyNumberFormat="1" applyFont="1" applyBorder="1" applyAlignment="1" applyProtection="1">
      <alignment horizontal="center"/>
    </xf>
    <xf numFmtId="2" fontId="2" fillId="5" borderId="5" xfId="0" applyNumberFormat="1" applyFont="1" applyFill="1" applyBorder="1" applyAlignment="1" applyProtection="1">
      <alignment horizontal="center"/>
    </xf>
    <xf numFmtId="0" fontId="2" fillId="0" borderId="5" xfId="0" applyFont="1" applyBorder="1" applyAlignment="1" applyProtection="1">
      <alignment horizontal="center"/>
    </xf>
    <xf numFmtId="1" fontId="2" fillId="0" borderId="5" xfId="0" applyNumberFormat="1" applyFont="1" applyFill="1" applyBorder="1" applyAlignment="1" applyProtection="1">
      <alignment horizontal="center"/>
      <protection locked="0"/>
    </xf>
    <xf numFmtId="2" fontId="2" fillId="0" borderId="5" xfId="0" applyNumberFormat="1" applyFont="1" applyFill="1" applyBorder="1" applyAlignment="1" applyProtection="1">
      <alignment horizontal="center"/>
      <protection locked="0"/>
    </xf>
    <xf numFmtId="164" fontId="2" fillId="0" borderId="5" xfId="0" applyNumberFormat="1" applyFont="1" applyFill="1" applyBorder="1" applyAlignment="1" applyProtection="1">
      <alignment horizontal="center"/>
      <protection locked="0"/>
    </xf>
    <xf numFmtId="0" fontId="2" fillId="0" borderId="5" xfId="0" applyFont="1" applyFill="1" applyBorder="1" applyAlignment="1" applyProtection="1">
      <alignment horizontal="center"/>
      <protection locked="0"/>
    </xf>
    <xf numFmtId="165" fontId="2" fillId="0" borderId="5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Fill="1" applyBorder="1" applyAlignment="1" applyProtection="1">
      <alignment horizontal="center"/>
      <protection locked="0"/>
    </xf>
    <xf numFmtId="0" fontId="2" fillId="0" borderId="5" xfId="0" applyFont="1" applyBorder="1" applyAlignment="1">
      <alignment horizontal="left"/>
    </xf>
    <xf numFmtId="0" fontId="6" fillId="0" borderId="0" xfId="0" applyFont="1" applyAlignment="1"/>
    <xf numFmtId="0" fontId="15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10" xfId="0" applyFont="1" applyFill="1" applyBorder="1" applyAlignment="1">
      <alignment horizontal="left"/>
    </xf>
    <xf numFmtId="0" fontId="2" fillId="0" borderId="7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3" xfId="0" applyFont="1" applyFill="1" applyBorder="1" applyAlignment="1">
      <alignment horizontal="left"/>
    </xf>
    <xf numFmtId="0" fontId="2" fillId="0" borderId="8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" fillId="0" borderId="4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/>
    </xf>
    <xf numFmtId="0" fontId="2" fillId="0" borderId="10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left"/>
    </xf>
    <xf numFmtId="166" fontId="2" fillId="0" borderId="5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3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2" fillId="0" borderId="10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2" fillId="0" borderId="1" xfId="0" applyFont="1" applyBorder="1"/>
    <xf numFmtId="0" fontId="6" fillId="0" borderId="5" xfId="0" applyFont="1" applyFill="1" applyBorder="1" applyAlignment="1">
      <alignment horizontal="center" vertical="center"/>
    </xf>
    <xf numFmtId="0" fontId="20" fillId="0" borderId="0" xfId="0" applyFont="1"/>
    <xf numFmtId="0" fontId="20" fillId="0" borderId="5" xfId="0" applyFont="1" applyBorder="1" applyAlignment="1">
      <alignment horizontal="center"/>
    </xf>
    <xf numFmtId="164" fontId="20" fillId="0" borderId="0" xfId="0" applyNumberFormat="1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0" xfId="0" applyFont="1" applyAlignment="1">
      <alignment horizontal="center"/>
    </xf>
    <xf numFmtId="164" fontId="20" fillId="0" borderId="0" xfId="0" applyNumberFormat="1" applyFont="1" applyAlignment="1">
      <alignment horizontal="center"/>
    </xf>
    <xf numFmtId="11" fontId="20" fillId="0" borderId="0" xfId="0" applyNumberFormat="1" applyFont="1" applyAlignment="1">
      <alignment horizontal="center"/>
    </xf>
    <xf numFmtId="0" fontId="20" fillId="0" borderId="0" xfId="0" applyFont="1" applyBorder="1" applyAlignment="1"/>
    <xf numFmtId="0" fontId="20" fillId="0" borderId="0" xfId="0" applyFont="1" applyBorder="1"/>
    <xf numFmtId="0" fontId="20" fillId="0" borderId="5" xfId="0" applyFont="1" applyBorder="1"/>
    <xf numFmtId="11" fontId="20" fillId="0" borderId="5" xfId="0" applyNumberFormat="1" applyFont="1" applyBorder="1" applyAlignment="1">
      <alignment horizontal="center"/>
    </xf>
    <xf numFmtId="11" fontId="20" fillId="0" borderId="5" xfId="0" applyNumberFormat="1" applyFont="1" applyBorder="1"/>
    <xf numFmtId="0" fontId="20" fillId="0" borderId="5" xfId="0" applyFont="1" applyBorder="1" applyAlignment="1">
      <alignment horizontal="center" vertical="center"/>
    </xf>
    <xf numFmtId="167" fontId="20" fillId="0" borderId="5" xfId="0" applyNumberFormat="1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 applyProtection="1">
      <alignment horizontal="center" vertical="center"/>
      <protection locked="0"/>
    </xf>
    <xf numFmtId="11" fontId="20" fillId="0" borderId="5" xfId="1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5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left"/>
    </xf>
    <xf numFmtId="0" fontId="2" fillId="0" borderId="5" xfId="0" applyFont="1" applyBorder="1" applyAlignment="1">
      <alignment horizontal="left"/>
    </xf>
    <xf numFmtId="0" fontId="6" fillId="0" borderId="5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20" fillId="0" borderId="5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5" xfId="0" applyFont="1" applyBorder="1" applyAlignment="1">
      <alignment horizontal="center" wrapText="1"/>
    </xf>
    <xf numFmtId="0" fontId="20" fillId="0" borderId="5" xfId="0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" fillId="7" borderId="5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</cellXfs>
  <cellStyles count="2">
    <cellStyle name="Normal" xfId="0" builtinId="0"/>
    <cellStyle name="Normal 2" xfId="1" xr:uid="{93D1B8A8-1DE1-45A4-8D46-6BFF3B185931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ViscoWave Deflections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VW!$T$79</c:f>
              <c:strCache>
                <c:ptCount val="1"/>
                <c:pt idx="0">
                  <c:v>D1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VW!$T$80:$T$379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1.2670780531168749E-6</c:v>
                </c:pt>
                <c:pt idx="22">
                  <c:v>1.2307781522334308E-3</c:v>
                </c:pt>
                <c:pt idx="23">
                  <c:v>8.8600318021316363E-3</c:v>
                </c:pt>
                <c:pt idx="24">
                  <c:v>2.6028973645021391E-2</c:v>
                </c:pt>
                <c:pt idx="25">
                  <c:v>5.3729529449202396E-2</c:v>
                </c:pt>
                <c:pt idx="26">
                  <c:v>9.1943376592883708E-2</c:v>
                </c:pt>
                <c:pt idx="27">
                  <c:v>0.13921407063067737</c:v>
                </c:pt>
                <c:pt idx="28">
                  <c:v>0.19377318205976996</c:v>
                </c:pt>
                <c:pt idx="29">
                  <c:v>0.25607715792037644</c:v>
                </c:pt>
                <c:pt idx="30">
                  <c:v>0.32740738235253569</c:v>
                </c:pt>
                <c:pt idx="31">
                  <c:v>0.40607667013809784</c:v>
                </c:pt>
                <c:pt idx="32">
                  <c:v>0.49025323802240645</c:v>
                </c:pt>
                <c:pt idx="33">
                  <c:v>0.57943215466813269</c:v>
                </c:pt>
                <c:pt idx="34">
                  <c:v>0.67358282570924188</c:v>
                </c:pt>
                <c:pt idx="35">
                  <c:v>0.77194241529785723</c:v>
                </c:pt>
                <c:pt idx="36">
                  <c:v>0.87484367446524869</c:v>
                </c:pt>
                <c:pt idx="37">
                  <c:v>0.98266688711315742</c:v>
                </c:pt>
                <c:pt idx="38">
                  <c:v>1.0946779413972787</c:v>
                </c:pt>
                <c:pt idx="39">
                  <c:v>1.2106652644338129</c:v>
                </c:pt>
                <c:pt idx="40">
                  <c:v>1.3313316972242593</c:v>
                </c:pt>
                <c:pt idx="41">
                  <c:v>1.4566321306113794</c:v>
                </c:pt>
                <c:pt idx="42">
                  <c:v>1.5858178380881676</c:v>
                </c:pt>
                <c:pt idx="43">
                  <c:v>1.7177972996652715</c:v>
                </c:pt>
                <c:pt idx="44">
                  <c:v>1.8523221195213595</c:v>
                </c:pt>
                <c:pt idx="45">
                  <c:v>1.988589905899081</c:v>
                </c:pt>
                <c:pt idx="46">
                  <c:v>2.1263097108673867</c:v>
                </c:pt>
                <c:pt idx="47">
                  <c:v>2.2652894325341189</c:v>
                </c:pt>
                <c:pt idx="48">
                  <c:v>2.4050209711310964</c:v>
                </c:pt>
                <c:pt idx="49">
                  <c:v>2.5456458826517987</c:v>
                </c:pt>
                <c:pt idx="50">
                  <c:v>2.6872807371369092</c:v>
                </c:pt>
                <c:pt idx="51">
                  <c:v>2.8306030572807708</c:v>
                </c:pt>
                <c:pt idx="52">
                  <c:v>2.9752203571367968</c:v>
                </c:pt>
                <c:pt idx="53">
                  <c:v>3.1205437954566504</c:v>
                </c:pt>
                <c:pt idx="54">
                  <c:v>3.2667389190128122</c:v>
                </c:pt>
                <c:pt idx="55">
                  <c:v>3.4134127149695614</c:v>
                </c:pt>
                <c:pt idx="56">
                  <c:v>3.5600942391295254</c:v>
                </c:pt>
                <c:pt idx="57">
                  <c:v>3.7060501638143712</c:v>
                </c:pt>
                <c:pt idx="58">
                  <c:v>3.8510829902876584</c:v>
                </c:pt>
                <c:pt idx="59">
                  <c:v>3.995098421307588</c:v>
                </c:pt>
                <c:pt idx="60">
                  <c:v>4.1385568907386316</c:v>
                </c:pt>
                <c:pt idx="61">
                  <c:v>4.2820968567898445</c:v>
                </c:pt>
                <c:pt idx="62">
                  <c:v>4.4260510079294013</c:v>
                </c:pt>
                <c:pt idx="63">
                  <c:v>4.570019011360964</c:v>
                </c:pt>
                <c:pt idx="64">
                  <c:v>4.7134265876973975</c:v>
                </c:pt>
                <c:pt idx="65">
                  <c:v>4.8560109724307967</c:v>
                </c:pt>
                <c:pt idx="66">
                  <c:v>4.9976061017193292</c:v>
                </c:pt>
                <c:pt idx="67">
                  <c:v>5.137453971818478</c:v>
                </c:pt>
                <c:pt idx="68">
                  <c:v>5.274890676958722</c:v>
                </c:pt>
                <c:pt idx="69">
                  <c:v>5.4097104119648858</c:v>
                </c:pt>
                <c:pt idx="70">
                  <c:v>5.5416364644230578</c:v>
                </c:pt>
                <c:pt idx="71">
                  <c:v>5.6709826642441801</c:v>
                </c:pt>
                <c:pt idx="72">
                  <c:v>5.7975682883318118</c:v>
                </c:pt>
                <c:pt idx="73">
                  <c:v>5.922021897237931</c:v>
                </c:pt>
                <c:pt idx="74">
                  <c:v>6.0444194818031045</c:v>
                </c:pt>
                <c:pt idx="75">
                  <c:v>6.1648224042437683</c:v>
                </c:pt>
                <c:pt idx="76">
                  <c:v>6.2834663112016171</c:v>
                </c:pt>
                <c:pt idx="77">
                  <c:v>6.3992937823537757</c:v>
                </c:pt>
                <c:pt idx="78">
                  <c:v>6.5118835246599733</c:v>
                </c:pt>
                <c:pt idx="79">
                  <c:v>6.6208952603500979</c:v>
                </c:pt>
                <c:pt idx="80">
                  <c:v>6.7263140588869232</c:v>
                </c:pt>
                <c:pt idx="81">
                  <c:v>6.827571910411482</c:v>
                </c:pt>
                <c:pt idx="82">
                  <c:v>6.9243789998746852</c:v>
                </c:pt>
                <c:pt idx="83">
                  <c:v>7.0162357322160798</c:v>
                </c:pt>
                <c:pt idx="84">
                  <c:v>7.103231429713202</c:v>
                </c:pt>
                <c:pt idx="85">
                  <c:v>7.1861075243526837</c:v>
                </c:pt>
                <c:pt idx="86">
                  <c:v>7.2648242462533208</c:v>
                </c:pt>
                <c:pt idx="87">
                  <c:v>7.339230585794617</c:v>
                </c:pt>
                <c:pt idx="88">
                  <c:v>7.4089807332472812</c:v>
                </c:pt>
                <c:pt idx="89">
                  <c:v>7.4735730471086717</c:v>
                </c:pt>
                <c:pt idx="90">
                  <c:v>7.533318777929753</c:v>
                </c:pt>
                <c:pt idx="91">
                  <c:v>7.5880994433575086</c:v>
                </c:pt>
                <c:pt idx="92">
                  <c:v>7.6373947527088513</c:v>
                </c:pt>
                <c:pt idx="93">
                  <c:v>7.6815631410821732</c:v>
                </c:pt>
                <c:pt idx="94">
                  <c:v>7.7206171819232567</c:v>
                </c:pt>
                <c:pt idx="95">
                  <c:v>7.7542149063627939</c:v>
                </c:pt>
                <c:pt idx="96">
                  <c:v>7.78299906981644</c:v>
                </c:pt>
                <c:pt idx="97">
                  <c:v>7.8070227621979766</c:v>
                </c:pt>
                <c:pt idx="98">
                  <c:v>7.8266604845933081</c:v>
                </c:pt>
                <c:pt idx="99">
                  <c:v>7.8423958724813465</c:v>
                </c:pt>
                <c:pt idx="100">
                  <c:v>7.8537613746454422</c:v>
                </c:pt>
                <c:pt idx="101">
                  <c:v>7.8613911499828522</c:v>
                </c:pt>
                <c:pt idx="102">
                  <c:v>7.8646757347438587</c:v>
                </c:pt>
                <c:pt idx="103">
                  <c:v>7.8633426051593238</c:v>
                </c:pt>
                <c:pt idx="104">
                  <c:v>7.8579208701979137</c:v>
                </c:pt>
                <c:pt idx="105">
                  <c:v>7.8484176360473725</c:v>
                </c:pt>
                <c:pt idx="106">
                  <c:v>7.8350158804229206</c:v>
                </c:pt>
                <c:pt idx="107">
                  <c:v>7.8167575105751661</c:v>
                </c:pt>
                <c:pt idx="108">
                  <c:v>7.795421384805568</c:v>
                </c:pt>
                <c:pt idx="109">
                  <c:v>7.7725257616478451</c:v>
                </c:pt>
                <c:pt idx="110">
                  <c:v>7.7459924479627302</c:v>
                </c:pt>
                <c:pt idx="111">
                  <c:v>7.7135168485480623</c:v>
                </c:pt>
                <c:pt idx="112">
                  <c:v>7.6749339181394776</c:v>
                </c:pt>
                <c:pt idx="113">
                  <c:v>7.6325488392896945</c:v>
                </c:pt>
                <c:pt idx="114">
                  <c:v>7.5873730518027473</c:v>
                </c:pt>
                <c:pt idx="115">
                  <c:v>7.5394154862239997</c:v>
                </c:pt>
                <c:pt idx="116">
                  <c:v>7.4897578842709587</c:v>
                </c:pt>
                <c:pt idx="117">
                  <c:v>7.4385512629464161</c:v>
                </c:pt>
                <c:pt idx="118">
                  <c:v>7.3840042095170233</c:v>
                </c:pt>
                <c:pt idx="119">
                  <c:v>7.3258522504593033</c:v>
                </c:pt>
                <c:pt idx="120">
                  <c:v>7.2639432524865128</c:v>
                </c:pt>
                <c:pt idx="121">
                  <c:v>7.1978220293832074</c:v>
                </c:pt>
                <c:pt idx="122">
                  <c:v>7.1292772360061685</c:v>
                </c:pt>
                <c:pt idx="123">
                  <c:v>7.0585309254969708</c:v>
                </c:pt>
                <c:pt idx="124">
                  <c:v>6.9839014745527548</c:v>
                </c:pt>
                <c:pt idx="125">
                  <c:v>6.9054753038026142</c:v>
                </c:pt>
                <c:pt idx="126">
                  <c:v>6.8233901279375555</c:v>
                </c:pt>
                <c:pt idx="127">
                  <c:v>6.7401319432599545</c:v>
                </c:pt>
                <c:pt idx="128">
                  <c:v>6.6558683442568904</c:v>
                </c:pt>
                <c:pt idx="129">
                  <c:v>6.5691940174628973</c:v>
                </c:pt>
                <c:pt idx="130">
                  <c:v>6.4804922656337309</c:v>
                </c:pt>
                <c:pt idx="131">
                  <c:v>6.3890755189209205</c:v>
                </c:pt>
                <c:pt idx="132">
                  <c:v>6.2952170195136246</c:v>
                </c:pt>
                <c:pt idx="133">
                  <c:v>6.199141102855255</c:v>
                </c:pt>
                <c:pt idx="134">
                  <c:v>6.0996904630237188</c:v>
                </c:pt>
                <c:pt idx="135">
                  <c:v>5.9979198805845559</c:v>
                </c:pt>
                <c:pt idx="136">
                  <c:v>5.8942716547952285</c:v>
                </c:pt>
                <c:pt idx="137">
                  <c:v>5.7887725158600398</c:v>
                </c:pt>
                <c:pt idx="138">
                  <c:v>5.6813601022080444</c:v>
                </c:pt>
                <c:pt idx="139">
                  <c:v>5.5714608444896285</c:v>
                </c:pt>
                <c:pt idx="140">
                  <c:v>5.4598725452047479</c:v>
                </c:pt>
                <c:pt idx="141">
                  <c:v>5.3480880117454221</c:v>
                </c:pt>
                <c:pt idx="142">
                  <c:v>5.2367449120189447</c:v>
                </c:pt>
                <c:pt idx="143">
                  <c:v>5.1251279075537219</c:v>
                </c:pt>
                <c:pt idx="144">
                  <c:v>5.013019955907497</c:v>
                </c:pt>
                <c:pt idx="145">
                  <c:v>4.9005296482009344</c:v>
                </c:pt>
                <c:pt idx="146">
                  <c:v>4.7887492004300887</c:v>
                </c:pt>
                <c:pt idx="147">
                  <c:v>4.6780918946825709</c:v>
                </c:pt>
                <c:pt idx="148">
                  <c:v>4.568911273885413</c:v>
                </c:pt>
                <c:pt idx="149">
                  <c:v>4.4618957859292916</c:v>
                </c:pt>
                <c:pt idx="150">
                  <c:v>4.3567297874174393</c:v>
                </c:pt>
                <c:pt idx="151">
                  <c:v>4.2528497572882626</c:v>
                </c:pt>
                <c:pt idx="152">
                  <c:v>4.1507057205965685</c:v>
                </c:pt>
                <c:pt idx="153">
                  <c:v>4.0505252976708501</c:v>
                </c:pt>
                <c:pt idx="154">
                  <c:v>3.95234141080372</c:v>
                </c:pt>
                <c:pt idx="155">
                  <c:v>3.8561386488121352</c:v>
                </c:pt>
                <c:pt idx="156">
                  <c:v>3.7613962882580245</c:v>
                </c:pt>
                <c:pt idx="157">
                  <c:v>3.6682107667532917</c:v>
                </c:pt>
                <c:pt idx="158">
                  <c:v>3.5764394270681437</c:v>
                </c:pt>
                <c:pt idx="159">
                  <c:v>3.4862748912442298</c:v>
                </c:pt>
                <c:pt idx="160">
                  <c:v>3.3970375910961876</c:v>
                </c:pt>
                <c:pt idx="161">
                  <c:v>3.3086993465034453</c:v>
                </c:pt>
                <c:pt idx="162">
                  <c:v>3.2214709155149452</c:v>
                </c:pt>
                <c:pt idx="163">
                  <c:v>3.1351000051015894</c:v>
                </c:pt>
                <c:pt idx="164">
                  <c:v>3.0500574293093679</c:v>
                </c:pt>
                <c:pt idx="165">
                  <c:v>2.9664731089284944</c:v>
                </c:pt>
                <c:pt idx="166">
                  <c:v>2.8841495825340528</c:v>
                </c:pt>
                <c:pt idx="167">
                  <c:v>2.8033688641509169</c:v>
                </c:pt>
                <c:pt idx="168">
                  <c:v>2.7239039746290552</c:v>
                </c:pt>
                <c:pt idx="169">
                  <c:v>2.6458712366269439</c:v>
                </c:pt>
                <c:pt idx="170">
                  <c:v>2.5689668000612267</c:v>
                </c:pt>
                <c:pt idx="171">
                  <c:v>2.4929778082625891</c:v>
                </c:pt>
                <c:pt idx="172">
                  <c:v>2.4177563434004328</c:v>
                </c:pt>
                <c:pt idx="173">
                  <c:v>2.3434169116491108</c:v>
                </c:pt>
                <c:pt idx="174">
                  <c:v>2.269762949869067</c:v>
                </c:pt>
                <c:pt idx="175">
                  <c:v>2.196915331559</c:v>
                </c:pt>
                <c:pt idx="176">
                  <c:v>2.125624163118399</c:v>
                </c:pt>
                <c:pt idx="177">
                  <c:v>2.0547899108934384</c:v>
                </c:pt>
                <c:pt idx="178">
                  <c:v>1.9851695326577796</c:v>
                </c:pt>
                <c:pt idx="179">
                  <c:v>1.9164582988175882</c:v>
                </c:pt>
                <c:pt idx="180">
                  <c:v>1.8481701152529009</c:v>
                </c:pt>
                <c:pt idx="181">
                  <c:v>1.7807940325431695</c:v>
                </c:pt>
                <c:pt idx="182">
                  <c:v>1.7142966729417033</c:v>
                </c:pt>
                <c:pt idx="183">
                  <c:v>1.648976460059929</c:v>
                </c:pt>
                <c:pt idx="184">
                  <c:v>1.5845331990257827</c:v>
                </c:pt>
                <c:pt idx="185">
                  <c:v>1.5209243543675561</c:v>
                </c:pt>
                <c:pt idx="186">
                  <c:v>1.4584490579740832</c:v>
                </c:pt>
                <c:pt idx="187">
                  <c:v>1.3969310174227787</c:v>
                </c:pt>
                <c:pt idx="188">
                  <c:v>1.3358503014182468</c:v>
                </c:pt>
                <c:pt idx="189">
                  <c:v>1.2757229525660401</c:v>
                </c:pt>
                <c:pt idx="190">
                  <c:v>1.2165532789717777</c:v>
                </c:pt>
                <c:pt idx="191">
                  <c:v>1.1575194015946355</c:v>
                </c:pt>
                <c:pt idx="192">
                  <c:v>1.0992910749263056</c:v>
                </c:pt>
                <c:pt idx="193">
                  <c:v>1.0418611038480656</c:v>
                </c:pt>
                <c:pt idx="194">
                  <c:v>0.98551906901813968</c:v>
                </c:pt>
                <c:pt idx="195">
                  <c:v>0.92951689065910381</c:v>
                </c:pt>
                <c:pt idx="196">
                  <c:v>0.87412545793561103</c:v>
                </c:pt>
                <c:pt idx="197">
                  <c:v>0.81962987592804637</c:v>
                </c:pt>
                <c:pt idx="198">
                  <c:v>0.76624998965473234</c:v>
                </c:pt>
                <c:pt idx="199">
                  <c:v>0.71294563294215907</c:v>
                </c:pt>
                <c:pt idx="200">
                  <c:v>0.6601613540286666</c:v>
                </c:pt>
                <c:pt idx="201">
                  <c:v>0.60787239192744535</c:v>
                </c:pt>
                <c:pt idx="202">
                  <c:v>0.55628828392958218</c:v>
                </c:pt>
                <c:pt idx="203">
                  <c:v>0.50579362043274723</c:v>
                </c:pt>
                <c:pt idx="204">
                  <c:v>0.45596968162658502</c:v>
                </c:pt>
                <c:pt idx="205">
                  <c:v>0.40682158958080294</c:v>
                </c:pt>
                <c:pt idx="206">
                  <c:v>0.35812785400980512</c:v>
                </c:pt>
                <c:pt idx="207">
                  <c:v>0.31058888326529671</c:v>
                </c:pt>
                <c:pt idx="208">
                  <c:v>0.264104692616147</c:v>
                </c:pt>
                <c:pt idx="209">
                  <c:v>0.218143372079623</c:v>
                </c:pt>
                <c:pt idx="210">
                  <c:v>0.17278638127605672</c:v>
                </c:pt>
                <c:pt idx="211">
                  <c:v>0.12737714304239589</c:v>
                </c:pt>
                <c:pt idx="212">
                  <c:v>8.2886226676294181E-2</c:v>
                </c:pt>
                <c:pt idx="213">
                  <c:v>3.9463901645405232E-2</c:v>
                </c:pt>
                <c:pt idx="214">
                  <c:v>-2.7125596736288049E-3</c:v>
                </c:pt>
                <c:pt idx="215">
                  <c:v>-4.4349884569503645E-2</c:v>
                </c:pt>
                <c:pt idx="216">
                  <c:v>-8.5724963772863205E-2</c:v>
                </c:pt>
                <c:pt idx="217">
                  <c:v>-0.12682782531766856</c:v>
                </c:pt>
                <c:pt idx="218">
                  <c:v>-0.16697100329197792</c:v>
                </c:pt>
                <c:pt idx="219">
                  <c:v>-0.2065673731648674</c:v>
                </c:pt>
                <c:pt idx="220">
                  <c:v>-0.24544861581261909</c:v>
                </c:pt>
                <c:pt idx="221">
                  <c:v>-0.28347464185309662</c:v>
                </c:pt>
                <c:pt idx="222">
                  <c:v>-0.32072635251642384</c:v>
                </c:pt>
                <c:pt idx="223">
                  <c:v>-0.35722111317054844</c:v>
                </c:pt>
                <c:pt idx="224">
                  <c:v>-0.39297071533707056</c:v>
                </c:pt>
                <c:pt idx="225">
                  <c:v>-0.4277744254316328</c:v>
                </c:pt>
                <c:pt idx="226">
                  <c:v>-0.46185591973423268</c:v>
                </c:pt>
                <c:pt idx="227">
                  <c:v>-0.49498146376776175</c:v>
                </c:pt>
                <c:pt idx="228">
                  <c:v>-0.52805212947376023</c:v>
                </c:pt>
                <c:pt idx="229">
                  <c:v>-0.56059497360314525</c:v>
                </c:pt>
                <c:pt idx="230">
                  <c:v>-0.59266025513248</c:v>
                </c:pt>
                <c:pt idx="231">
                  <c:v>-0.62380635395207207</c:v>
                </c:pt>
                <c:pt idx="232">
                  <c:v>-0.65392004051341446</c:v>
                </c:pt>
                <c:pt idx="233">
                  <c:v>-0.68309893433231095</c:v>
                </c:pt>
                <c:pt idx="234">
                  <c:v>-0.71145781088502524</c:v>
                </c:pt>
                <c:pt idx="235">
                  <c:v>-0.73892581778693656</c:v>
                </c:pt>
                <c:pt idx="236">
                  <c:v>-0.76526822101367753</c:v>
                </c:pt>
                <c:pt idx="237">
                  <c:v>-0.79075103068942099</c:v>
                </c:pt>
                <c:pt idx="238">
                  <c:v>-0.81601471518448954</c:v>
                </c:pt>
                <c:pt idx="239">
                  <c:v>-0.84011092971847956</c:v>
                </c:pt>
                <c:pt idx="240">
                  <c:v>-0.86363046302785573</c:v>
                </c:pt>
                <c:pt idx="241">
                  <c:v>-0.88587188500972192</c:v>
                </c:pt>
                <c:pt idx="242">
                  <c:v>-0.9078523118939974</c:v>
                </c:pt>
                <c:pt idx="243">
                  <c:v>-0.92938427536102708</c:v>
                </c:pt>
                <c:pt idx="244">
                  <c:v>-0.9500934749241351</c:v>
                </c:pt>
                <c:pt idx="245">
                  <c:v>-0.96994040416177996</c:v>
                </c:pt>
                <c:pt idx="246">
                  <c:v>-0.98900958220312674</c:v>
                </c:pt>
                <c:pt idx="247">
                  <c:v>-1.0071972494098846</c:v>
                </c:pt>
                <c:pt idx="248">
                  <c:v>-1.0246496155999945</c:v>
                </c:pt>
                <c:pt idx="249">
                  <c:v>-1.0415018746456379</c:v>
                </c:pt>
                <c:pt idx="250">
                  <c:v>-1.0571414239801009</c:v>
                </c:pt>
                <c:pt idx="251">
                  <c:v>-1.071438616655215</c:v>
                </c:pt>
                <c:pt idx="252">
                  <c:v>-1.0852479236018817</c:v>
                </c:pt>
                <c:pt idx="253">
                  <c:v>-1.098650246915152</c:v>
                </c:pt>
                <c:pt idx="254">
                  <c:v>-1.1113491028108635</c:v>
                </c:pt>
                <c:pt idx="255">
                  <c:v>-1.1232917467940262</c:v>
                </c:pt>
                <c:pt idx="256">
                  <c:v>-1.1344821641962619</c:v>
                </c:pt>
                <c:pt idx="257">
                  <c:v>-1.145320593153822</c:v>
                </c:pt>
                <c:pt idx="258">
                  <c:v>-1.1546758905686778</c:v>
                </c:pt>
                <c:pt idx="259">
                  <c:v>-1.1631047718230962</c:v>
                </c:pt>
                <c:pt idx="260">
                  <c:v>-1.1708888823448724</c:v>
                </c:pt>
                <c:pt idx="261">
                  <c:v>-1.178108348900492</c:v>
                </c:pt>
                <c:pt idx="262">
                  <c:v>-1.1845848858940002</c:v>
                </c:pt>
                <c:pt idx="263">
                  <c:v>-1.1899101347164207</c:v>
                </c:pt>
                <c:pt idx="264">
                  <c:v>-1.1946985038545364</c:v>
                </c:pt>
                <c:pt idx="265">
                  <c:v>-1.1985925958531298</c:v>
                </c:pt>
                <c:pt idx="266">
                  <c:v>-1.2019487587798035</c:v>
                </c:pt>
                <c:pt idx="267">
                  <c:v>-1.2048651328021729</c:v>
                </c:pt>
                <c:pt idx="268">
                  <c:v>-1.206512327867663</c:v>
                </c:pt>
                <c:pt idx="269">
                  <c:v>-1.2076020998694241</c:v>
                </c:pt>
                <c:pt idx="270">
                  <c:v>-1.2076896528515699</c:v>
                </c:pt>
                <c:pt idx="271">
                  <c:v>-1.207294390488193</c:v>
                </c:pt>
                <c:pt idx="272">
                  <c:v>-1.2064270924172211</c:v>
                </c:pt>
                <c:pt idx="273">
                  <c:v>-1.2047702316509685</c:v>
                </c:pt>
                <c:pt idx="274">
                  <c:v>-1.2019265768610616</c:v>
                </c:pt>
                <c:pt idx="275">
                  <c:v>-1.1982787413750604</c:v>
                </c:pt>
                <c:pt idx="276">
                  <c:v>-1.1942496662569599</c:v>
                </c:pt>
                <c:pt idx="277">
                  <c:v>-1.1895808001717525</c:v>
                </c:pt>
                <c:pt idx="278">
                  <c:v>-1.1839937194801307</c:v>
                </c:pt>
                <c:pt idx="279">
                  <c:v>-1.1778407581661292</c:v>
                </c:pt>
                <c:pt idx="280">
                  <c:v>-1.1711397220268893</c:v>
                </c:pt>
                <c:pt idx="281">
                  <c:v>-1.1638193932532237</c:v>
                </c:pt>
                <c:pt idx="282">
                  <c:v>-1.1559807827732269</c:v>
                </c:pt>
                <c:pt idx="283">
                  <c:v>-1.1476355172260249</c:v>
                </c:pt>
                <c:pt idx="284">
                  <c:v>-1.1382414623054051</c:v>
                </c:pt>
                <c:pt idx="285">
                  <c:v>-1.1280062524113583</c:v>
                </c:pt>
                <c:pt idx="286">
                  <c:v>-1.1174924019033881</c:v>
                </c:pt>
                <c:pt idx="287">
                  <c:v>-1.1061142294514881</c:v>
                </c:pt>
                <c:pt idx="288">
                  <c:v>-1.0943059440564049</c:v>
                </c:pt>
                <c:pt idx="289">
                  <c:v>-1.0818830149236882</c:v>
                </c:pt>
                <c:pt idx="290">
                  <c:v>-1.069118808186571</c:v>
                </c:pt>
                <c:pt idx="291">
                  <c:v>-1.0558668419822248</c:v>
                </c:pt>
                <c:pt idx="292">
                  <c:v>-1.0421244385555051</c:v>
                </c:pt>
                <c:pt idx="293">
                  <c:v>-1.0282836579313013</c:v>
                </c:pt>
                <c:pt idx="294">
                  <c:v>-1.0139078886885606</c:v>
                </c:pt>
                <c:pt idx="295">
                  <c:v>-0.99881173644048449</c:v>
                </c:pt>
                <c:pt idx="296">
                  <c:v>-0.98319660655966934</c:v>
                </c:pt>
                <c:pt idx="297">
                  <c:v>-0.96675896217439516</c:v>
                </c:pt>
                <c:pt idx="298">
                  <c:v>-0.95015602107758612</c:v>
                </c:pt>
                <c:pt idx="299">
                  <c:v>-0.93336106118734463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37-4C9B-80F3-A60303DDE51D}"/>
            </c:ext>
          </c:extLst>
        </c:ser>
        <c:ser>
          <c:idx val="1"/>
          <c:order val="1"/>
          <c:tx>
            <c:strRef>
              <c:f>VW!$U$79</c:f>
              <c:strCache>
                <c:ptCount val="1"/>
                <c:pt idx="0">
                  <c:v>D2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VW!$U$80:$U$379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-1.0210042897325053E-7</c:v>
                </c:pt>
                <c:pt idx="22">
                  <c:v>7.2830531058118225E-4</c:v>
                </c:pt>
                <c:pt idx="23">
                  <c:v>5.3822031340568571E-3</c:v>
                </c:pt>
                <c:pt idx="24">
                  <c:v>1.6369741473547434E-2</c:v>
                </c:pt>
                <c:pt idx="25">
                  <c:v>3.4851662795168818E-2</c:v>
                </c:pt>
                <c:pt idx="26">
                  <c:v>6.1230719686397511E-2</c:v>
                </c:pt>
                <c:pt idx="27">
                  <c:v>9.4879863376563151E-2</c:v>
                </c:pt>
                <c:pt idx="28">
                  <c:v>0.1347761539743188</c:v>
                </c:pt>
                <c:pt idx="29">
                  <c:v>0.18110195887977068</c:v>
                </c:pt>
                <c:pt idx="30">
                  <c:v>0.23466750519916896</c:v>
                </c:pt>
                <c:pt idx="31">
                  <c:v>0.29463823977665604</c:v>
                </c:pt>
                <c:pt idx="32">
                  <c:v>0.35987698247814792</c:v>
                </c:pt>
                <c:pt idx="33">
                  <c:v>0.42990874054260791</c:v>
                </c:pt>
                <c:pt idx="34">
                  <c:v>0.50458315535466702</c:v>
                </c:pt>
                <c:pt idx="35">
                  <c:v>0.58338162103403102</c:v>
                </c:pt>
                <c:pt idx="36">
                  <c:v>0.66640869977006967</c:v>
                </c:pt>
                <c:pt idx="37">
                  <c:v>0.75387255377328366</c:v>
                </c:pt>
                <c:pt idx="38">
                  <c:v>0.84534727359978878</c:v>
                </c:pt>
                <c:pt idx="39">
                  <c:v>0.94063911727161931</c:v>
                </c:pt>
                <c:pt idx="40">
                  <c:v>1.0401114211371842</c:v>
                </c:pt>
                <c:pt idx="41">
                  <c:v>1.1437670898169514</c:v>
                </c:pt>
                <c:pt idx="42">
                  <c:v>1.2511681645617252</c:v>
                </c:pt>
                <c:pt idx="43">
                  <c:v>1.3615994410272669</c:v>
                </c:pt>
                <c:pt idx="44">
                  <c:v>1.4747752321622742</c:v>
                </c:pt>
                <c:pt idx="45">
                  <c:v>1.5901175816134063</c:v>
                </c:pt>
                <c:pt idx="46">
                  <c:v>1.7073213906708748</c:v>
                </c:pt>
                <c:pt idx="47">
                  <c:v>1.8261721599023226</c:v>
                </c:pt>
                <c:pt idx="48">
                  <c:v>1.9462819967376397</c:v>
                </c:pt>
                <c:pt idx="49">
                  <c:v>2.0676294371107566</c:v>
                </c:pt>
                <c:pt idx="50">
                  <c:v>2.1902272270135938</c:v>
                </c:pt>
                <c:pt idx="51">
                  <c:v>2.3144449162960172</c:v>
                </c:pt>
                <c:pt idx="52">
                  <c:v>2.4400807807595446</c:v>
                </c:pt>
                <c:pt idx="53">
                  <c:v>2.5667507807613226</c:v>
                </c:pt>
                <c:pt idx="54">
                  <c:v>2.6944752475344438</c:v>
                </c:pt>
                <c:pt idx="55">
                  <c:v>2.8229846635471878</c:v>
                </c:pt>
                <c:pt idx="56">
                  <c:v>2.9519354612235391</c:v>
                </c:pt>
                <c:pt idx="57">
                  <c:v>3.0808093499184688</c:v>
                </c:pt>
                <c:pt idx="58">
                  <c:v>3.2093678466562348</c:v>
                </c:pt>
                <c:pt idx="59">
                  <c:v>3.3374617090017202</c:v>
                </c:pt>
                <c:pt idx="60">
                  <c:v>3.4652954264977929</c:v>
                </c:pt>
                <c:pt idx="61">
                  <c:v>3.5932451389794773</c:v>
                </c:pt>
                <c:pt idx="62">
                  <c:v>3.7215540182457203</c:v>
                </c:pt>
                <c:pt idx="63">
                  <c:v>3.850028693904652</c:v>
                </c:pt>
                <c:pt idx="64">
                  <c:v>3.9783090625656055</c:v>
                </c:pt>
                <c:pt idx="65">
                  <c:v>4.1061763249195504</c:v>
                </c:pt>
                <c:pt idx="66">
                  <c:v>4.2334767516246776</c:v>
                </c:pt>
                <c:pt idx="67">
                  <c:v>4.3597161236946729</c:v>
                </c:pt>
                <c:pt idx="68">
                  <c:v>4.4844063270656491</c:v>
                </c:pt>
                <c:pt idx="69">
                  <c:v>4.6073118337100825</c:v>
                </c:pt>
                <c:pt idx="70">
                  <c:v>4.7281800139781502</c:v>
                </c:pt>
                <c:pt idx="71">
                  <c:v>4.8471163731137468</c:v>
                </c:pt>
                <c:pt idx="72">
                  <c:v>4.9639873984366298</c:v>
                </c:pt>
                <c:pt idx="73">
                  <c:v>5.079121592454892</c:v>
                </c:pt>
                <c:pt idx="74">
                  <c:v>5.1925836949524626</c:v>
                </c:pt>
                <c:pt idx="75">
                  <c:v>5.304410411377428</c:v>
                </c:pt>
                <c:pt idx="76">
                  <c:v>5.4147394732530456</c:v>
                </c:pt>
                <c:pt idx="77">
                  <c:v>5.5229500791173392</c:v>
                </c:pt>
                <c:pt idx="78">
                  <c:v>5.6286908547293528</c:v>
                </c:pt>
                <c:pt idx="79">
                  <c:v>5.7316644977245277</c:v>
                </c:pt>
                <c:pt idx="80">
                  <c:v>5.8317719412649707</c:v>
                </c:pt>
                <c:pt idx="81">
                  <c:v>5.9286187144877669</c:v>
                </c:pt>
                <c:pt idx="82">
                  <c:v>6.0219398792184782</c:v>
                </c:pt>
                <c:pt idx="83">
                  <c:v>6.1113504520518838</c:v>
                </c:pt>
                <c:pt idx="84">
                  <c:v>6.1967963739093141</c:v>
                </c:pt>
                <c:pt idx="85">
                  <c:v>6.2786601807285027</c:v>
                </c:pt>
                <c:pt idx="86">
                  <c:v>6.3569408959883864</c:v>
                </c:pt>
                <c:pt idx="87">
                  <c:v>6.4315427157132081</c:v>
                </c:pt>
                <c:pt idx="88">
                  <c:v>6.502232210383168</c:v>
                </c:pt>
                <c:pt idx="89">
                  <c:v>6.5686515698128805</c:v>
                </c:pt>
                <c:pt idx="90">
                  <c:v>6.6309025618712907</c:v>
                </c:pt>
                <c:pt idx="91">
                  <c:v>6.6888940859996238</c:v>
                </c:pt>
                <c:pt idx="92">
                  <c:v>6.7422845342555604</c:v>
                </c:pt>
                <c:pt idx="93">
                  <c:v>6.7912163271375059</c:v>
                </c:pt>
                <c:pt idx="94">
                  <c:v>6.8356824609685596</c:v>
                </c:pt>
                <c:pt idx="95">
                  <c:v>6.8754595938733472</c:v>
                </c:pt>
                <c:pt idx="96">
                  <c:v>6.9108838611940522</c:v>
                </c:pt>
                <c:pt idx="97">
                  <c:v>6.9420133875470871</c:v>
                </c:pt>
                <c:pt idx="98">
                  <c:v>6.9690797264558082</c:v>
                </c:pt>
                <c:pt idx="99">
                  <c:v>6.9924077737407799</c:v>
                </c:pt>
                <c:pt idx="100">
                  <c:v>7.0117757463399517</c:v>
                </c:pt>
                <c:pt idx="101">
                  <c:v>7.027547147659746</c:v>
                </c:pt>
                <c:pt idx="102">
                  <c:v>7.0394112040246881</c:v>
                </c:pt>
                <c:pt idx="103">
                  <c:v>7.0471738385279661</c:v>
                </c:pt>
                <c:pt idx="104">
                  <c:v>7.0511155462919444</c:v>
                </c:pt>
                <c:pt idx="105">
                  <c:v>7.0512692697021651</c:v>
                </c:pt>
                <c:pt idx="106">
                  <c:v>7.0477590358596656</c:v>
                </c:pt>
                <c:pt idx="107">
                  <c:v>7.0400377577982924</c:v>
                </c:pt>
                <c:pt idx="108">
                  <c:v>7.0290875590738713</c:v>
                </c:pt>
                <c:pt idx="109">
                  <c:v>7.0159401306408107</c:v>
                </c:pt>
                <c:pt idx="110">
                  <c:v>6.999555502587314</c:v>
                </c:pt>
                <c:pt idx="111">
                  <c:v>6.9784778068942153</c:v>
                </c:pt>
                <c:pt idx="112">
                  <c:v>6.9523612274979847</c:v>
                </c:pt>
                <c:pt idx="113">
                  <c:v>6.9224341488740899</c:v>
                </c:pt>
                <c:pt idx="114">
                  <c:v>6.8894370127902196</c:v>
                </c:pt>
                <c:pt idx="115">
                  <c:v>6.8535388036667237</c:v>
                </c:pt>
                <c:pt idx="116">
                  <c:v>6.8154690013496859</c:v>
                </c:pt>
                <c:pt idx="117">
                  <c:v>6.7754524783562671</c:v>
                </c:pt>
                <c:pt idx="118">
                  <c:v>6.7325025960142275</c:v>
                </c:pt>
                <c:pt idx="119">
                  <c:v>6.6863573567618833</c:v>
                </c:pt>
                <c:pt idx="120">
                  <c:v>6.6368641309056136</c:v>
                </c:pt>
                <c:pt idx="121">
                  <c:v>6.5837059608059345</c:v>
                </c:pt>
                <c:pt idx="122">
                  <c:v>6.5278919003588829</c:v>
                </c:pt>
                <c:pt idx="123">
                  <c:v>6.4696905682081667</c:v>
                </c:pt>
                <c:pt idx="124">
                  <c:v>6.4081792947805534</c:v>
                </c:pt>
                <c:pt idx="125">
                  <c:v>6.3433002267460816</c:v>
                </c:pt>
                <c:pt idx="126">
                  <c:v>6.275086310493446</c:v>
                </c:pt>
                <c:pt idx="127">
                  <c:v>6.2050052400048781</c:v>
                </c:pt>
                <c:pt idx="128">
                  <c:v>6.1333874599172029</c:v>
                </c:pt>
                <c:pt idx="129">
                  <c:v>6.0595267109231461</c:v>
                </c:pt>
                <c:pt idx="130">
                  <c:v>5.9835985444297091</c:v>
                </c:pt>
                <c:pt idx="131">
                  <c:v>5.9052019033525784</c:v>
                </c:pt>
                <c:pt idx="132">
                  <c:v>5.8244449019545144</c:v>
                </c:pt>
                <c:pt idx="133">
                  <c:v>5.7414774061101737</c:v>
                </c:pt>
                <c:pt idx="134">
                  <c:v>5.6556397985058133</c:v>
                </c:pt>
                <c:pt idx="135">
                  <c:v>5.5674722286192315</c:v>
                </c:pt>
                <c:pt idx="136">
                  <c:v>5.4772916635337383</c:v>
                </c:pt>
                <c:pt idx="137">
                  <c:v>5.3851769686117308</c:v>
                </c:pt>
                <c:pt idx="138">
                  <c:v>5.2911344219914254</c:v>
                </c:pt>
                <c:pt idx="139">
                  <c:v>5.1948405472101831</c:v>
                </c:pt>
                <c:pt idx="140">
                  <c:v>5.0967294052618684</c:v>
                </c:pt>
                <c:pt idx="141">
                  <c:v>4.9977500559726478</c:v>
                </c:pt>
                <c:pt idx="142">
                  <c:v>4.8984550661754653</c:v>
                </c:pt>
                <c:pt idx="143">
                  <c:v>4.7985727096486972</c:v>
                </c:pt>
                <c:pt idx="144">
                  <c:v>4.697996654499252</c:v>
                </c:pt>
                <c:pt idx="145">
                  <c:v>4.5967925835381109</c:v>
                </c:pt>
                <c:pt idx="146">
                  <c:v>4.4956331289818383</c:v>
                </c:pt>
                <c:pt idx="147">
                  <c:v>4.394892547927026</c:v>
                </c:pt>
                <c:pt idx="148">
                  <c:v>4.2948969700409645</c:v>
                </c:pt>
                <c:pt idx="149">
                  <c:v>4.1961605567177607</c:v>
                </c:pt>
                <c:pt idx="150">
                  <c:v>4.0986195471801281</c:v>
                </c:pt>
                <c:pt idx="151">
                  <c:v>4.0019846935179144</c:v>
                </c:pt>
                <c:pt idx="152">
                  <c:v>3.9065162089739185</c:v>
                </c:pt>
                <c:pt idx="153">
                  <c:v>3.8124022962736892</c:v>
                </c:pt>
                <c:pt idx="154">
                  <c:v>3.7197229238387659</c:v>
                </c:pt>
                <c:pt idx="155">
                  <c:v>3.6285183256450875</c:v>
                </c:pt>
                <c:pt idx="156">
                  <c:v>3.5385114845678052</c:v>
                </c:pt>
                <c:pt idx="157">
                  <c:v>3.4497377010877246</c:v>
                </c:pt>
                <c:pt idx="158">
                  <c:v>3.3621193375311051</c:v>
                </c:pt>
                <c:pt idx="159">
                  <c:v>3.2757698315435255</c:v>
                </c:pt>
                <c:pt idx="160">
                  <c:v>3.1903091477932128</c:v>
                </c:pt>
                <c:pt idx="161">
                  <c:v>3.105674597381578</c:v>
                </c:pt>
                <c:pt idx="162">
                  <c:v>3.021970773307185</c:v>
                </c:pt>
                <c:pt idx="163">
                  <c:v>2.9390549300651982</c:v>
                </c:pt>
                <c:pt idx="164">
                  <c:v>2.8571916398615138</c:v>
                </c:pt>
                <c:pt idx="165">
                  <c:v>2.7764961848689453</c:v>
                </c:pt>
                <c:pt idx="166">
                  <c:v>2.6968800793682188</c:v>
                </c:pt>
                <c:pt idx="167">
                  <c:v>2.6185122276842274</c:v>
                </c:pt>
                <c:pt idx="168">
                  <c:v>2.5412863829588921</c:v>
                </c:pt>
                <c:pt idx="169">
                  <c:v>2.4652684482998626</c:v>
                </c:pt>
                <c:pt idx="170">
                  <c:v>2.3902918970951954</c:v>
                </c:pt>
                <c:pt idx="171">
                  <c:v>2.3162112812065461</c:v>
                </c:pt>
                <c:pt idx="172">
                  <c:v>2.2429126655427654</c:v>
                </c:pt>
                <c:pt idx="173">
                  <c:v>2.1704385533055466</c:v>
                </c:pt>
                <c:pt idx="174">
                  <c:v>2.0986695992920419</c:v>
                </c:pt>
                <c:pt idx="175">
                  <c:v>2.0276579165046034</c:v>
                </c:pt>
                <c:pt idx="176">
                  <c:v>1.9578526867129791</c:v>
                </c:pt>
                <c:pt idx="177">
                  <c:v>1.8886643031840158</c:v>
                </c:pt>
                <c:pt idx="178">
                  <c:v>1.820476757674057</c:v>
                </c:pt>
                <c:pt idx="179">
                  <c:v>1.7531480709180967</c:v>
                </c:pt>
                <c:pt idx="180">
                  <c:v>1.6863745623675053</c:v>
                </c:pt>
                <c:pt idx="181">
                  <c:v>1.6204034162275129</c:v>
                </c:pt>
                <c:pt idx="182">
                  <c:v>1.5552367817969917</c:v>
                </c:pt>
                <c:pt idx="183">
                  <c:v>1.4910589490787032</c:v>
                </c:pt>
                <c:pt idx="184">
                  <c:v>1.4277248746934925</c:v>
                </c:pt>
                <c:pt idx="185">
                  <c:v>1.3651980400738635</c:v>
                </c:pt>
                <c:pt idx="186">
                  <c:v>1.3036500544605096</c:v>
                </c:pt>
                <c:pt idx="187">
                  <c:v>1.2430011290022476</c:v>
                </c:pt>
                <c:pt idx="188">
                  <c:v>1.1829403882277425</c:v>
                </c:pt>
                <c:pt idx="189">
                  <c:v>1.1237316809714697</c:v>
                </c:pt>
                <c:pt idx="190">
                  <c:v>1.0654036665815736</c:v>
                </c:pt>
                <c:pt idx="191">
                  <c:v>1.0074775001249836</c:v>
                </c:pt>
                <c:pt idx="192">
                  <c:v>0.95028710736975996</c:v>
                </c:pt>
                <c:pt idx="193">
                  <c:v>0.89385622024040678</c:v>
                </c:pt>
                <c:pt idx="194">
                  <c:v>0.83836706999418897</c:v>
                </c:pt>
                <c:pt idx="195">
                  <c:v>0.78340849750643404</c:v>
                </c:pt>
                <c:pt idx="196">
                  <c:v>0.72908920657387966</c:v>
                </c:pt>
                <c:pt idx="197">
                  <c:v>0.67557756952186077</c:v>
                </c:pt>
                <c:pt idx="198">
                  <c:v>0.62302726858825919</c:v>
                </c:pt>
                <c:pt idx="199">
                  <c:v>0.57085091980260239</c:v>
                </c:pt>
                <c:pt idx="200">
                  <c:v>0.51923482680594646</c:v>
                </c:pt>
                <c:pt idx="201">
                  <c:v>0.46816404164691883</c:v>
                </c:pt>
                <c:pt idx="202">
                  <c:v>0.41775512287362304</c:v>
                </c:pt>
                <c:pt idx="203">
                  <c:v>0.36825616113962317</c:v>
                </c:pt>
                <c:pt idx="204">
                  <c:v>0.31945987905751383</c:v>
                </c:pt>
                <c:pt idx="205">
                  <c:v>0.27135032994485364</c:v>
                </c:pt>
                <c:pt idx="206">
                  <c:v>0.22378672308333003</c:v>
                </c:pt>
                <c:pt idx="207">
                  <c:v>0.1771613175247605</c:v>
                </c:pt>
                <c:pt idx="208">
                  <c:v>0.13146882753448469</c:v>
                </c:pt>
                <c:pt idx="209">
                  <c:v>8.6409578944442511E-2</c:v>
                </c:pt>
                <c:pt idx="210">
                  <c:v>4.1995535689328095E-2</c:v>
                </c:pt>
                <c:pt idx="211">
                  <c:v>-2.1784534278954529E-3</c:v>
                </c:pt>
                <c:pt idx="212">
                  <c:v>-4.5601920400618279E-2</c:v>
                </c:pt>
                <c:pt idx="213">
                  <c:v>-8.8127692766663823E-2</c:v>
                </c:pt>
                <c:pt idx="214">
                  <c:v>-0.12961061817650699</c:v>
                </c:pt>
                <c:pt idx="215">
                  <c:v>-0.17043343550150983</c:v>
                </c:pt>
                <c:pt idx="216">
                  <c:v>-0.21080916905872377</c:v>
                </c:pt>
                <c:pt idx="217">
                  <c:v>-0.25078085642653863</c:v>
                </c:pt>
                <c:pt idx="218">
                  <c:v>-0.2899619232388897</c:v>
                </c:pt>
                <c:pt idx="219">
                  <c:v>-0.32854601970855268</c:v>
                </c:pt>
                <c:pt idx="220">
                  <c:v>-0.36644502337282192</c:v>
                </c:pt>
                <c:pt idx="221">
                  <c:v>-0.40356601891861754</c:v>
                </c:pt>
                <c:pt idx="222">
                  <c:v>-0.43994443838881064</c:v>
                </c:pt>
                <c:pt idx="223">
                  <c:v>-0.47558965082065696</c:v>
                </c:pt>
                <c:pt idx="224">
                  <c:v>-0.51050723727407044</c:v>
                </c:pt>
                <c:pt idx="225">
                  <c:v>-0.54457709207535987</c:v>
                </c:pt>
                <c:pt idx="226">
                  <c:v>-0.57791345500768321</c:v>
                </c:pt>
                <c:pt idx="227">
                  <c:v>-0.61038624950537956</c:v>
                </c:pt>
                <c:pt idx="228">
                  <c:v>-0.64251522371441072</c:v>
                </c:pt>
                <c:pt idx="229">
                  <c:v>-0.67409280143907069</c:v>
                </c:pt>
                <c:pt idx="230">
                  <c:v>-0.70514112287103614</c:v>
                </c:pt>
                <c:pt idx="231">
                  <c:v>-0.73540161797781878</c:v>
                </c:pt>
                <c:pt idx="232">
                  <c:v>-0.76476594628124395</c:v>
                </c:pt>
                <c:pt idx="233">
                  <c:v>-0.79326372298443371</c:v>
                </c:pt>
                <c:pt idx="234">
                  <c:v>-0.8209578210363202</c:v>
                </c:pt>
                <c:pt idx="235">
                  <c:v>-0.84781318948394391</c:v>
                </c:pt>
                <c:pt idx="236">
                  <c:v>-0.87368494229613758</c:v>
                </c:pt>
                <c:pt idx="237">
                  <c:v>-0.8987049430057088</c:v>
                </c:pt>
                <c:pt idx="238">
                  <c:v>-0.9232650817044612</c:v>
                </c:pt>
                <c:pt idx="239">
                  <c:v>-0.94686108098829913</c:v>
                </c:pt>
                <c:pt idx="240">
                  <c:v>-0.96979076853770452</c:v>
                </c:pt>
                <c:pt idx="241">
                  <c:v>-0.99166372183296669</c:v>
                </c:pt>
                <c:pt idx="242">
                  <c:v>-1.0130311015102174</c:v>
                </c:pt>
                <c:pt idx="243">
                  <c:v>-1.0338517974687635</c:v>
                </c:pt>
                <c:pt idx="244">
                  <c:v>-1.0539172105644741</c:v>
                </c:pt>
                <c:pt idx="245">
                  <c:v>-1.0731810239374724</c:v>
                </c:pt>
                <c:pt idx="246">
                  <c:v>-1.091676419560643</c:v>
                </c:pt>
                <c:pt idx="247">
                  <c:v>-1.1093395294467536</c:v>
                </c:pt>
                <c:pt idx="248">
                  <c:v>-1.1262493255168069</c:v>
                </c:pt>
                <c:pt idx="249">
                  <c:v>-1.1424968685522174</c:v>
                </c:pt>
                <c:pt idx="250">
                  <c:v>-1.1577321398228633</c:v>
                </c:pt>
                <c:pt idx="251">
                  <c:v>-1.1718279741948618</c:v>
                </c:pt>
                <c:pt idx="252">
                  <c:v>-1.1852577443644372</c:v>
                </c:pt>
                <c:pt idx="253">
                  <c:v>-1.1981273158604984</c:v>
                </c:pt>
                <c:pt idx="254">
                  <c:v>-1.2102958329135982</c:v>
                </c:pt>
                <c:pt idx="255">
                  <c:v>-1.2217258209420152</c:v>
                </c:pt>
                <c:pt idx="256">
                  <c:v>-1.2324096270061953</c:v>
                </c:pt>
                <c:pt idx="257">
                  <c:v>-1.2425817475298044</c:v>
                </c:pt>
                <c:pt idx="258">
                  <c:v>-1.2516045162769827</c:v>
                </c:pt>
                <c:pt idx="259">
                  <c:v>-1.2597265178672923</c:v>
                </c:pt>
                <c:pt idx="260">
                  <c:v>-1.2671269060933235</c:v>
                </c:pt>
                <c:pt idx="261">
                  <c:v>-1.2738786804573985</c:v>
                </c:pt>
                <c:pt idx="262">
                  <c:v>-1.2798994318353643</c:v>
                </c:pt>
                <c:pt idx="263">
                  <c:v>-1.2849406970385779</c:v>
                </c:pt>
                <c:pt idx="264">
                  <c:v>-1.2893281606534641</c:v>
                </c:pt>
                <c:pt idx="265">
                  <c:v>-1.2928843646285535</c:v>
                </c:pt>
                <c:pt idx="266">
                  <c:v>-1.2958072905267832</c:v>
                </c:pt>
                <c:pt idx="267">
                  <c:v>-1.298186132592384</c:v>
                </c:pt>
                <c:pt idx="268">
                  <c:v>-1.2995469779345001</c:v>
                </c:pt>
                <c:pt idx="269">
                  <c:v>-1.3002512798293604</c:v>
                </c:pt>
                <c:pt idx="270">
                  <c:v>-1.3000687862411038</c:v>
                </c:pt>
                <c:pt idx="271">
                  <c:v>-1.2992836345960836</c:v>
                </c:pt>
                <c:pt idx="272">
                  <c:v>-1.2979430025710288</c:v>
                </c:pt>
                <c:pt idx="273">
                  <c:v>-1.2958761558684024</c:v>
                </c:pt>
                <c:pt idx="274">
                  <c:v>-1.2928282677003105</c:v>
                </c:pt>
                <c:pt idx="275">
                  <c:v>-1.2889826160617981</c:v>
                </c:pt>
                <c:pt idx="276">
                  <c:v>-1.2846047184760825</c:v>
                </c:pt>
                <c:pt idx="277">
                  <c:v>-1.2795863355135488</c:v>
                </c:pt>
                <c:pt idx="278">
                  <c:v>-1.2737629007072482</c:v>
                </c:pt>
                <c:pt idx="279">
                  <c:v>-1.2673207899463879</c:v>
                </c:pt>
                <c:pt idx="280">
                  <c:v>-1.2602895705659531</c:v>
                </c:pt>
                <c:pt idx="281">
                  <c:v>-1.2526391835393149</c:v>
                </c:pt>
                <c:pt idx="282">
                  <c:v>-1.2444343848481352</c:v>
                </c:pt>
                <c:pt idx="283">
                  <c:v>-1.2356948822484521</c:v>
                </c:pt>
                <c:pt idx="284">
                  <c:v>-1.2261047512873591</c:v>
                </c:pt>
                <c:pt idx="285">
                  <c:v>-1.2157438273931427</c:v>
                </c:pt>
                <c:pt idx="286">
                  <c:v>-1.20494733546188</c:v>
                </c:pt>
                <c:pt idx="287">
                  <c:v>-1.1934156209327635</c:v>
                </c:pt>
                <c:pt idx="288">
                  <c:v>-1.1813812540268316</c:v>
                </c:pt>
                <c:pt idx="289">
                  <c:v>-1.1687631248710215</c:v>
                </c:pt>
                <c:pt idx="290">
                  <c:v>-1.1557186231072549</c:v>
                </c:pt>
                <c:pt idx="291">
                  <c:v>-1.1421870826202247</c:v>
                </c:pt>
                <c:pt idx="292">
                  <c:v>-1.1281677196074564</c:v>
                </c:pt>
                <c:pt idx="293">
                  <c:v>-1.1138981092625346</c:v>
                </c:pt>
                <c:pt idx="294">
                  <c:v>-1.0991565585082674</c:v>
                </c:pt>
                <c:pt idx="295">
                  <c:v>-1.0838136033397794</c:v>
                </c:pt>
                <c:pt idx="296">
                  <c:v>-1.0679672863708574</c:v>
                </c:pt>
                <c:pt idx="297">
                  <c:v>-1.0514426402256201</c:v>
                </c:pt>
                <c:pt idx="298">
                  <c:v>-1.0346083956773897</c:v>
                </c:pt>
                <c:pt idx="299">
                  <c:v>-1.0175002682151546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37-4C9B-80F3-A60303DDE51D}"/>
            </c:ext>
          </c:extLst>
        </c:ser>
        <c:ser>
          <c:idx val="2"/>
          <c:order val="2"/>
          <c:tx>
            <c:strRef>
              <c:f>VW!$V$79</c:f>
              <c:strCache>
                <c:ptCount val="1"/>
                <c:pt idx="0">
                  <c:v>D3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VW!$V$80:$V$379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-2.6984770895885993E-9</c:v>
                </c:pt>
                <c:pt idx="22">
                  <c:v>5.3287226426783601E-4</c:v>
                </c:pt>
                <c:pt idx="23">
                  <c:v>3.9926987045783915E-3</c:v>
                </c:pt>
                <c:pt idx="24">
                  <c:v>1.2413641928812868E-2</c:v>
                </c:pt>
                <c:pt idx="25">
                  <c:v>2.6950019821289358E-2</c:v>
                </c:pt>
                <c:pt idx="26">
                  <c:v>4.812672814515509E-2</c:v>
                </c:pt>
                <c:pt idx="27">
                  <c:v>7.5611529925018239E-2</c:v>
                </c:pt>
                <c:pt idx="28">
                  <c:v>0.10868540892614942</c:v>
                </c:pt>
                <c:pt idx="29">
                  <c:v>0.14746250976140876</c:v>
                </c:pt>
                <c:pt idx="30">
                  <c:v>0.19258148690353061</c:v>
                </c:pt>
                <c:pt idx="31">
                  <c:v>0.24354146909269439</c:v>
                </c:pt>
                <c:pt idx="32">
                  <c:v>0.29951039233528243</c:v>
                </c:pt>
                <c:pt idx="33">
                  <c:v>0.36005565619700514</c:v>
                </c:pt>
                <c:pt idx="34">
                  <c:v>0.42499057629926174</c:v>
                </c:pt>
                <c:pt idx="35">
                  <c:v>0.49391121194354182</c:v>
                </c:pt>
                <c:pt idx="36">
                  <c:v>0.5668604201705143</c:v>
                </c:pt>
                <c:pt idx="37">
                  <c:v>0.64398064787428022</c:v>
                </c:pt>
                <c:pt idx="38">
                  <c:v>0.72495989251724313</c:v>
                </c:pt>
                <c:pt idx="39">
                  <c:v>0.80962294007217694</c:v>
                </c:pt>
                <c:pt idx="40">
                  <c:v>0.89820456273812221</c:v>
                </c:pt>
                <c:pt idx="41">
                  <c:v>0.99071761045489504</c:v>
                </c:pt>
                <c:pt idx="42">
                  <c:v>1.0868501557285617</c:v>
                </c:pt>
                <c:pt idx="43">
                  <c:v>1.1860502701825399</c:v>
                </c:pt>
                <c:pt idx="44">
                  <c:v>1.2880335924151991</c:v>
                </c:pt>
                <c:pt idx="45">
                  <c:v>1.3923211544816829</c:v>
                </c:pt>
                <c:pt idx="46">
                  <c:v>1.4986226984512676</c:v>
                </c:pt>
                <c:pt idx="47">
                  <c:v>1.6067301216770562</c:v>
                </c:pt>
                <c:pt idx="48">
                  <c:v>1.7163098990541648</c:v>
                </c:pt>
                <c:pt idx="49">
                  <c:v>1.8272859478530241</c:v>
                </c:pt>
                <c:pt idx="50">
                  <c:v>1.9396308417778658</c:v>
                </c:pt>
                <c:pt idx="51">
                  <c:v>2.0535892668599236</c:v>
                </c:pt>
                <c:pt idx="52">
                  <c:v>2.1690253212145501</c:v>
                </c:pt>
                <c:pt idx="53">
                  <c:v>2.2856373310428766</c:v>
                </c:pt>
                <c:pt idx="54">
                  <c:v>2.4033944728780301</c:v>
                </c:pt>
                <c:pt idx="55">
                  <c:v>2.5220728280226568</c:v>
                </c:pt>
                <c:pt idx="56">
                  <c:v>2.6413866792576419</c:v>
                </c:pt>
                <c:pt idx="57">
                  <c:v>2.7609159180621137</c:v>
                </c:pt>
                <c:pt idx="58">
                  <c:v>2.880418872867899</c:v>
                </c:pt>
                <c:pt idx="59">
                  <c:v>2.9997320063196877</c:v>
                </c:pt>
                <c:pt idx="60">
                  <c:v>3.1189631696661944</c:v>
                </c:pt>
                <c:pt idx="61">
                  <c:v>3.2383795928297849</c:v>
                </c:pt>
                <c:pt idx="62">
                  <c:v>3.3581737903743401</c:v>
                </c:pt>
                <c:pt idx="63">
                  <c:v>3.4782191391741728</c:v>
                </c:pt>
                <c:pt idx="64">
                  <c:v>3.5982340028720334</c:v>
                </c:pt>
                <c:pt idx="65">
                  <c:v>3.7180157658283441</c:v>
                </c:pt>
                <c:pt idx="66">
                  <c:v>3.8374135072620055</c:v>
                </c:pt>
                <c:pt idx="67">
                  <c:v>3.9560375707667563</c:v>
                </c:pt>
                <c:pt idx="68">
                  <c:v>4.073478227076536</c:v>
                </c:pt>
                <c:pt idx="69">
                  <c:v>4.1894950105742463</c:v>
                </c:pt>
                <c:pt idx="70">
                  <c:v>4.303845263299098</c:v>
                </c:pt>
                <c:pt idx="71">
                  <c:v>4.4165553041359038</c:v>
                </c:pt>
                <c:pt idx="72">
                  <c:v>4.5275076027523031</c:v>
                </c:pt>
                <c:pt idx="73">
                  <c:v>4.6369113453241226</c:v>
                </c:pt>
                <c:pt idx="74">
                  <c:v>4.7448171315469319</c:v>
                </c:pt>
                <c:pt idx="75">
                  <c:v>4.8512467930540906</c:v>
                </c:pt>
                <c:pt idx="76">
                  <c:v>4.9562979134702063</c:v>
                </c:pt>
                <c:pt idx="77">
                  <c:v>5.059518788605323</c:v>
                </c:pt>
                <c:pt idx="78">
                  <c:v>5.1606015576401099</c:v>
                </c:pt>
                <c:pt idx="79">
                  <c:v>5.2592792200390246</c:v>
                </c:pt>
                <c:pt idx="80">
                  <c:v>5.3554288039491551</c:v>
                </c:pt>
                <c:pt idx="81">
                  <c:v>5.4487333671980478</c:v>
                </c:pt>
                <c:pt idx="82">
                  <c:v>5.5389499507803448</c:v>
                </c:pt>
                <c:pt idx="83">
                  <c:v>5.62574627909573</c:v>
                </c:pt>
                <c:pt idx="84">
                  <c:v>5.7090195417832685</c:v>
                </c:pt>
                <c:pt idx="85">
                  <c:v>5.7890122281941023</c:v>
                </c:pt>
                <c:pt idx="86">
                  <c:v>5.8657291917829699</c:v>
                </c:pt>
                <c:pt idx="87">
                  <c:v>5.9390943571505375</c:v>
                </c:pt>
                <c:pt idx="88">
                  <c:v>6.008917796482411</c:v>
                </c:pt>
                <c:pt idx="89">
                  <c:v>6.0748993930596482</c:v>
                </c:pt>
                <c:pt idx="90">
                  <c:v>6.1370655782301178</c:v>
                </c:pt>
                <c:pt idx="91">
                  <c:v>6.1953355264308225</c:v>
                </c:pt>
                <c:pt idx="92">
                  <c:v>6.249441536782669</c:v>
                </c:pt>
                <c:pt idx="93">
                  <c:v>6.2994487439371163</c:v>
                </c:pt>
                <c:pt idx="94">
                  <c:v>6.3453361375196708</c:v>
                </c:pt>
                <c:pt idx="95">
                  <c:v>6.3869253741112226</c:v>
                </c:pt>
                <c:pt idx="96">
                  <c:v>6.4244371061755938</c:v>
                </c:pt>
                <c:pt idx="97">
                  <c:v>6.457921965137464</c:v>
                </c:pt>
                <c:pt idx="98">
                  <c:v>6.4875499256739788</c:v>
                </c:pt>
                <c:pt idx="99">
                  <c:v>6.5135763769455197</c:v>
                </c:pt>
                <c:pt idx="100">
                  <c:v>6.5358651889661763</c:v>
                </c:pt>
                <c:pt idx="101">
                  <c:v>6.5546737408686786</c:v>
                </c:pt>
                <c:pt idx="102">
                  <c:v>6.5697997921885092</c:v>
                </c:pt>
                <c:pt idx="103">
                  <c:v>6.5810849456160403</c:v>
                </c:pt>
                <c:pt idx="104">
                  <c:v>6.5887183709231234</c:v>
                </c:pt>
                <c:pt idx="105">
                  <c:v>6.5927354349062082</c:v>
                </c:pt>
                <c:pt idx="106">
                  <c:v>6.5932357905860028</c:v>
                </c:pt>
                <c:pt idx="107">
                  <c:v>6.5898352295263818</c:v>
                </c:pt>
                <c:pt idx="108">
                  <c:v>6.5832102099421395</c:v>
                </c:pt>
                <c:pt idx="109">
                  <c:v>6.5741745844501462</c:v>
                </c:pt>
                <c:pt idx="110">
                  <c:v>6.5620718810053624</c:v>
                </c:pt>
                <c:pt idx="111">
                  <c:v>6.5458108028953461</c:v>
                </c:pt>
                <c:pt idx="112">
                  <c:v>6.5250094404900025</c:v>
                </c:pt>
                <c:pt idx="113">
                  <c:v>6.5004762715142341</c:v>
                </c:pt>
                <c:pt idx="114">
                  <c:v>6.472826549914342</c:v>
                </c:pt>
                <c:pt idx="115">
                  <c:v>6.4422844906819714</c:v>
                </c:pt>
                <c:pt idx="116">
                  <c:v>6.409429645413339</c:v>
                </c:pt>
                <c:pt idx="117">
                  <c:v>6.3744795794808109</c:v>
                </c:pt>
                <c:pt idx="118">
                  <c:v>6.3367524748745385</c:v>
                </c:pt>
                <c:pt idx="119">
                  <c:v>6.2960167671813814</c:v>
                </c:pt>
                <c:pt idx="120">
                  <c:v>6.2521326824137695</c:v>
                </c:pt>
                <c:pt idx="121">
                  <c:v>6.2048470083848697</c:v>
                </c:pt>
                <c:pt idx="122">
                  <c:v>6.1548771020559121</c:v>
                </c:pt>
                <c:pt idx="123">
                  <c:v>6.1024888561829922</c:v>
                </c:pt>
                <c:pt idx="124">
                  <c:v>6.0470500044427213</c:v>
                </c:pt>
                <c:pt idx="125">
                  <c:v>5.9884677738258487</c:v>
                </c:pt>
                <c:pt idx="126">
                  <c:v>5.9267341059494605</c:v>
                </c:pt>
                <c:pt idx="127">
                  <c:v>5.8629114750426501</c:v>
                </c:pt>
                <c:pt idx="128">
                  <c:v>5.7973689078952919</c:v>
                </c:pt>
                <c:pt idx="129">
                  <c:v>5.7296676857701208</c:v>
                </c:pt>
                <c:pt idx="130">
                  <c:v>5.6599131849958635</c:v>
                </c:pt>
                <c:pt idx="131">
                  <c:v>5.587806511198524</c:v>
                </c:pt>
                <c:pt idx="132">
                  <c:v>5.5134012783402238</c:v>
                </c:pt>
                <c:pt idx="133">
                  <c:v>5.4368289527188605</c:v>
                </c:pt>
                <c:pt idx="134">
                  <c:v>5.357628073874384</c:v>
                </c:pt>
                <c:pt idx="135">
                  <c:v>5.2761509306604824</c:v>
                </c:pt>
                <c:pt idx="136">
                  <c:v>5.1926519201832759</c:v>
                </c:pt>
                <c:pt idx="137">
                  <c:v>5.107219535913881</c:v>
                </c:pt>
                <c:pt idx="138">
                  <c:v>5.0198888906915746</c:v>
                </c:pt>
                <c:pt idx="139">
                  <c:v>4.930433158914223</c:v>
                </c:pt>
                <c:pt idx="140">
                  <c:v>4.8391470209190599</c:v>
                </c:pt>
                <c:pt idx="141">
                  <c:v>4.7467547520923787</c:v>
                </c:pt>
                <c:pt idx="142">
                  <c:v>4.6537518375919733</c:v>
                </c:pt>
                <c:pt idx="143">
                  <c:v>4.5600285458349976</c:v>
                </c:pt>
                <c:pt idx="144">
                  <c:v>4.4655238292456305</c:v>
                </c:pt>
                <c:pt idx="145">
                  <c:v>4.3702836637945719</c:v>
                </c:pt>
                <c:pt idx="146">
                  <c:v>4.2748120611477418</c:v>
                </c:pt>
                <c:pt idx="147">
                  <c:v>4.179458799399165</c:v>
                </c:pt>
                <c:pt idx="148">
                  <c:v>4.0845326273745304</c:v>
                </c:pt>
                <c:pt idx="149">
                  <c:v>3.990468335510315</c:v>
                </c:pt>
                <c:pt idx="150">
                  <c:v>3.8972839338982972</c:v>
                </c:pt>
                <c:pt idx="151">
                  <c:v>3.8047998186681791</c:v>
                </c:pt>
                <c:pt idx="152">
                  <c:v>3.7132120981389112</c:v>
                </c:pt>
                <c:pt idx="153">
                  <c:v>3.6226902427690426</c:v>
                </c:pt>
                <c:pt idx="154">
                  <c:v>3.5333319539035593</c:v>
                </c:pt>
                <c:pt idx="155">
                  <c:v>3.445201965603359</c:v>
                </c:pt>
                <c:pt idx="156">
                  <c:v>3.3581188352923523</c:v>
                </c:pt>
                <c:pt idx="157">
                  <c:v>3.2720996438350491</c:v>
                </c:pt>
                <c:pt idx="158">
                  <c:v>3.1870952277986699</c:v>
                </c:pt>
                <c:pt idx="159">
                  <c:v>3.1031924280319356</c:v>
                </c:pt>
                <c:pt idx="160">
                  <c:v>3.0201324705822761</c:v>
                </c:pt>
                <c:pt idx="161">
                  <c:v>2.9378494815053631</c:v>
                </c:pt>
                <c:pt idx="162">
                  <c:v>2.8564097893822855</c:v>
                </c:pt>
                <c:pt idx="163">
                  <c:v>2.7757130560892436</c:v>
                </c:pt>
                <c:pt idx="164">
                  <c:v>2.6959493887636077</c:v>
                </c:pt>
                <c:pt idx="165">
                  <c:v>2.6172242419907268</c:v>
                </c:pt>
                <c:pt idx="166">
                  <c:v>2.5394881804496539</c:v>
                </c:pt>
                <c:pt idx="167">
                  <c:v>2.4628676605154398</c:v>
                </c:pt>
                <c:pt idx="168">
                  <c:v>2.3872998388282372</c:v>
                </c:pt>
                <c:pt idx="169">
                  <c:v>2.3128324099831201</c:v>
                </c:pt>
                <c:pt idx="170">
                  <c:v>2.2393543475863131</c:v>
                </c:pt>
                <c:pt idx="171">
                  <c:v>2.1667514170996709</c:v>
                </c:pt>
                <c:pt idx="172">
                  <c:v>2.0949291048989469</c:v>
                </c:pt>
                <c:pt idx="173">
                  <c:v>2.0239053497899451</c:v>
                </c:pt>
                <c:pt idx="174">
                  <c:v>1.9535928708217152</c:v>
                </c:pt>
                <c:pt idx="175">
                  <c:v>1.8840212585942089</c:v>
                </c:pt>
                <c:pt idx="176">
                  <c:v>1.8155191944213467</c:v>
                </c:pt>
                <c:pt idx="177">
                  <c:v>1.7476886321510035</c:v>
                </c:pt>
                <c:pt idx="178">
                  <c:v>1.6807785918593807</c:v>
                </c:pt>
                <c:pt idx="179">
                  <c:v>1.6147042036058019</c:v>
                </c:pt>
                <c:pt idx="180">
                  <c:v>1.5492339571486879</c:v>
                </c:pt>
                <c:pt idx="181">
                  <c:v>1.484530759862039</c:v>
                </c:pt>
                <c:pt idx="182">
                  <c:v>1.4206043199380225</c:v>
                </c:pt>
                <c:pt idx="183">
                  <c:v>1.3575914972489884</c:v>
                </c:pt>
                <c:pt idx="184">
                  <c:v>1.2954055007641017</c:v>
                </c:pt>
                <c:pt idx="185">
                  <c:v>1.2340122670404541</c:v>
                </c:pt>
                <c:pt idx="186">
                  <c:v>1.1735315557082113</c:v>
                </c:pt>
                <c:pt idx="187">
                  <c:v>1.1139152842729048</c:v>
                </c:pt>
                <c:pt idx="188">
                  <c:v>1.0549373279608638</c:v>
                </c:pt>
                <c:pt idx="189">
                  <c:v>0.99676818515298815</c:v>
                </c:pt>
                <c:pt idx="190">
                  <c:v>0.93943730173103268</c:v>
                </c:pt>
                <c:pt idx="191">
                  <c:v>0.88259993393918168</c:v>
                </c:pt>
                <c:pt idx="192">
                  <c:v>0.82646926109883179</c:v>
                </c:pt>
                <c:pt idx="193">
                  <c:v>0.77107197306846653</c:v>
                </c:pt>
                <c:pt idx="194">
                  <c:v>0.71654328866317574</c:v>
                </c:pt>
                <c:pt idx="195">
                  <c:v>0.66260436980837778</c:v>
                </c:pt>
                <c:pt idx="196">
                  <c:v>0.60930660930291636</c:v>
                </c:pt>
                <c:pt idx="197">
                  <c:v>0.55676931896106441</c:v>
                </c:pt>
                <c:pt idx="198">
                  <c:v>0.50511439565491101</c:v>
                </c:pt>
                <c:pt idx="199">
                  <c:v>0.45393456206985183</c:v>
                </c:pt>
                <c:pt idx="200">
                  <c:v>0.4033276804944495</c:v>
                </c:pt>
                <c:pt idx="201">
                  <c:v>0.35327881138630585</c:v>
                </c:pt>
                <c:pt idx="202">
                  <c:v>0.30386717704246929</c:v>
                </c:pt>
                <c:pt idx="203">
                  <c:v>0.25528890045828617</c:v>
                </c:pt>
                <c:pt idx="204">
                  <c:v>0.20741398103798489</c:v>
                </c:pt>
                <c:pt idx="205">
                  <c:v>0.16022064256689039</c:v>
                </c:pt>
                <c:pt idx="206">
                  <c:v>0.11360068958500549</c:v>
                </c:pt>
                <c:pt idx="207">
                  <c:v>6.7826278610511923E-2</c:v>
                </c:pt>
                <c:pt idx="208">
                  <c:v>2.2922591237853708E-2</c:v>
                </c:pt>
                <c:pt idx="209">
                  <c:v>-2.1317998926366277E-2</c:v>
                </c:pt>
                <c:pt idx="210">
                  <c:v>-6.4903956038789401E-2</c:v>
                </c:pt>
                <c:pt idx="211">
                  <c:v>-0.10814215740278368</c:v>
                </c:pt>
                <c:pt idx="212">
                  <c:v>-0.15069507569379728</c:v>
                </c:pt>
                <c:pt idx="213">
                  <c:v>-0.19242436633847756</c:v>
                </c:pt>
                <c:pt idx="214">
                  <c:v>-0.23320318738291695</c:v>
                </c:pt>
                <c:pt idx="215">
                  <c:v>-0.27328851436350998</c:v>
                </c:pt>
                <c:pt idx="216">
                  <c:v>-0.31286331760379144</c:v>
                </c:pt>
                <c:pt idx="217">
                  <c:v>-0.3519861335448734</c:v>
                </c:pt>
                <c:pt idx="218">
                  <c:v>-0.39038713618060411</c:v>
                </c:pt>
                <c:pt idx="219">
                  <c:v>-0.42817739561734075</c:v>
                </c:pt>
                <c:pt idx="220">
                  <c:v>-0.46529541510432637</c:v>
                </c:pt>
                <c:pt idx="221">
                  <c:v>-0.50167018497319815</c:v>
                </c:pt>
                <c:pt idx="222">
                  <c:v>-0.53732575801701987</c:v>
                </c:pt>
                <c:pt idx="223">
                  <c:v>-0.57226648125008794</c:v>
                </c:pt>
                <c:pt idx="224">
                  <c:v>-0.60649392468250141</c:v>
                </c:pt>
                <c:pt idx="225">
                  <c:v>-0.63992040476812229</c:v>
                </c:pt>
                <c:pt idx="226">
                  <c:v>-0.67261927495332885</c:v>
                </c:pt>
                <c:pt idx="227">
                  <c:v>-0.70449951640823594</c:v>
                </c:pt>
                <c:pt idx="228">
                  <c:v>-0.73593147068340303</c:v>
                </c:pt>
                <c:pt idx="229">
                  <c:v>-0.76680140020601573</c:v>
                </c:pt>
                <c:pt idx="230">
                  <c:v>-0.79712213386943587</c:v>
                </c:pt>
                <c:pt idx="231">
                  <c:v>-0.82670820411496782</c:v>
                </c:pt>
                <c:pt idx="232">
                  <c:v>-0.85545631845681913</c:v>
                </c:pt>
                <c:pt idx="233">
                  <c:v>-0.88337435413887555</c:v>
                </c:pt>
                <c:pt idx="234">
                  <c:v>-0.9105056631076095</c:v>
                </c:pt>
                <c:pt idx="235">
                  <c:v>-0.93682922568143057</c:v>
                </c:pt>
                <c:pt idx="236">
                  <c:v>-0.96223642501659901</c:v>
                </c:pt>
                <c:pt idx="237">
                  <c:v>-0.98680805497159252</c:v>
                </c:pt>
                <c:pt idx="238">
                  <c:v>-1.0108324082702465</c:v>
                </c:pt>
                <c:pt idx="239">
                  <c:v>-1.0339721762807528</c:v>
                </c:pt>
                <c:pt idx="240">
                  <c:v>-1.0564201974591867</c:v>
                </c:pt>
                <c:pt idx="241">
                  <c:v>-1.0779035282625595</c:v>
                </c:pt>
                <c:pt idx="242">
                  <c:v>-1.0987932137593985</c:v>
                </c:pt>
                <c:pt idx="243">
                  <c:v>-1.1190976173175091</c:v>
                </c:pt>
                <c:pt idx="244">
                  <c:v>-1.1386723397065217</c:v>
                </c:pt>
                <c:pt idx="245">
                  <c:v>-1.1574750390156416</c:v>
                </c:pt>
                <c:pt idx="246">
                  <c:v>-1.1755165745630625</c:v>
                </c:pt>
                <c:pt idx="247">
                  <c:v>-1.1927483545243593</c:v>
                </c:pt>
                <c:pt idx="248">
                  <c:v>-1.2092270933484635</c:v>
                </c:pt>
                <c:pt idx="249">
                  <c:v>-1.2250250999818022</c:v>
                </c:pt>
                <c:pt idx="250">
                  <c:v>-1.2398930424821473</c:v>
                </c:pt>
                <c:pt idx="251">
                  <c:v>-1.2537131917160185</c:v>
                </c:pt>
                <c:pt idx="252">
                  <c:v>-1.2668112965594709</c:v>
                </c:pt>
                <c:pt idx="253">
                  <c:v>-1.2792913450826771</c:v>
                </c:pt>
                <c:pt idx="254">
                  <c:v>-1.2910724783307845</c:v>
                </c:pt>
                <c:pt idx="255">
                  <c:v>-1.3021268312987488</c:v>
                </c:pt>
                <c:pt idx="256">
                  <c:v>-1.3124390859622685</c:v>
                </c:pt>
                <c:pt idx="257">
                  <c:v>-1.3221760838574086</c:v>
                </c:pt>
                <c:pt idx="258">
                  <c:v>-1.3308938008466715</c:v>
                </c:pt>
                <c:pt idx="259">
                  <c:v>-1.3387347620086085</c:v>
                </c:pt>
                <c:pt idx="260">
                  <c:v>-1.3458331424776511</c:v>
                </c:pt>
                <c:pt idx="261">
                  <c:v>-1.3522516807282108</c:v>
                </c:pt>
                <c:pt idx="262">
                  <c:v>-1.3579475185853385</c:v>
                </c:pt>
                <c:pt idx="263">
                  <c:v>-1.3627366904015863</c:v>
                </c:pt>
                <c:pt idx="264">
                  <c:v>-1.3668334922207503</c:v>
                </c:pt>
                <c:pt idx="265">
                  <c:v>-1.3701249092083865</c:v>
                </c:pt>
                <c:pt idx="266">
                  <c:v>-1.3727510592519818</c:v>
                </c:pt>
                <c:pt idx="267">
                  <c:v>-1.3747950155338897</c:v>
                </c:pt>
                <c:pt idx="268">
                  <c:v>-1.3759190672898145</c:v>
                </c:pt>
                <c:pt idx="269">
                  <c:v>-1.3763565311448998</c:v>
                </c:pt>
                <c:pt idx="270">
                  <c:v>-1.3759551063614546</c:v>
                </c:pt>
                <c:pt idx="271">
                  <c:v>-1.3749096292202077</c:v>
                </c:pt>
                <c:pt idx="272">
                  <c:v>-1.3732791078953093</c:v>
                </c:pt>
                <c:pt idx="273">
                  <c:v>-1.3709467438648471</c:v>
                </c:pt>
                <c:pt idx="274">
                  <c:v>-1.367718892660085</c:v>
                </c:pt>
                <c:pt idx="275">
                  <c:v>-1.3637054143816909</c:v>
                </c:pt>
                <c:pt idx="276">
                  <c:v>-1.3591056769524437</c:v>
                </c:pt>
                <c:pt idx="277">
                  <c:v>-1.3538661867579984</c:v>
                </c:pt>
                <c:pt idx="278">
                  <c:v>-1.3478717312943547</c:v>
                </c:pt>
                <c:pt idx="279">
                  <c:v>-1.3412450992636444</c:v>
                </c:pt>
                <c:pt idx="280">
                  <c:v>-1.3340138206538155</c:v>
                </c:pt>
                <c:pt idx="281">
                  <c:v>-1.3261643708598345</c:v>
                </c:pt>
                <c:pt idx="282">
                  <c:v>-1.3177501935290183</c:v>
                </c:pt>
                <c:pt idx="283">
                  <c:v>-1.3087911939903885</c:v>
                </c:pt>
                <c:pt idx="284">
                  <c:v>-1.2990599627489765</c:v>
                </c:pt>
                <c:pt idx="285">
                  <c:v>-1.2885941778826369</c:v>
                </c:pt>
                <c:pt idx="286">
                  <c:v>-1.2776377862459094</c:v>
                </c:pt>
                <c:pt idx="287">
                  <c:v>-1.2659969379659077</c:v>
                </c:pt>
                <c:pt idx="288">
                  <c:v>-1.2538323682578811</c:v>
                </c:pt>
                <c:pt idx="289">
                  <c:v>-1.2410990183227688</c:v>
                </c:pt>
                <c:pt idx="290">
                  <c:v>-1.2279062741532079</c:v>
                </c:pt>
                <c:pt idx="291">
                  <c:v>-1.214226303574953</c:v>
                </c:pt>
                <c:pt idx="292">
                  <c:v>-1.2000602087737877</c:v>
                </c:pt>
                <c:pt idx="293">
                  <c:v>-1.185584541910742</c:v>
                </c:pt>
                <c:pt idx="294">
                  <c:v>-1.1706565818793364</c:v>
                </c:pt>
                <c:pt idx="295">
                  <c:v>-1.1551746370752201</c:v>
                </c:pt>
                <c:pt idx="296">
                  <c:v>-1.1392002202934308</c:v>
                </c:pt>
                <c:pt idx="297">
                  <c:v>-1.1226069293777305</c:v>
                </c:pt>
                <c:pt idx="298">
                  <c:v>-1.1056545966242011</c:v>
                </c:pt>
                <c:pt idx="299">
                  <c:v>-1.0883966739330226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37-4C9B-80F3-A60303DDE51D}"/>
            </c:ext>
          </c:extLst>
        </c:ser>
        <c:ser>
          <c:idx val="3"/>
          <c:order val="3"/>
          <c:tx>
            <c:strRef>
              <c:f>VW!$W$79</c:f>
              <c:strCache>
                <c:ptCount val="1"/>
                <c:pt idx="0">
                  <c:v>D4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VW!$W$80:$W$379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-2.057682438196741E-8</c:v>
                </c:pt>
                <c:pt idx="22">
                  <c:v>3.2202534803492839E-4</c:v>
                </c:pt>
                <c:pt idx="23">
                  <c:v>2.473546698908599E-3</c:v>
                </c:pt>
                <c:pt idx="24">
                  <c:v>7.9773873064779826E-3</c:v>
                </c:pt>
                <c:pt idx="25">
                  <c:v>1.7879040469108261E-2</c:v>
                </c:pt>
                <c:pt idx="26">
                  <c:v>3.2786156607124257E-2</c:v>
                </c:pt>
                <c:pt idx="27">
                  <c:v>5.2707674958183494E-2</c:v>
                </c:pt>
                <c:pt idx="28">
                  <c:v>7.7298244071425007E-2</c:v>
                </c:pt>
                <c:pt idx="29">
                  <c:v>0.10662647557039323</c:v>
                </c:pt>
                <c:pt idx="30">
                  <c:v>0.14112714595596151</c:v>
                </c:pt>
                <c:pt idx="31">
                  <c:v>0.18061173597272392</c:v>
                </c:pt>
                <c:pt idx="32">
                  <c:v>0.22458571662612234</c:v>
                </c:pt>
                <c:pt idx="33">
                  <c:v>0.27271964289454453</c:v>
                </c:pt>
                <c:pt idx="34">
                  <c:v>0.32484086846271715</c:v>
                </c:pt>
                <c:pt idx="35">
                  <c:v>0.3806700775966913</c:v>
                </c:pt>
                <c:pt idx="36">
                  <c:v>0.44017873983298328</c:v>
                </c:pt>
                <c:pt idx="37">
                  <c:v>0.50343773047120965</c:v>
                </c:pt>
                <c:pt idx="38">
                  <c:v>0.57026578414976714</c:v>
                </c:pt>
                <c:pt idx="39">
                  <c:v>0.64052455583121892</c:v>
                </c:pt>
                <c:pt idx="40">
                  <c:v>0.71432521791315062</c:v>
                </c:pt>
                <c:pt idx="41">
                  <c:v>0.79168879166740413</c:v>
                </c:pt>
                <c:pt idx="42">
                  <c:v>0.87243182773473738</c:v>
                </c:pt>
                <c:pt idx="43">
                  <c:v>0.95618840059109322</c:v>
                </c:pt>
                <c:pt idx="44">
                  <c:v>1.0427122584489787</c:v>
                </c:pt>
                <c:pt idx="45">
                  <c:v>1.1316512631683986</c:v>
                </c:pt>
                <c:pt idx="46">
                  <c:v>1.2227460049206655</c:v>
                </c:pt>
                <c:pt idx="47">
                  <c:v>1.315798057603673</c:v>
                </c:pt>
                <c:pt idx="48">
                  <c:v>1.4105425802935398</c:v>
                </c:pt>
                <c:pt idx="49">
                  <c:v>1.5068594368585539</c:v>
                </c:pt>
                <c:pt idx="50">
                  <c:v>1.6046825866643659</c:v>
                </c:pt>
                <c:pt idx="51">
                  <c:v>1.7041242592596026</c:v>
                </c:pt>
                <c:pt idx="52">
                  <c:v>1.8051041140436097</c:v>
                </c:pt>
                <c:pt idx="53">
                  <c:v>1.9074141646060501</c:v>
                </c:pt>
                <c:pt idx="54">
                  <c:v>2.0109847195864492</c:v>
                </c:pt>
                <c:pt idx="55">
                  <c:v>2.1156494284833935</c:v>
                </c:pt>
                <c:pt idx="56">
                  <c:v>2.2211896301203162</c:v>
                </c:pt>
                <c:pt idx="57">
                  <c:v>2.3272935774001509</c:v>
                </c:pt>
                <c:pt idx="58">
                  <c:v>2.4337356507553216</c:v>
                </c:pt>
                <c:pt idx="59">
                  <c:v>2.5403480336719166</c:v>
                </c:pt>
                <c:pt idx="60">
                  <c:v>2.6471374843223083</c:v>
                </c:pt>
                <c:pt idx="61">
                  <c:v>2.7542411809062797</c:v>
                </c:pt>
                <c:pt idx="62">
                  <c:v>2.8617816694693445</c:v>
                </c:pt>
                <c:pt idx="63">
                  <c:v>2.969694289906875</c:v>
                </c:pt>
                <c:pt idx="64">
                  <c:v>3.0777903982069961</c:v>
                </c:pt>
                <c:pt idx="65">
                  <c:v>3.1859024381703143</c:v>
                </c:pt>
                <c:pt idx="66">
                  <c:v>3.2938921818171654</c:v>
                </c:pt>
                <c:pt idx="67">
                  <c:v>3.4014803570395724</c:v>
                </c:pt>
                <c:pt idx="68">
                  <c:v>3.5083485986795107</c:v>
                </c:pt>
                <c:pt idx="69">
                  <c:v>3.6142672683863259</c:v>
                </c:pt>
                <c:pt idx="70">
                  <c:v>3.7190167846235194</c:v>
                </c:pt>
                <c:pt idx="71">
                  <c:v>3.8225429757512783</c:v>
                </c:pt>
                <c:pt idx="72">
                  <c:v>3.9247359413875942</c:v>
                </c:pt>
                <c:pt idx="73">
                  <c:v>4.025678626249614</c:v>
                </c:pt>
                <c:pt idx="74">
                  <c:v>4.1253956485704828</c:v>
                </c:pt>
                <c:pt idx="75">
                  <c:v>4.2238913641888933</c:v>
                </c:pt>
                <c:pt idx="76">
                  <c:v>4.3212156093083331</c:v>
                </c:pt>
                <c:pt idx="77">
                  <c:v>4.4170953717082897</c:v>
                </c:pt>
                <c:pt idx="78">
                  <c:v>4.5112875033119657</c:v>
                </c:pt>
                <c:pt idx="79">
                  <c:v>4.6035691552192262</c:v>
                </c:pt>
                <c:pt idx="80">
                  <c:v>4.6938032570881596</c:v>
                </c:pt>
                <c:pt idx="81">
                  <c:v>4.7817500002917761</c:v>
                </c:pt>
                <c:pt idx="82">
                  <c:v>4.8671959906380025</c:v>
                </c:pt>
                <c:pt idx="83">
                  <c:v>4.9498749859547511</c:v>
                </c:pt>
                <c:pt idx="84">
                  <c:v>5.0296482234128561</c:v>
                </c:pt>
                <c:pt idx="85">
                  <c:v>5.106607280836255</c:v>
                </c:pt>
                <c:pt idx="86">
                  <c:v>5.1807458571467047</c:v>
                </c:pt>
                <c:pt idx="87">
                  <c:v>5.2520005410917543</c:v>
                </c:pt>
                <c:pt idx="88">
                  <c:v>5.3202303744258534</c:v>
                </c:pt>
                <c:pt idx="89">
                  <c:v>5.3852124048286196</c:v>
                </c:pt>
                <c:pt idx="90">
                  <c:v>5.4469039010181941</c:v>
                </c:pt>
                <c:pt idx="91">
                  <c:v>5.5052267139706936</c:v>
                </c:pt>
                <c:pt idx="92">
                  <c:v>5.5599870116015335</c:v>
                </c:pt>
                <c:pt idx="93">
                  <c:v>5.611171487477808</c:v>
                </c:pt>
                <c:pt idx="94">
                  <c:v>5.6587440030818001</c:v>
                </c:pt>
                <c:pt idx="95">
                  <c:v>5.702574055779599</c:v>
                </c:pt>
                <c:pt idx="96">
                  <c:v>5.7427573485732237</c:v>
                </c:pt>
                <c:pt idx="97">
                  <c:v>5.7793259770689795</c:v>
                </c:pt>
                <c:pt idx="98">
                  <c:v>5.8123795999087946</c:v>
                </c:pt>
                <c:pt idx="99">
                  <c:v>5.8420846727164841</c:v>
                </c:pt>
                <c:pt idx="100">
                  <c:v>5.8683867157999705</c:v>
                </c:pt>
                <c:pt idx="101">
                  <c:v>5.8914335467988961</c:v>
                </c:pt>
                <c:pt idx="102">
                  <c:v>5.91112805207415</c:v>
                </c:pt>
                <c:pt idx="103">
                  <c:v>5.9273590103447553</c:v>
                </c:pt>
                <c:pt idx="104">
                  <c:v>5.9402177033055317</c:v>
                </c:pt>
                <c:pt idx="105">
                  <c:v>5.94973557256258</c:v>
                </c:pt>
                <c:pt idx="106">
                  <c:v>5.9559778798110878</c:v>
                </c:pt>
                <c:pt idx="107">
                  <c:v>5.9587244798923615</c:v>
                </c:pt>
                <c:pt idx="108">
                  <c:v>5.958344439737977</c:v>
                </c:pt>
                <c:pt idx="109">
                  <c:v>5.9553909176959907</c:v>
                </c:pt>
                <c:pt idx="110">
                  <c:v>5.9495791616573861</c:v>
                </c:pt>
                <c:pt idx="111">
                  <c:v>5.9402230808287735</c:v>
                </c:pt>
                <c:pt idx="112">
                  <c:v>5.9269676139128729</c:v>
                </c:pt>
                <c:pt idx="113">
                  <c:v>5.9102122134235691</c:v>
                </c:pt>
                <c:pt idx="114">
                  <c:v>5.8903799048477969</c:v>
                </c:pt>
                <c:pt idx="115">
                  <c:v>5.8676868654521108</c:v>
                </c:pt>
                <c:pt idx="116">
                  <c:v>5.8425375604382523</c:v>
                </c:pt>
                <c:pt idx="117">
                  <c:v>5.8151516830895806</c:v>
                </c:pt>
                <c:pt idx="118">
                  <c:v>5.7851817877777059</c:v>
                </c:pt>
                <c:pt idx="119">
                  <c:v>5.752448625834484</c:v>
                </c:pt>
                <c:pt idx="120">
                  <c:v>5.7168378043687973</c:v>
                </c:pt>
                <c:pt idx="121">
                  <c:v>5.6781721710107647</c:v>
                </c:pt>
                <c:pt idx="122">
                  <c:v>5.6368495627287167</c:v>
                </c:pt>
                <c:pt idx="123">
                  <c:v>5.5930970228573829</c:v>
                </c:pt>
                <c:pt idx="124">
                  <c:v>5.5465847138465341</c:v>
                </c:pt>
                <c:pt idx="125">
                  <c:v>5.4972102790616351</c:v>
                </c:pt>
                <c:pt idx="126">
                  <c:v>5.4449459798871986</c:v>
                </c:pt>
                <c:pt idx="127">
                  <c:v>5.3904248302466122</c:v>
                </c:pt>
                <c:pt idx="128">
                  <c:v>5.3339874086450694</c:v>
                </c:pt>
                <c:pt idx="129">
                  <c:v>5.2754549002590645</c:v>
                </c:pt>
                <c:pt idx="130">
                  <c:v>5.2148837887660076</c:v>
                </c:pt>
                <c:pt idx="131">
                  <c:v>5.1521122640993333</c:v>
                </c:pt>
                <c:pt idx="132">
                  <c:v>5.0871532461717406</c:v>
                </c:pt>
                <c:pt idx="133">
                  <c:v>5.0200931808335234</c:v>
                </c:pt>
                <c:pt idx="134">
                  <c:v>4.9506729031802017</c:v>
                </c:pt>
                <c:pt idx="135">
                  <c:v>4.8790637859769355</c:v>
                </c:pt>
                <c:pt idx="136">
                  <c:v>4.8054465858022715</c:v>
                </c:pt>
                <c:pt idx="137">
                  <c:v>4.7299130904190321</c:v>
                </c:pt>
                <c:pt idx="138">
                  <c:v>4.6525132424910529</c:v>
                </c:pt>
                <c:pt idx="139">
                  <c:v>4.5731290769985016</c:v>
                </c:pt>
                <c:pt idx="140">
                  <c:v>4.4919254340290822</c:v>
                </c:pt>
                <c:pt idx="141">
                  <c:v>4.4093735973213306</c:v>
                </c:pt>
                <c:pt idx="142">
                  <c:v>4.3258704822581819</c:v>
                </c:pt>
                <c:pt idx="143">
                  <c:v>4.2414485859056397</c:v>
                </c:pt>
                <c:pt idx="144">
                  <c:v>4.1561069830256239</c:v>
                </c:pt>
                <c:pt idx="145">
                  <c:v>4.0698935420780407</c:v>
                </c:pt>
                <c:pt idx="146">
                  <c:v>3.9831373288146801</c:v>
                </c:pt>
                <c:pt idx="147">
                  <c:v>3.8961265847186812</c:v>
                </c:pt>
                <c:pt idx="148">
                  <c:v>3.8091258593362904</c:v>
                </c:pt>
                <c:pt idx="149">
                  <c:v>3.7224744876618669</c:v>
                </c:pt>
                <c:pt idx="150">
                  <c:v>3.6362748862279948</c:v>
                </c:pt>
                <c:pt idx="151">
                  <c:v>3.550471145770338</c:v>
                </c:pt>
                <c:pt idx="152">
                  <c:v>3.4651996433967596</c:v>
                </c:pt>
                <c:pt idx="153">
                  <c:v>3.3806067694708548</c:v>
                </c:pt>
                <c:pt idx="154">
                  <c:v>3.296799478839151</c:v>
                </c:pt>
                <c:pt idx="155">
                  <c:v>3.2138587522110327</c:v>
                </c:pt>
                <c:pt idx="156">
                  <c:v>3.1317099018693333</c:v>
                </c:pt>
                <c:pt idx="157">
                  <c:v>3.050367663129661</c:v>
                </c:pt>
                <c:pt idx="158">
                  <c:v>2.9698170662879733</c:v>
                </c:pt>
                <c:pt idx="159">
                  <c:v>2.8901191295016697</c:v>
                </c:pt>
                <c:pt idx="160">
                  <c:v>2.8111383837699053</c:v>
                </c:pt>
                <c:pt idx="161">
                  <c:v>2.7328201161579821</c:v>
                </c:pt>
                <c:pt idx="162">
                  <c:v>2.6551979055256543</c:v>
                </c:pt>
                <c:pt idx="163">
                  <c:v>2.578219669061419</c:v>
                </c:pt>
                <c:pt idx="164">
                  <c:v>2.5019959464501516</c:v>
                </c:pt>
                <c:pt idx="165">
                  <c:v>2.426613801639764</c:v>
                </c:pt>
                <c:pt idx="166">
                  <c:v>2.3520663606473944</c:v>
                </c:pt>
                <c:pt idx="167">
                  <c:v>2.2784377838251966</c:v>
                </c:pt>
                <c:pt idx="168">
                  <c:v>2.2057118914637117</c:v>
                </c:pt>
                <c:pt idx="169">
                  <c:v>2.1339228389711975</c:v>
                </c:pt>
                <c:pt idx="170">
                  <c:v>2.063016033564578</c:v>
                </c:pt>
                <c:pt idx="171">
                  <c:v>1.9929183604392824</c:v>
                </c:pt>
                <c:pt idx="172">
                  <c:v>1.9235622872740294</c:v>
                </c:pt>
                <c:pt idx="173">
                  <c:v>1.8549464142167984</c:v>
                </c:pt>
                <c:pt idx="174">
                  <c:v>1.7870167538056352</c:v>
                </c:pt>
                <c:pt idx="175">
                  <c:v>1.7197814191150687</c:v>
                </c:pt>
                <c:pt idx="176">
                  <c:v>1.6534394307214111</c:v>
                </c:pt>
                <c:pt idx="177">
                  <c:v>1.5877871977513456</c:v>
                </c:pt>
                <c:pt idx="178">
                  <c:v>1.5229454274132035</c:v>
                </c:pt>
                <c:pt idx="179">
                  <c:v>1.4588829434409014</c:v>
                </c:pt>
                <c:pt idx="180">
                  <c:v>1.3954569667182215</c:v>
                </c:pt>
                <c:pt idx="181">
                  <c:v>1.3327416847881923</c:v>
                </c:pt>
                <c:pt idx="182">
                  <c:v>1.2707523198411481</c:v>
                </c:pt>
                <c:pt idx="183">
                  <c:v>1.2095750389809705</c:v>
                </c:pt>
                <c:pt idx="184">
                  <c:v>1.1491749125606707</c:v>
                </c:pt>
                <c:pt idx="185">
                  <c:v>1.0895283480250766</c:v>
                </c:pt>
                <c:pt idx="186">
                  <c:v>1.0307043937367932</c:v>
                </c:pt>
                <c:pt idx="187">
                  <c:v>0.9726866691572974</c:v>
                </c:pt>
                <c:pt idx="188">
                  <c:v>0.91533852061228604</c:v>
                </c:pt>
                <c:pt idx="189">
                  <c:v>0.85873890056237434</c:v>
                </c:pt>
                <c:pt idx="190">
                  <c:v>0.80291582092064762</c:v>
                </c:pt>
                <c:pt idx="191">
                  <c:v>0.74766677967181649</c:v>
                </c:pt>
                <c:pt idx="192">
                  <c:v>0.69308487842999189</c:v>
                </c:pt>
                <c:pt idx="193">
                  <c:v>0.63919658016775016</c:v>
                </c:pt>
                <c:pt idx="194">
                  <c:v>0.58608792998168624</c:v>
                </c:pt>
                <c:pt idx="195">
                  <c:v>0.53360776281473199</c:v>
                </c:pt>
                <c:pt idx="196">
                  <c:v>0.48176212243017286</c:v>
                </c:pt>
                <c:pt idx="197">
                  <c:v>0.43062061765812665</c:v>
                </c:pt>
                <c:pt idx="198">
                  <c:v>0.38026815775578426</c:v>
                </c:pt>
                <c:pt idx="199">
                  <c:v>0.33047679144552627</c:v>
                </c:pt>
                <c:pt idx="200">
                  <c:v>0.28126734025579692</c:v>
                </c:pt>
                <c:pt idx="201">
                  <c:v>0.23262831217906255</c:v>
                </c:pt>
                <c:pt idx="202">
                  <c:v>0.18460270697718703</c:v>
                </c:pt>
                <c:pt idx="203">
                  <c:v>0.13731614390010277</c:v>
                </c:pt>
                <c:pt idx="204">
                  <c:v>9.0713538577395253E-2</c:v>
                </c:pt>
                <c:pt idx="205">
                  <c:v>4.4775827430541766E-2</c:v>
                </c:pt>
                <c:pt idx="206">
                  <c:v>-5.6548221769202713E-4</c:v>
                </c:pt>
                <c:pt idx="207">
                  <c:v>-4.5159010251831236E-2</c:v>
                </c:pt>
                <c:pt idx="208">
                  <c:v>-8.8963376782031506E-2</c:v>
                </c:pt>
                <c:pt idx="209">
                  <c:v>-0.13209211796688738</c:v>
                </c:pt>
                <c:pt idx="210">
                  <c:v>-0.17456739795299436</c:v>
                </c:pt>
                <c:pt idx="211">
                  <c:v>-0.21658121205214179</c:v>
                </c:pt>
                <c:pt idx="212">
                  <c:v>-0.25796680901447649</c:v>
                </c:pt>
                <c:pt idx="213">
                  <c:v>-0.29861669469106428</c:v>
                </c:pt>
                <c:pt idx="214">
                  <c:v>-0.33843266237765879</c:v>
                </c:pt>
                <c:pt idx="215">
                  <c:v>-0.3775467352456095</c:v>
                </c:pt>
                <c:pt idx="216">
                  <c:v>-0.41608853901133541</c:v>
                </c:pt>
                <c:pt idx="217">
                  <c:v>-0.45411864290224596</c:v>
                </c:pt>
                <c:pt idx="218">
                  <c:v>-0.49148989004156401</c:v>
                </c:pt>
                <c:pt idx="219">
                  <c:v>-0.52824613657640385</c:v>
                </c:pt>
                <c:pt idx="220">
                  <c:v>-0.56435555336204302</c:v>
                </c:pt>
                <c:pt idx="221">
                  <c:v>-0.59976984233578845</c:v>
                </c:pt>
                <c:pt idx="222">
                  <c:v>-0.63449421783335724</c:v>
                </c:pt>
                <c:pt idx="223">
                  <c:v>-0.66852936100702476</c:v>
                </c:pt>
                <c:pt idx="224">
                  <c:v>-0.70187465970299567</c:v>
                </c:pt>
                <c:pt idx="225">
                  <c:v>-0.73447601532479556</c:v>
                </c:pt>
                <c:pt idx="226">
                  <c:v>-0.76636677821554899</c:v>
                </c:pt>
                <c:pt idx="227">
                  <c:v>-0.7974952542376047</c:v>
                </c:pt>
                <c:pt idx="228">
                  <c:v>-0.8280749652352738</c:v>
                </c:pt>
                <c:pt idx="229">
                  <c:v>-0.85807449751640008</c:v>
                </c:pt>
                <c:pt idx="230">
                  <c:v>-0.8875017074107906</c:v>
                </c:pt>
                <c:pt idx="231">
                  <c:v>-0.91624830163917725</c:v>
                </c:pt>
                <c:pt idx="232">
                  <c:v>-0.94423255687729568</c:v>
                </c:pt>
                <c:pt idx="233">
                  <c:v>-0.97144130862365019</c:v>
                </c:pt>
                <c:pt idx="234">
                  <c:v>-0.99789371081887901</c:v>
                </c:pt>
                <c:pt idx="235">
                  <c:v>-1.0235774024844291</c:v>
                </c:pt>
                <c:pt idx="236">
                  <c:v>-1.0484226745117575</c:v>
                </c:pt>
                <c:pt idx="237">
                  <c:v>-1.0724631999734702</c:v>
                </c:pt>
                <c:pt idx="238">
                  <c:v>-1.0958753318565664</c:v>
                </c:pt>
                <c:pt idx="239">
                  <c:v>-1.1184865765690835</c:v>
                </c:pt>
                <c:pt idx="240">
                  <c:v>-1.1403869724340372</c:v>
                </c:pt>
                <c:pt idx="241">
                  <c:v>-1.1614245191013921</c:v>
                </c:pt>
                <c:pt idx="242">
                  <c:v>-1.1817957271840143</c:v>
                </c:pt>
                <c:pt idx="243">
                  <c:v>-1.2015380014140429</c:v>
                </c:pt>
                <c:pt idx="244">
                  <c:v>-1.2205749326702413</c:v>
                </c:pt>
                <c:pt idx="245">
                  <c:v>-1.2388707122283622</c:v>
                </c:pt>
                <c:pt idx="246">
                  <c:v>-1.2564237560496196</c:v>
                </c:pt>
                <c:pt idx="247">
                  <c:v>-1.2732027825728742</c:v>
                </c:pt>
                <c:pt idx="248">
                  <c:v>-1.2892359122524815</c:v>
                </c:pt>
                <c:pt idx="249">
                  <c:v>-1.304570462968546</c:v>
                </c:pt>
                <c:pt idx="250">
                  <c:v>-1.3190642264817414</c:v>
                </c:pt>
                <c:pt idx="251">
                  <c:v>-1.3326210752334009</c:v>
                </c:pt>
                <c:pt idx="252">
                  <c:v>-1.3454156449298502</c:v>
                </c:pt>
                <c:pt idx="253">
                  <c:v>-1.3575371182958769</c:v>
                </c:pt>
                <c:pt idx="254">
                  <c:v>-1.3689564260157117</c:v>
                </c:pt>
                <c:pt idx="255">
                  <c:v>-1.3796561339131839</c:v>
                </c:pt>
                <c:pt idx="256">
                  <c:v>-1.3896244855748643</c:v>
                </c:pt>
                <c:pt idx="257">
                  <c:v>-1.3989605048581173</c:v>
                </c:pt>
                <c:pt idx="258">
                  <c:v>-1.407414861832341</c:v>
                </c:pt>
                <c:pt idx="259">
                  <c:v>-1.4150314697691233</c:v>
                </c:pt>
                <c:pt idx="260">
                  <c:v>-1.4218927847692384</c:v>
                </c:pt>
                <c:pt idx="261">
                  <c:v>-1.4280494844875156</c:v>
                </c:pt>
                <c:pt idx="262">
                  <c:v>-1.433487875587401</c:v>
                </c:pt>
                <c:pt idx="263">
                  <c:v>-1.4380969192284963</c:v>
                </c:pt>
                <c:pt idx="264">
                  <c:v>-1.4419864011030317</c:v>
                </c:pt>
                <c:pt idx="265">
                  <c:v>-1.4451053974756234</c:v>
                </c:pt>
                <c:pt idx="266">
                  <c:v>-1.4475320541445984</c:v>
                </c:pt>
                <c:pt idx="267">
                  <c:v>-1.4493315100643467</c:v>
                </c:pt>
                <c:pt idx="268">
                  <c:v>-1.4503141793411634</c:v>
                </c:pt>
                <c:pt idx="269">
                  <c:v>-1.4505904316468461</c:v>
                </c:pt>
                <c:pt idx="270">
                  <c:v>-1.4500846624305459</c:v>
                </c:pt>
                <c:pt idx="271">
                  <c:v>-1.4489027372798082</c:v>
                </c:pt>
                <c:pt idx="272">
                  <c:v>-1.4470997079776717</c:v>
                </c:pt>
                <c:pt idx="273">
                  <c:v>-1.4446183023523613</c:v>
                </c:pt>
                <c:pt idx="274">
                  <c:v>-1.4413354360588884</c:v>
                </c:pt>
                <c:pt idx="275">
                  <c:v>-1.4372953132466986</c:v>
                </c:pt>
                <c:pt idx="276">
                  <c:v>-1.4326233075922581</c:v>
                </c:pt>
                <c:pt idx="277">
                  <c:v>-1.4273109520769698</c:v>
                </c:pt>
                <c:pt idx="278">
                  <c:v>-1.4212923866568583</c:v>
                </c:pt>
                <c:pt idx="279">
                  <c:v>-1.4146321944136464</c:v>
                </c:pt>
                <c:pt idx="280">
                  <c:v>-1.4073583276573638</c:v>
                </c:pt>
                <c:pt idx="281">
                  <c:v>-1.3994709629440485</c:v>
                </c:pt>
                <c:pt idx="282">
                  <c:v>-1.3910061185763996</c:v>
                </c:pt>
                <c:pt idx="283">
                  <c:v>-1.3819846292365192</c:v>
                </c:pt>
                <c:pt idx="284">
                  <c:v>-1.3722760009320147</c:v>
                </c:pt>
                <c:pt idx="285">
                  <c:v>-1.361882113349894</c:v>
                </c:pt>
                <c:pt idx="286">
                  <c:v>-1.3509485644064236</c:v>
                </c:pt>
                <c:pt idx="287">
                  <c:v>-1.3393845573440462</c:v>
                </c:pt>
                <c:pt idx="288">
                  <c:v>-1.3272761849876935</c:v>
                </c:pt>
                <c:pt idx="289">
                  <c:v>-1.3146123280817295</c:v>
                </c:pt>
                <c:pt idx="290">
                  <c:v>-1.3014602835899562</c:v>
                </c:pt>
                <c:pt idx="291">
                  <c:v>-1.2878186619451248</c:v>
                </c:pt>
                <c:pt idx="292">
                  <c:v>-1.2736922562828701</c:v>
                </c:pt>
                <c:pt idx="293">
                  <c:v>-1.2591919445330138</c:v>
                </c:pt>
                <c:pt idx="294">
                  <c:v>-1.244254581580154</c:v>
                </c:pt>
                <c:pt idx="295">
                  <c:v>-1.2288133908981935</c:v>
                </c:pt>
                <c:pt idx="296">
                  <c:v>-1.2128953358565002</c:v>
                </c:pt>
                <c:pt idx="297">
                  <c:v>-1.1964281341545551</c:v>
                </c:pt>
                <c:pt idx="298">
                  <c:v>-1.179557055411885</c:v>
                </c:pt>
                <c:pt idx="299">
                  <c:v>-1.1623403415204794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737-4C9B-80F3-A60303DDE51D}"/>
            </c:ext>
          </c:extLst>
        </c:ser>
        <c:ser>
          <c:idx val="4"/>
          <c:order val="4"/>
          <c:tx>
            <c:strRef>
              <c:f>VW!$X$79</c:f>
              <c:strCache>
                <c:ptCount val="1"/>
                <c:pt idx="0">
                  <c:v>D5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VW!$X$80:$X$379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9.9053692100684956E-9</c:v>
                </c:pt>
                <c:pt idx="22">
                  <c:v>1.7749944684476658E-4</c:v>
                </c:pt>
                <c:pt idx="23">
                  <c:v>1.4085348021558293E-3</c:v>
                </c:pt>
                <c:pt idx="24">
                  <c:v>4.7602855336448847E-3</c:v>
                </c:pt>
                <c:pt idx="25">
                  <c:v>1.1099512319869366E-2</c:v>
                </c:pt>
                <c:pt idx="26">
                  <c:v>2.102329964812823E-2</c:v>
                </c:pt>
                <c:pt idx="27">
                  <c:v>3.4742714245765131E-2</c:v>
                </c:pt>
                <c:pt idx="28">
                  <c:v>5.2179518134663552E-2</c:v>
                </c:pt>
                <c:pt idx="29">
                  <c:v>7.3405144937430153E-2</c:v>
                </c:pt>
                <c:pt idx="30">
                  <c:v>9.8718656722001405E-2</c:v>
                </c:pt>
                <c:pt idx="31">
                  <c:v>0.12812410987465223</c:v>
                </c:pt>
                <c:pt idx="32">
                  <c:v>0.16138016651584586</c:v>
                </c:pt>
                <c:pt idx="33">
                  <c:v>0.19827172554635716</c:v>
                </c:pt>
                <c:pt idx="34">
                  <c:v>0.2386672205888643</c:v>
                </c:pt>
                <c:pt idx="35">
                  <c:v>0.2823904397828661</c:v>
                </c:pt>
                <c:pt idx="36">
                  <c:v>0.32938716495017822</c:v>
                </c:pt>
                <c:pt idx="37">
                  <c:v>0.37968519465835032</c:v>
                </c:pt>
                <c:pt idx="38">
                  <c:v>0.43319222448971656</c:v>
                </c:pt>
                <c:pt idx="39">
                  <c:v>0.48981110624895957</c:v>
                </c:pt>
                <c:pt idx="40">
                  <c:v>0.5495808843977894</c:v>
                </c:pt>
                <c:pt idx="41">
                  <c:v>0.61252333215528465</c:v>
                </c:pt>
                <c:pt idx="42">
                  <c:v>0.67854385325207733</c:v>
                </c:pt>
                <c:pt idx="43">
                  <c:v>0.74741923329913307</c:v>
                </c:pt>
                <c:pt idx="44">
                  <c:v>0.81895739172596649</c:v>
                </c:pt>
                <c:pt idx="45">
                  <c:v>0.89291213792538404</c:v>
                </c:pt>
                <c:pt idx="46">
                  <c:v>0.96907015808739538</c:v>
                </c:pt>
                <c:pt idx="47">
                  <c:v>1.0472571866689233</c:v>
                </c:pt>
                <c:pt idx="48">
                  <c:v>1.1272686797557654</c:v>
                </c:pt>
                <c:pt idx="49">
                  <c:v>1.2089712553464365</c:v>
                </c:pt>
                <c:pt idx="50">
                  <c:v>1.2922789005074871</c:v>
                </c:pt>
                <c:pt idx="51">
                  <c:v>1.377215297050588</c:v>
                </c:pt>
                <c:pt idx="52">
                  <c:v>1.4637279895748283</c:v>
                </c:pt>
                <c:pt idx="53">
                  <c:v>1.5516768730280603</c:v>
                </c:pt>
                <c:pt idx="54">
                  <c:v>1.6409781138335247</c:v>
                </c:pt>
                <c:pt idx="55">
                  <c:v>1.731507897268074</c:v>
                </c:pt>
                <c:pt idx="56">
                  <c:v>1.8231024951522992</c:v>
                </c:pt>
                <c:pt idx="57">
                  <c:v>1.9155365632850359</c:v>
                </c:pt>
                <c:pt idx="58">
                  <c:v>2.0086140147560996</c:v>
                </c:pt>
                <c:pt idx="59">
                  <c:v>2.1021760900454676</c:v>
                </c:pt>
                <c:pt idx="60">
                  <c:v>2.1961677198671277</c:v>
                </c:pt>
                <c:pt idx="61">
                  <c:v>2.2906322227243892</c:v>
                </c:pt>
                <c:pt idx="62">
                  <c:v>2.3856313845144452</c:v>
                </c:pt>
                <c:pt idx="63">
                  <c:v>2.4811325998496998</c:v>
                </c:pt>
                <c:pt idx="64">
                  <c:v>2.5770148785668434</c:v>
                </c:pt>
                <c:pt idx="65">
                  <c:v>2.6731479333659047</c:v>
                </c:pt>
                <c:pt idx="66">
                  <c:v>2.7694139835771669</c:v>
                </c:pt>
                <c:pt idx="67">
                  <c:v>2.8656187528721069</c:v>
                </c:pt>
                <c:pt idx="68">
                  <c:v>2.9615252293028238</c:v>
                </c:pt>
                <c:pt idx="69">
                  <c:v>3.0569322369197369</c:v>
                </c:pt>
                <c:pt idx="70">
                  <c:v>3.1516501479349763</c:v>
                </c:pt>
                <c:pt idx="71">
                  <c:v>3.2455814044587266</c:v>
                </c:pt>
                <c:pt idx="72">
                  <c:v>3.3386205701107565</c:v>
                </c:pt>
                <c:pt idx="73">
                  <c:v>3.4307662774693481</c:v>
                </c:pt>
                <c:pt idx="74">
                  <c:v>3.5220136425179724</c:v>
                </c:pt>
                <c:pt idx="75">
                  <c:v>3.6123472908225733</c:v>
                </c:pt>
                <c:pt idx="76">
                  <c:v>3.7017776894179626</c:v>
                </c:pt>
                <c:pt idx="77">
                  <c:v>3.7901453785939276</c:v>
                </c:pt>
                <c:pt idx="78">
                  <c:v>3.8772650359814862</c:v>
                </c:pt>
                <c:pt idx="79">
                  <c:v>3.9629554698442058</c:v>
                </c:pt>
                <c:pt idx="80">
                  <c:v>4.0470798292915271</c:v>
                </c:pt>
                <c:pt idx="81">
                  <c:v>4.1294545428966094</c:v>
                </c:pt>
                <c:pt idx="82">
                  <c:v>4.209897121194957</c:v>
                </c:pt>
                <c:pt idx="83">
                  <c:v>4.2881956363682692</c:v>
                </c:pt>
                <c:pt idx="84">
                  <c:v>4.3641992722855312</c:v>
                </c:pt>
                <c:pt idx="85">
                  <c:v>4.4378991186320835</c:v>
                </c:pt>
                <c:pt idx="86">
                  <c:v>4.5092681689849208</c:v>
                </c:pt>
                <c:pt idx="87">
                  <c:v>4.5782455680352045</c:v>
                </c:pt>
                <c:pt idx="88">
                  <c:v>4.6447224332781571</c:v>
                </c:pt>
                <c:pt idx="89">
                  <c:v>4.7085333220958328</c:v>
                </c:pt>
                <c:pt idx="90">
                  <c:v>4.7695978992812345</c:v>
                </c:pt>
                <c:pt idx="91">
                  <c:v>4.8278369698492778</c:v>
                </c:pt>
                <c:pt idx="92">
                  <c:v>4.8831069917236984</c:v>
                </c:pt>
                <c:pt idx="93">
                  <c:v>4.9353484061720803</c:v>
                </c:pt>
                <c:pt idx="94">
                  <c:v>4.9845101118071184</c:v>
                </c:pt>
                <c:pt idx="95">
                  <c:v>5.0304912777137307</c:v>
                </c:pt>
                <c:pt idx="96">
                  <c:v>5.0733048649314583</c:v>
                </c:pt>
                <c:pt idx="97">
                  <c:v>5.1129580932203771</c:v>
                </c:pt>
                <c:pt idx="98">
                  <c:v>5.1494947941026608</c:v>
                </c:pt>
                <c:pt idx="99">
                  <c:v>5.1830082299464397</c:v>
                </c:pt>
                <c:pt idx="100">
                  <c:v>5.2134842114573274</c:v>
                </c:pt>
                <c:pt idx="101">
                  <c:v>5.2409952414423273</c:v>
                </c:pt>
                <c:pt idx="102">
                  <c:v>5.2655028349038098</c:v>
                </c:pt>
                <c:pt idx="103">
                  <c:v>5.2869320679299339</c:v>
                </c:pt>
                <c:pt idx="104">
                  <c:v>5.3053115988855435</c:v>
                </c:pt>
                <c:pt idx="105">
                  <c:v>5.3206611516532947</c:v>
                </c:pt>
                <c:pt idx="106">
                  <c:v>5.3330170180380376</c:v>
                </c:pt>
                <c:pt idx="107">
                  <c:v>5.3422642719137468</c:v>
                </c:pt>
                <c:pt idx="108">
                  <c:v>5.34857375827821</c:v>
                </c:pt>
                <c:pt idx="109">
                  <c:v>5.35229115791984</c:v>
                </c:pt>
                <c:pt idx="110">
                  <c:v>5.353345984514239</c:v>
                </c:pt>
                <c:pt idx="111">
                  <c:v>5.3513480467836985</c:v>
                </c:pt>
                <c:pt idx="112">
                  <c:v>5.3460081701444375</c:v>
                </c:pt>
                <c:pt idx="113">
                  <c:v>5.3374689524125989</c:v>
                </c:pt>
                <c:pt idx="114">
                  <c:v>5.3259901038272046</c:v>
                </c:pt>
                <c:pt idx="115">
                  <c:v>5.3117488905864301</c:v>
                </c:pt>
                <c:pt idx="116">
                  <c:v>5.2950127417715187</c:v>
                </c:pt>
                <c:pt idx="117">
                  <c:v>5.2759753461705055</c:v>
                </c:pt>
                <c:pt idx="118">
                  <c:v>5.254504235094875</c:v>
                </c:pt>
                <c:pt idx="119">
                  <c:v>5.230480291019096</c:v>
                </c:pt>
                <c:pt idx="120">
                  <c:v>5.2038196574101869</c:v>
                </c:pt>
                <c:pt idx="121">
                  <c:v>5.1744056592109331</c:v>
                </c:pt>
                <c:pt idx="122">
                  <c:v>5.1424278046539431</c:v>
                </c:pt>
                <c:pt idx="123">
                  <c:v>5.1080577948180519</c:v>
                </c:pt>
                <c:pt idx="124">
                  <c:v>5.0711572636218509</c:v>
                </c:pt>
                <c:pt idx="125">
                  <c:v>5.0316400071332694</c:v>
                </c:pt>
                <c:pt idx="126">
                  <c:v>4.9894727638108876</c:v>
                </c:pt>
                <c:pt idx="127">
                  <c:v>4.9449953239379694</c:v>
                </c:pt>
                <c:pt idx="128">
                  <c:v>4.8984831383436438</c:v>
                </c:pt>
                <c:pt idx="129">
                  <c:v>4.8499120768053059</c:v>
                </c:pt>
                <c:pt idx="130">
                  <c:v>4.7993187367307062</c:v>
                </c:pt>
                <c:pt idx="131">
                  <c:v>4.7466343263297359</c:v>
                </c:pt>
                <c:pt idx="132">
                  <c:v>4.6918565820636067</c:v>
                </c:pt>
                <c:pt idx="133">
                  <c:v>4.6350402536138038</c:v>
                </c:pt>
                <c:pt idx="134">
                  <c:v>4.5760602442680742</c:v>
                </c:pt>
                <c:pt idx="135">
                  <c:v>4.5149828154038625</c:v>
                </c:pt>
                <c:pt idx="136">
                  <c:v>4.4519275820772197</c:v>
                </c:pt>
                <c:pt idx="137">
                  <c:v>4.3869772181659696</c:v>
                </c:pt>
                <c:pt idx="138">
                  <c:v>4.3201861468430289</c:v>
                </c:pt>
                <c:pt idx="139">
                  <c:v>4.2515097554523722</c:v>
                </c:pt>
                <c:pt idx="140">
                  <c:v>4.181034128684761</c:v>
                </c:pt>
                <c:pt idx="141">
                  <c:v>4.1090470606499814</c:v>
                </c:pt>
                <c:pt idx="142">
                  <c:v>4.0358465326009476</c:v>
                </c:pt>
                <c:pt idx="143">
                  <c:v>3.9615370108869294</c:v>
                </c:pt>
                <c:pt idx="144">
                  <c:v>3.8861600647445647</c:v>
                </c:pt>
                <c:pt idx="145">
                  <c:v>3.8097694226562422</c:v>
                </c:pt>
                <c:pt idx="146">
                  <c:v>3.7325746483286104</c:v>
                </c:pt>
                <c:pt idx="147">
                  <c:v>3.6548018186284921</c:v>
                </c:pt>
                <c:pt idx="148">
                  <c:v>3.5766684155581041</c:v>
                </c:pt>
                <c:pt idx="149">
                  <c:v>3.4984339172971706</c:v>
                </c:pt>
                <c:pt idx="150">
                  <c:v>3.4202399999574835</c:v>
                </c:pt>
                <c:pt idx="151">
                  <c:v>3.3421134077022789</c:v>
                </c:pt>
                <c:pt idx="152">
                  <c:v>3.2641582712818433</c:v>
                </c:pt>
                <c:pt idx="153">
                  <c:v>3.1865009284457049</c:v>
                </c:pt>
                <c:pt idx="154">
                  <c:v>3.1092494839424001</c:v>
                </c:pt>
                <c:pt idx="155">
                  <c:v>3.0324935276928593</c:v>
                </c:pt>
                <c:pt idx="156">
                  <c:v>2.9562316161533015</c:v>
                </c:pt>
                <c:pt idx="157">
                  <c:v>2.8804875626948903</c:v>
                </c:pt>
                <c:pt idx="158">
                  <c:v>2.8052738609005106</c:v>
                </c:pt>
                <c:pt idx="159">
                  <c:v>2.7306393737418295</c:v>
                </c:pt>
                <c:pt idx="160">
                  <c:v>2.6565332164405917</c:v>
                </c:pt>
                <c:pt idx="161">
                  <c:v>2.582922015967557</c:v>
                </c:pt>
                <c:pt idx="162">
                  <c:v>2.5098245621079407</c:v>
                </c:pt>
                <c:pt idx="163">
                  <c:v>2.4372231477635729</c:v>
                </c:pt>
                <c:pt idx="164">
                  <c:v>2.3651800757871215</c:v>
                </c:pt>
                <c:pt idx="165">
                  <c:v>2.2937649265363982</c:v>
                </c:pt>
                <c:pt idx="166">
                  <c:v>2.2229971023029433</c:v>
                </c:pt>
                <c:pt idx="167">
                  <c:v>2.1529351664779912</c:v>
                </c:pt>
                <c:pt idx="168">
                  <c:v>2.0835924646473494</c:v>
                </c:pt>
                <c:pt idx="169">
                  <c:v>2.0149981546763298</c:v>
                </c:pt>
                <c:pt idx="170">
                  <c:v>1.9471368968689549</c:v>
                </c:pt>
                <c:pt idx="171">
                  <c:v>1.8799705321042455</c:v>
                </c:pt>
                <c:pt idx="172">
                  <c:v>1.8134577154579357</c:v>
                </c:pt>
                <c:pt idx="173">
                  <c:v>1.7475908927601225</c:v>
                </c:pt>
                <c:pt idx="174">
                  <c:v>1.6823410617427734</c:v>
                </c:pt>
                <c:pt idx="175">
                  <c:v>1.6177071573114519</c:v>
                </c:pt>
                <c:pt idx="176">
                  <c:v>1.5538001904025927</c:v>
                </c:pt>
                <c:pt idx="177">
                  <c:v>1.4905379368458702</c:v>
                </c:pt>
                <c:pt idx="178">
                  <c:v>1.4279686296376115</c:v>
                </c:pt>
                <c:pt idx="179">
                  <c:v>1.3660912307731166</c:v>
                </c:pt>
                <c:pt idx="180">
                  <c:v>1.3048281193998419</c:v>
                </c:pt>
                <c:pt idx="181">
                  <c:v>1.2442037294672548</c:v>
                </c:pt>
                <c:pt idx="182">
                  <c:v>1.1842338171205262</c:v>
                </c:pt>
                <c:pt idx="183">
                  <c:v>1.1249702499928986</c:v>
                </c:pt>
                <c:pt idx="184">
                  <c:v>1.0664091128110866</c:v>
                </c:pt>
                <c:pt idx="185">
                  <c:v>1.0085384419585735</c:v>
                </c:pt>
                <c:pt idx="186">
                  <c:v>0.95139607395420234</c:v>
                </c:pt>
                <c:pt idx="187">
                  <c:v>0.89498467326699616</c:v>
                </c:pt>
                <c:pt idx="188">
                  <c:v>0.83923202611649539</c:v>
                </c:pt>
                <c:pt idx="189">
                  <c:v>0.78416561488851599</c:v>
                </c:pt>
                <c:pt idx="190">
                  <c:v>0.72980891025445938</c:v>
                </c:pt>
                <c:pt idx="191">
                  <c:v>0.6760566974519725</c:v>
                </c:pt>
                <c:pt idx="192">
                  <c:v>0.62293484742791239</c:v>
                </c:pt>
                <c:pt idx="193">
                  <c:v>0.57046465602224605</c:v>
                </c:pt>
                <c:pt idx="194">
                  <c:v>0.51869762215624704</c:v>
                </c:pt>
                <c:pt idx="195">
                  <c:v>0.46756477567799326</c:v>
                </c:pt>
                <c:pt idx="196">
                  <c:v>0.41705255622868781</c:v>
                </c:pt>
                <c:pt idx="197">
                  <c:v>0.36719673477252479</c:v>
                </c:pt>
                <c:pt idx="198">
                  <c:v>0.31805233883364536</c:v>
                </c:pt>
                <c:pt idx="199">
                  <c:v>0.26950847585321591</c:v>
                </c:pt>
                <c:pt idx="200">
                  <c:v>0.22154912056275447</c:v>
                </c:pt>
                <c:pt idx="201">
                  <c:v>0.17416404837924782</c:v>
                </c:pt>
                <c:pt idx="202">
                  <c:v>0.12737219118487175</c:v>
                </c:pt>
                <c:pt idx="203">
                  <c:v>8.1246997571655669E-2</c:v>
                </c:pt>
                <c:pt idx="204">
                  <c:v>3.5776078716429106E-2</c:v>
                </c:pt>
                <c:pt idx="205">
                  <c:v>-9.053697492586759E-3</c:v>
                </c:pt>
                <c:pt idx="206">
                  <c:v>-5.3281805201455999E-2</c:v>
                </c:pt>
                <c:pt idx="207">
                  <c:v>-9.6834611813623031E-2</c:v>
                </c:pt>
                <c:pt idx="208">
                  <c:v>-0.13967013392351463</c:v>
                </c:pt>
                <c:pt idx="209">
                  <c:v>-0.18183989424513211</c:v>
                </c:pt>
                <c:pt idx="210">
                  <c:v>-0.22336718620263776</c:v>
                </c:pt>
                <c:pt idx="211">
                  <c:v>-0.26436270938060991</c:v>
                </c:pt>
                <c:pt idx="212">
                  <c:v>-0.30476336521570269</c:v>
                </c:pt>
                <c:pt idx="213">
                  <c:v>-0.34449474448905343</c:v>
                </c:pt>
                <c:pt idx="214">
                  <c:v>-0.3834858632533707</c:v>
                </c:pt>
                <c:pt idx="215">
                  <c:v>-0.42178982399337794</c:v>
                </c:pt>
                <c:pt idx="216">
                  <c:v>-0.45948960530153415</c:v>
                </c:pt>
                <c:pt idx="217">
                  <c:v>-0.49663762470341039</c:v>
                </c:pt>
                <c:pt idx="218">
                  <c:v>-0.53316671873676535</c:v>
                </c:pt>
                <c:pt idx="219">
                  <c:v>-0.56908532492012154</c:v>
                </c:pt>
                <c:pt idx="220">
                  <c:v>-0.60437922873209249</c:v>
                </c:pt>
                <c:pt idx="221">
                  <c:v>-0.63901778197084702</c:v>
                </c:pt>
                <c:pt idx="222">
                  <c:v>-0.67299609586103948</c:v>
                </c:pt>
                <c:pt idx="223">
                  <c:v>-0.70631194384383877</c:v>
                </c:pt>
                <c:pt idx="224">
                  <c:v>-0.73896296982430854</c:v>
                </c:pt>
                <c:pt idx="225">
                  <c:v>-0.77091782616659688</c:v>
                </c:pt>
                <c:pt idx="226">
                  <c:v>-0.80218583030389012</c:v>
                </c:pt>
                <c:pt idx="227">
                  <c:v>-0.83273969075549392</c:v>
                </c:pt>
                <c:pt idx="228">
                  <c:v>-0.86268845279612094</c:v>
                </c:pt>
                <c:pt idx="229">
                  <c:v>-0.89204195334012037</c:v>
                </c:pt>
                <c:pt idx="230">
                  <c:v>-0.9208066797742841</c:v>
                </c:pt>
                <c:pt idx="231">
                  <c:v>-0.94892673528441351</c:v>
                </c:pt>
                <c:pt idx="232">
                  <c:v>-0.97634320623831272</c:v>
                </c:pt>
                <c:pt idx="233">
                  <c:v>-1.0030339698372808</c:v>
                </c:pt>
                <c:pt idx="234">
                  <c:v>-1.0290021476328286</c:v>
                </c:pt>
                <c:pt idx="235">
                  <c:v>-1.0542394678827223</c:v>
                </c:pt>
                <c:pt idx="236">
                  <c:v>-1.0787034307168497</c:v>
                </c:pt>
                <c:pt idx="237">
                  <c:v>-1.1023999979268446</c:v>
                </c:pt>
                <c:pt idx="238">
                  <c:v>-1.1254259512691198</c:v>
                </c:pt>
                <c:pt idx="239">
                  <c:v>-1.1477093246617507</c:v>
                </c:pt>
                <c:pt idx="240">
                  <c:v>-1.1692810948858052</c:v>
                </c:pt>
                <c:pt idx="241">
                  <c:v>-1.1900660339074411</c:v>
                </c:pt>
                <c:pt idx="242">
                  <c:v>-1.2101514369455393</c:v>
                </c:pt>
                <c:pt idx="243">
                  <c:v>-1.2295802157244828</c:v>
                </c:pt>
                <c:pt idx="244">
                  <c:v>-1.2483198859887712</c:v>
                </c:pt>
                <c:pt idx="245">
                  <c:v>-1.2663441053771489</c:v>
                </c:pt>
                <c:pt idx="246">
                  <c:v>-1.2836456121427446</c:v>
                </c:pt>
                <c:pt idx="247">
                  <c:v>-1.3002050180507558</c:v>
                </c:pt>
                <c:pt idx="248">
                  <c:v>-1.3160324852802125</c:v>
                </c:pt>
                <c:pt idx="249">
                  <c:v>-1.331155914236879</c:v>
                </c:pt>
                <c:pt idx="250">
                  <c:v>-1.3455032842773678</c:v>
                </c:pt>
                <c:pt idx="251">
                  <c:v>-1.3590031100061239</c:v>
                </c:pt>
                <c:pt idx="252">
                  <c:v>-1.3717327544753388</c:v>
                </c:pt>
                <c:pt idx="253">
                  <c:v>-1.3837587649072935</c:v>
                </c:pt>
                <c:pt idx="254">
                  <c:v>-1.3950808143230813</c:v>
                </c:pt>
                <c:pt idx="255">
                  <c:v>-1.405690483010654</c:v>
                </c:pt>
                <c:pt idx="256">
                  <c:v>-1.4155802890596989</c:v>
                </c:pt>
                <c:pt idx="257">
                  <c:v>-1.4248037185690441</c:v>
                </c:pt>
                <c:pt idx="258">
                  <c:v>-1.4332381586824987</c:v>
                </c:pt>
                <c:pt idx="259">
                  <c:v>-1.440877148508434</c:v>
                </c:pt>
                <c:pt idx="260">
                  <c:v>-1.4477646617597726</c:v>
                </c:pt>
                <c:pt idx="261">
                  <c:v>-1.4539374535103085</c:v>
                </c:pt>
                <c:pt idx="262">
                  <c:v>-1.4593976865819629</c:v>
                </c:pt>
                <c:pt idx="263">
                  <c:v>-1.4640855417276544</c:v>
                </c:pt>
                <c:pt idx="264">
                  <c:v>-1.4680471040079901</c:v>
                </c:pt>
                <c:pt idx="265">
                  <c:v>-1.4712665776919527</c:v>
                </c:pt>
                <c:pt idx="266">
                  <c:v>-1.4737829698086682</c:v>
                </c:pt>
                <c:pt idx="267">
                  <c:v>-1.4756435035744286</c:v>
                </c:pt>
                <c:pt idx="268">
                  <c:v>-1.4767563927618985</c:v>
                </c:pt>
                <c:pt idx="269">
                  <c:v>-1.4771610182551622</c:v>
                </c:pt>
                <c:pt idx="270">
                  <c:v>-1.4768272043809241</c:v>
                </c:pt>
                <c:pt idx="271">
                  <c:v>-1.4758052126072032</c:v>
                </c:pt>
                <c:pt idx="272">
                  <c:v>-1.4741397544138575</c:v>
                </c:pt>
                <c:pt idx="273">
                  <c:v>-1.4718111059820451</c:v>
                </c:pt>
                <c:pt idx="274">
                  <c:v>-1.4687489299982275</c:v>
                </c:pt>
                <c:pt idx="275">
                  <c:v>-1.4649614965856304</c:v>
                </c:pt>
                <c:pt idx="276">
                  <c:v>-1.4605205729196864</c:v>
                </c:pt>
                <c:pt idx="277">
                  <c:v>-1.4554398539624422</c:v>
                </c:pt>
                <c:pt idx="278">
                  <c:v>-1.4496880550003413</c:v>
                </c:pt>
                <c:pt idx="279">
                  <c:v>-1.4432949908976338</c:v>
                </c:pt>
                <c:pt idx="280">
                  <c:v>-1.436285173874589</c:v>
                </c:pt>
                <c:pt idx="281">
                  <c:v>-1.4286665713146776</c:v>
                </c:pt>
                <c:pt idx="282">
                  <c:v>-1.4204635348993258</c:v>
                </c:pt>
                <c:pt idx="283">
                  <c:v>-1.41169580416669</c:v>
                </c:pt>
                <c:pt idx="284">
                  <c:v>-1.4022987774975442</c:v>
                </c:pt>
                <c:pt idx="285">
                  <c:v>-1.3922594753844217</c:v>
                </c:pt>
                <c:pt idx="286">
                  <c:v>-1.381656375576074</c:v>
                </c:pt>
                <c:pt idx="287">
                  <c:v>-1.3704598011351721</c:v>
                </c:pt>
                <c:pt idx="288">
                  <c:v>-1.35871109623241</c:v>
                </c:pt>
                <c:pt idx="289">
                  <c:v>-1.3464170836137606</c:v>
                </c:pt>
                <c:pt idx="290">
                  <c:v>-1.3336177981234614</c:v>
                </c:pt>
                <c:pt idx="291">
                  <c:v>-1.3203256643957055</c:v>
                </c:pt>
                <c:pt idx="292">
                  <c:v>-1.3065488472663591</c:v>
                </c:pt>
                <c:pt idx="293">
                  <c:v>-1.2923534581195173</c:v>
                </c:pt>
                <c:pt idx="294">
                  <c:v>-1.2777241628478997</c:v>
                </c:pt>
                <c:pt idx="295">
                  <c:v>-1.2626233240196558</c:v>
                </c:pt>
                <c:pt idx="296">
                  <c:v>-1.2470595921102294</c:v>
                </c:pt>
                <c:pt idx="297">
                  <c:v>-1.2309969418123767</c:v>
                </c:pt>
                <c:pt idx="298">
                  <c:v>-1.2145074115891459</c:v>
                </c:pt>
                <c:pt idx="299">
                  <c:v>-1.1976428136631079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737-4C9B-80F3-A60303DDE51D}"/>
            </c:ext>
          </c:extLst>
        </c:ser>
        <c:ser>
          <c:idx val="5"/>
          <c:order val="5"/>
          <c:tx>
            <c:strRef>
              <c:f>VW!$Y$79</c:f>
              <c:strCache>
                <c:ptCount val="1"/>
                <c:pt idx="0">
                  <c:v>D6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VW!$Y$80:$Y$379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-7.2684231504368161E-9</c:v>
                </c:pt>
                <c:pt idx="22">
                  <c:v>2.7779059335984246E-5</c:v>
                </c:pt>
                <c:pt idx="23">
                  <c:v>2.6437935323419181E-4</c:v>
                </c:pt>
                <c:pt idx="24">
                  <c:v>1.102609376422652E-3</c:v>
                </c:pt>
                <c:pt idx="25">
                  <c:v>2.9993854732472285E-3</c:v>
                </c:pt>
                <c:pt idx="26">
                  <c:v>6.3736731864570692E-3</c:v>
                </c:pt>
                <c:pt idx="27">
                  <c:v>1.1549270563164711E-2</c:v>
                </c:pt>
                <c:pt idx="28">
                  <c:v>1.8712301446789228E-2</c:v>
                </c:pt>
                <c:pt idx="29">
                  <c:v>2.7978112777886567E-2</c:v>
                </c:pt>
                <c:pt idx="30">
                  <c:v>3.9501867549187178E-2</c:v>
                </c:pt>
                <c:pt idx="31">
                  <c:v>5.3434045729866639E-2</c:v>
                </c:pt>
                <c:pt idx="32">
                  <c:v>6.9820384445991035E-2</c:v>
                </c:pt>
                <c:pt idx="33">
                  <c:v>8.8642644221387318E-2</c:v>
                </c:pt>
                <c:pt idx="34">
                  <c:v>0.10987854890869965</c:v>
                </c:pt>
                <c:pt idx="35">
                  <c:v>0.13349720746246091</c:v>
                </c:pt>
                <c:pt idx="36">
                  <c:v>0.15946566790296718</c:v>
                </c:pt>
                <c:pt idx="37">
                  <c:v>0.18778730290587728</c:v>
                </c:pt>
                <c:pt idx="38">
                  <c:v>0.21846783262319303</c:v>
                </c:pt>
                <c:pt idx="39">
                  <c:v>0.25148620770496777</c:v>
                </c:pt>
                <c:pt idx="40">
                  <c:v>0.28683752110563654</c:v>
                </c:pt>
                <c:pt idx="41">
                  <c:v>0.32454252428814695</c:v>
                </c:pt>
                <c:pt idx="42">
                  <c:v>0.36460197590357812</c:v>
                </c:pt>
                <c:pt idx="43">
                  <c:v>0.40697059403065516</c:v>
                </c:pt>
                <c:pt idx="44">
                  <c:v>0.45157218439823121</c:v>
                </c:pt>
                <c:pt idx="45">
                  <c:v>0.49831658821075259</c:v>
                </c:pt>
                <c:pt idx="46">
                  <c:v>0.54709536628709521</c:v>
                </c:pt>
                <c:pt idx="47">
                  <c:v>0.59780440668833834</c:v>
                </c:pt>
                <c:pt idx="48">
                  <c:v>0.65033961407655649</c:v>
                </c:pt>
                <c:pt idx="49">
                  <c:v>0.70459843517873932</c:v>
                </c:pt>
                <c:pt idx="50">
                  <c:v>0.76049954078951698</c:v>
                </c:pt>
                <c:pt idx="51">
                  <c:v>0.81799062827204483</c:v>
                </c:pt>
                <c:pt idx="52">
                  <c:v>0.87703685024901035</c:v>
                </c:pt>
                <c:pt idx="53">
                  <c:v>0.93757935913372981</c:v>
                </c:pt>
                <c:pt idx="54">
                  <c:v>0.99954892864693357</c:v>
                </c:pt>
                <c:pt idx="55">
                  <c:v>1.0628796458525336</c:v>
                </c:pt>
                <c:pt idx="56">
                  <c:v>1.1274875394924853</c:v>
                </c:pt>
                <c:pt idx="57">
                  <c:v>1.193266172953414</c:v>
                </c:pt>
                <c:pt idx="58">
                  <c:v>1.2600949347692065</c:v>
                </c:pt>
                <c:pt idx="59">
                  <c:v>1.3278591071579786</c:v>
                </c:pt>
                <c:pt idx="60">
                  <c:v>1.396464730349243</c:v>
                </c:pt>
                <c:pt idx="61">
                  <c:v>1.4658574663997399</c:v>
                </c:pt>
                <c:pt idx="62">
                  <c:v>1.5360155717129096</c:v>
                </c:pt>
                <c:pt idx="63">
                  <c:v>1.6069170943140592</c:v>
                </c:pt>
                <c:pt idx="64">
                  <c:v>1.6785119454739341</c:v>
                </c:pt>
                <c:pt idx="65">
                  <c:v>1.7507276076778182</c:v>
                </c:pt>
                <c:pt idx="66">
                  <c:v>1.823485372814478</c:v>
                </c:pt>
                <c:pt idx="67">
                  <c:v>1.8966918057317361</c:v>
                </c:pt>
                <c:pt idx="68">
                  <c:v>1.9702251984411152</c:v>
                </c:pt>
                <c:pt idx="69">
                  <c:v>2.0439536899130046</c:v>
                </c:pt>
                <c:pt idx="70">
                  <c:v>2.1177489869961104</c:v>
                </c:pt>
                <c:pt idx="71">
                  <c:v>2.1914956716707876</c:v>
                </c:pt>
                <c:pt idx="72">
                  <c:v>2.2650975564292359</c:v>
                </c:pt>
                <c:pt idx="73">
                  <c:v>2.3384769911651673</c:v>
                </c:pt>
                <c:pt idx="74">
                  <c:v>2.4115842311421796</c:v>
                </c:pt>
                <c:pt idx="75">
                  <c:v>2.4843746711313588</c:v>
                </c:pt>
                <c:pt idx="76">
                  <c:v>2.5568105737380171</c:v>
                </c:pt>
                <c:pt idx="77">
                  <c:v>2.6288375703494942</c:v>
                </c:pt>
                <c:pt idx="78">
                  <c:v>2.7003590005489797</c:v>
                </c:pt>
                <c:pt idx="79">
                  <c:v>2.7712658255821068</c:v>
                </c:pt>
                <c:pt idx="80">
                  <c:v>2.8414496321895348</c:v>
                </c:pt>
                <c:pt idx="81">
                  <c:v>2.9107995446652861</c:v>
                </c:pt>
                <c:pt idx="82">
                  <c:v>2.9791925560083405</c:v>
                </c:pt>
                <c:pt idx="83">
                  <c:v>3.0464987639049435</c:v>
                </c:pt>
                <c:pt idx="84">
                  <c:v>3.1125880292045527</c:v>
                </c:pt>
                <c:pt idx="85">
                  <c:v>3.1773629677298425</c:v>
                </c:pt>
                <c:pt idx="86">
                  <c:v>3.2407582587299144</c:v>
                </c:pt>
                <c:pt idx="87">
                  <c:v>3.3027072707842402</c:v>
                </c:pt>
                <c:pt idx="88">
                  <c:v>3.3631342429301112</c:v>
                </c:pt>
                <c:pt idx="89">
                  <c:v>3.4219454650701207</c:v>
                </c:pt>
                <c:pt idx="90">
                  <c:v>3.4790443544525713</c:v>
                </c:pt>
                <c:pt idx="91">
                  <c:v>3.5343501803079742</c:v>
                </c:pt>
                <c:pt idx="92">
                  <c:v>3.587773482896464</c:v>
                </c:pt>
                <c:pt idx="93">
                  <c:v>3.6392242295447503</c:v>
                </c:pt>
                <c:pt idx="94">
                  <c:v>3.6886329521583043</c:v>
                </c:pt>
                <c:pt idx="95">
                  <c:v>3.7359268057680413</c:v>
                </c:pt>
                <c:pt idx="96">
                  <c:v>3.78104099917724</c:v>
                </c:pt>
                <c:pt idx="97">
                  <c:v>3.8239379040835439</c:v>
                </c:pt>
                <c:pt idx="98">
                  <c:v>3.8645899990440986</c:v>
                </c:pt>
                <c:pt idx="99">
                  <c:v>3.9029910908312933</c:v>
                </c:pt>
                <c:pt idx="100">
                  <c:v>3.9391366877414469</c:v>
                </c:pt>
                <c:pt idx="101">
                  <c:v>3.97301677251482</c:v>
                </c:pt>
                <c:pt idx="102">
                  <c:v>4.0046251932804164</c:v>
                </c:pt>
                <c:pt idx="103">
                  <c:v>4.0339271691910517</c:v>
                </c:pt>
                <c:pt idx="104">
                  <c:v>4.0608926360715039</c:v>
                </c:pt>
                <c:pt idx="105">
                  <c:v>4.0855122389162455</c:v>
                </c:pt>
                <c:pt idx="106">
                  <c:v>4.1077795786398816</c:v>
                </c:pt>
                <c:pt idx="107">
                  <c:v>4.1276715293970172</c:v>
                </c:pt>
                <c:pt idx="108">
                  <c:v>4.1451767087661642</c:v>
                </c:pt>
                <c:pt idx="109">
                  <c:v>4.1603753461816471</c:v>
                </c:pt>
                <c:pt idx="110">
                  <c:v>4.173335742683558</c:v>
                </c:pt>
                <c:pt idx="111">
                  <c:v>4.1839935333031626</c:v>
                </c:pt>
                <c:pt idx="112">
                  <c:v>4.1922167578860225</c:v>
                </c:pt>
                <c:pt idx="113">
                  <c:v>4.1979397001104539</c:v>
                </c:pt>
                <c:pt idx="114">
                  <c:v>4.2012014331642877</c:v>
                </c:pt>
                <c:pt idx="115">
                  <c:v>4.2020700893051144</c:v>
                </c:pt>
                <c:pt idx="116">
                  <c:v>4.2006319555249005</c:v>
                </c:pt>
                <c:pt idx="117">
                  <c:v>4.1969983829354964</c:v>
                </c:pt>
                <c:pt idx="118">
                  <c:v>4.1912219469031964</c:v>
                </c:pt>
                <c:pt idx="119">
                  <c:v>4.1832798544417198</c:v>
                </c:pt>
                <c:pt idx="120">
                  <c:v>4.1731438016103723</c:v>
                </c:pt>
                <c:pt idx="121">
                  <c:v>4.1607771505367914</c:v>
                </c:pt>
                <c:pt idx="122">
                  <c:v>4.1461760915689565</c:v>
                </c:pt>
                <c:pt idx="123">
                  <c:v>4.1294051870336954</c:v>
                </c:pt>
                <c:pt idx="124">
                  <c:v>4.1104901508861493</c:v>
                </c:pt>
                <c:pt idx="125">
                  <c:v>4.0893993952675398</c:v>
                </c:pt>
                <c:pt idx="126">
                  <c:v>4.0661135974064058</c:v>
                </c:pt>
                <c:pt idx="127">
                  <c:v>4.0406765654543504</c:v>
                </c:pt>
                <c:pt idx="128">
                  <c:v>4.0132099577649925</c:v>
                </c:pt>
                <c:pt idx="129">
                  <c:v>3.9837946799700283</c:v>
                </c:pt>
                <c:pt idx="130">
                  <c:v>3.952463701669902</c:v>
                </c:pt>
                <c:pt idx="131">
                  <c:v>3.9192429363691152</c:v>
                </c:pt>
                <c:pt idx="132">
                  <c:v>3.8841363013913055</c:v>
                </c:pt>
                <c:pt idx="133">
                  <c:v>3.8471624037152972</c:v>
                </c:pt>
                <c:pt idx="134">
                  <c:v>3.8083247200671857</c:v>
                </c:pt>
                <c:pt idx="135">
                  <c:v>3.7676156529298108</c:v>
                </c:pt>
                <c:pt idx="136">
                  <c:v>3.7250756203761388</c:v>
                </c:pt>
                <c:pt idx="137">
                  <c:v>3.6807554600653214</c:v>
                </c:pt>
                <c:pt idx="138">
                  <c:v>3.6346980613241668</c:v>
                </c:pt>
                <c:pt idx="139">
                  <c:v>3.5869284756921336</c:v>
                </c:pt>
                <c:pt idx="140">
                  <c:v>3.5374686503195143</c:v>
                </c:pt>
                <c:pt idx="141">
                  <c:v>3.4863979140314996</c:v>
                </c:pt>
                <c:pt idx="142">
                  <c:v>3.4338490198336817</c:v>
                </c:pt>
                <c:pt idx="143">
                  <c:v>3.3799413393210127</c:v>
                </c:pt>
                <c:pt idx="144">
                  <c:v>3.324751116337632</c:v>
                </c:pt>
                <c:pt idx="145">
                  <c:v>3.2683406411454503</c:v>
                </c:pt>
                <c:pt idx="146">
                  <c:v>3.2107923921782286</c:v>
                </c:pt>
                <c:pt idx="147">
                  <c:v>3.152224176843629</c:v>
                </c:pt>
                <c:pt idx="148">
                  <c:v>3.0927636112149726</c:v>
                </c:pt>
                <c:pt idx="149">
                  <c:v>3.0325515668812777</c:v>
                </c:pt>
                <c:pt idx="150">
                  <c:v>2.9717271592998031</c:v>
                </c:pt>
                <c:pt idx="151">
                  <c:v>2.9103880178421533</c:v>
                </c:pt>
                <c:pt idx="152">
                  <c:v>2.8486133561228919</c:v>
                </c:pt>
                <c:pt idx="153">
                  <c:v>2.786496707943606</c:v>
                </c:pt>
                <c:pt idx="154">
                  <c:v>2.724131437144508</c:v>
                </c:pt>
                <c:pt idx="155">
                  <c:v>2.6616040993502859</c:v>
                </c:pt>
                <c:pt idx="156">
                  <c:v>2.5989834229045417</c:v>
                </c:pt>
                <c:pt idx="157">
                  <c:v>2.536318617566983</c:v>
                </c:pt>
                <c:pt idx="158">
                  <c:v>2.4736564498720073</c:v>
                </c:pt>
                <c:pt idx="159">
                  <c:v>2.4110423034978439</c:v>
                </c:pt>
                <c:pt idx="160">
                  <c:v>2.3485113420195565</c:v>
                </c:pt>
                <c:pt idx="161">
                  <c:v>2.2860771116099894</c:v>
                </c:pt>
                <c:pt idx="162">
                  <c:v>2.2237600012884342</c:v>
                </c:pt>
                <c:pt idx="163">
                  <c:v>2.1615831074194038</c:v>
                </c:pt>
                <c:pt idx="164">
                  <c:v>2.0995720730920429</c:v>
                </c:pt>
                <c:pt idx="165">
                  <c:v>2.0377716350259982</c:v>
                </c:pt>
                <c:pt idx="166">
                  <c:v>1.9762234052652299</c:v>
                </c:pt>
                <c:pt idx="167">
                  <c:v>1.9149651120814482</c:v>
                </c:pt>
                <c:pt idx="168">
                  <c:v>1.854036087034185</c:v>
                </c:pt>
                <c:pt idx="169">
                  <c:v>1.7934675726806828</c:v>
                </c:pt>
                <c:pt idx="170">
                  <c:v>1.7332855175373283</c:v>
                </c:pt>
                <c:pt idx="171">
                  <c:v>1.6735008424037991</c:v>
                </c:pt>
                <c:pt idx="172">
                  <c:v>1.6141152387057764</c:v>
                </c:pt>
                <c:pt idx="173">
                  <c:v>1.5551310641511271</c:v>
                </c:pt>
                <c:pt idx="174">
                  <c:v>1.4965520466050564</c:v>
                </c:pt>
                <c:pt idx="175">
                  <c:v>1.4383802968277433</c:v>
                </c:pt>
                <c:pt idx="176">
                  <c:v>1.3806409878591241</c:v>
                </c:pt>
                <c:pt idx="177">
                  <c:v>1.3233568161420211</c:v>
                </c:pt>
                <c:pt idx="178">
                  <c:v>1.2665295487904675</c:v>
                </c:pt>
                <c:pt idx="179">
                  <c:v>1.2101798908931622</c:v>
                </c:pt>
                <c:pt idx="180">
                  <c:v>1.1543062668588033</c:v>
                </c:pt>
                <c:pt idx="181">
                  <c:v>1.0989023170385845</c:v>
                </c:pt>
                <c:pt idx="182">
                  <c:v>1.0439810180673881</c:v>
                </c:pt>
                <c:pt idx="183">
                  <c:v>0.98955994736186548</c:v>
                </c:pt>
                <c:pt idx="184">
                  <c:v>0.93565756602016859</c:v>
                </c:pt>
                <c:pt idx="185">
                  <c:v>0.88228077249559933</c:v>
                </c:pt>
                <c:pt idx="186">
                  <c:v>0.82944121049516861</c:v>
                </c:pt>
                <c:pt idx="187">
                  <c:v>0.77715530967108948</c:v>
                </c:pt>
                <c:pt idx="188">
                  <c:v>0.725420072348953</c:v>
                </c:pt>
                <c:pt idx="189">
                  <c:v>0.6742293338487223</c:v>
                </c:pt>
                <c:pt idx="190">
                  <c:v>0.62359634808621911</c:v>
                </c:pt>
                <c:pt idx="191">
                  <c:v>0.57351423943098023</c:v>
                </c:pt>
                <c:pt idx="192">
                  <c:v>0.52396618689513907</c:v>
                </c:pt>
                <c:pt idx="193">
                  <c:v>0.47496146816704143</c:v>
                </c:pt>
                <c:pt idx="194">
                  <c:v>0.42651449316120665</c:v>
                </c:pt>
                <c:pt idx="195">
                  <c:v>0.37862935704435235</c:v>
                </c:pt>
                <c:pt idx="196">
                  <c:v>0.33129329282298337</c:v>
                </c:pt>
                <c:pt idx="197">
                  <c:v>0.28451050328312605</c:v>
                </c:pt>
                <c:pt idx="198">
                  <c:v>0.23829889443303004</c:v>
                </c:pt>
                <c:pt idx="199">
                  <c:v>0.1926566596790219</c:v>
                </c:pt>
                <c:pt idx="200">
                  <c:v>0.14756002607564633</c:v>
                </c:pt>
                <c:pt idx="201">
                  <c:v>0.10300310996465786</c:v>
                </c:pt>
                <c:pt idx="202">
                  <c:v>5.8984608483676919E-2</c:v>
                </c:pt>
                <c:pt idx="203">
                  <c:v>1.5518116879664326E-2</c:v>
                </c:pt>
                <c:pt idx="204">
                  <c:v>-2.7379933092461409E-2</c:v>
                </c:pt>
                <c:pt idx="205">
                  <c:v>-6.9709322671390184E-2</c:v>
                </c:pt>
                <c:pt idx="206">
                  <c:v>-0.11147530952802187</c:v>
                </c:pt>
                <c:pt idx="207">
                  <c:v>-0.15267363586710689</c:v>
                </c:pt>
                <c:pt idx="208">
                  <c:v>-0.19328056124911888</c:v>
                </c:pt>
                <c:pt idx="209">
                  <c:v>-0.23329033720708853</c:v>
                </c:pt>
                <c:pt idx="210">
                  <c:v>-0.27271311332571674</c:v>
                </c:pt>
                <c:pt idx="211">
                  <c:v>-0.3115689648340001</c:v>
                </c:pt>
                <c:pt idx="212">
                  <c:v>-0.34987480029909573</c:v>
                </c:pt>
                <c:pt idx="213">
                  <c:v>-0.3876098985019934</c:v>
                </c:pt>
                <c:pt idx="214">
                  <c:v>-0.42474619444676076</c:v>
                </c:pt>
                <c:pt idx="215">
                  <c:v>-0.46127034515227811</c:v>
                </c:pt>
                <c:pt idx="216">
                  <c:v>-0.49719923393087295</c:v>
                </c:pt>
                <c:pt idx="217">
                  <c:v>-0.53255701356776008</c:v>
                </c:pt>
                <c:pt idx="218">
                  <c:v>-0.56734822503590099</c:v>
                </c:pt>
                <c:pt idx="219">
                  <c:v>-0.60156337862121589</c:v>
                </c:pt>
                <c:pt idx="220">
                  <c:v>-0.63520235251388146</c:v>
                </c:pt>
                <c:pt idx="221">
                  <c:v>-0.66825552721580583</c:v>
                </c:pt>
                <c:pt idx="222">
                  <c:v>-0.70071182769848028</c:v>
                </c:pt>
                <c:pt idx="223">
                  <c:v>-0.73256633768231094</c:v>
                </c:pt>
                <c:pt idx="224">
                  <c:v>-0.76381503347210511</c:v>
                </c:pt>
                <c:pt idx="225">
                  <c:v>-0.7944494515957784</c:v>
                </c:pt>
                <c:pt idx="226">
                  <c:v>-0.82446069475081496</c:v>
                </c:pt>
                <c:pt idx="227">
                  <c:v>-0.85384259644076754</c:v>
                </c:pt>
                <c:pt idx="228">
                  <c:v>-0.88260226625694416</c:v>
                </c:pt>
                <c:pt idx="229">
                  <c:v>-0.91076364109630703</c:v>
                </c:pt>
                <c:pt idx="230">
                  <c:v>-0.93833266883737976</c:v>
                </c:pt>
                <c:pt idx="231">
                  <c:v>-0.96530493915744642</c:v>
                </c:pt>
                <c:pt idx="232">
                  <c:v>-0.99166002017879795</c:v>
                </c:pt>
                <c:pt idx="233">
                  <c:v>-1.0173775372930531</c:v>
                </c:pt>
                <c:pt idx="234">
                  <c:v>-1.0424464602185368</c:v>
                </c:pt>
                <c:pt idx="235">
                  <c:v>-1.0668597388457248</c:v>
                </c:pt>
                <c:pt idx="236">
                  <c:v>-1.090603976879835</c:v>
                </c:pt>
                <c:pt idx="237">
                  <c:v>-1.1136658457734081</c:v>
                </c:pt>
                <c:pt idx="238">
                  <c:v>-1.1360564006312379</c:v>
                </c:pt>
                <c:pt idx="239">
                  <c:v>-1.1577832819394147</c:v>
                </c:pt>
                <c:pt idx="240">
                  <c:v>-1.1788349712004982</c:v>
                </c:pt>
                <c:pt idx="241">
                  <c:v>-1.199204980890479</c:v>
                </c:pt>
                <c:pt idx="242">
                  <c:v>-1.2188878972414596</c:v>
                </c:pt>
                <c:pt idx="243">
                  <c:v>-1.2379059958954495</c:v>
                </c:pt>
                <c:pt idx="244">
                  <c:v>-1.25626483231841</c:v>
                </c:pt>
                <c:pt idx="245">
                  <c:v>-1.2739550751985378</c:v>
                </c:pt>
                <c:pt idx="246">
                  <c:v>-1.2909703162335837</c:v>
                </c:pt>
                <c:pt idx="247">
                  <c:v>-1.3073041628889828</c:v>
                </c:pt>
                <c:pt idx="248">
                  <c:v>-1.3229508317832528</c:v>
                </c:pt>
                <c:pt idx="249">
                  <c:v>-1.3379142515575002</c:v>
                </c:pt>
                <c:pt idx="250">
                  <c:v>-1.3521886491445423</c:v>
                </c:pt>
                <c:pt idx="251">
                  <c:v>-1.3657457068466958</c:v>
                </c:pt>
                <c:pt idx="252">
                  <c:v>-1.3785766179059804</c:v>
                </c:pt>
                <c:pt idx="253">
                  <c:v>-1.3907036122526726</c:v>
                </c:pt>
                <c:pt idx="254">
                  <c:v>-1.4021408473362553</c:v>
                </c:pt>
                <c:pt idx="255">
                  <c:v>-1.4128900482002593</c:v>
                </c:pt>
                <c:pt idx="256">
                  <c:v>-1.4229517921304149</c:v>
                </c:pt>
                <c:pt idx="257">
                  <c:v>-1.4323345848296438</c:v>
                </c:pt>
                <c:pt idx="258">
                  <c:v>-1.4410324787834583</c:v>
                </c:pt>
                <c:pt idx="259">
                  <c:v>-1.4490175122868443</c:v>
                </c:pt>
                <c:pt idx="260">
                  <c:v>-1.4562914910660854</c:v>
                </c:pt>
                <c:pt idx="261">
                  <c:v>-1.4628676636450804</c:v>
                </c:pt>
                <c:pt idx="262">
                  <c:v>-1.4687547907161089</c:v>
                </c:pt>
                <c:pt idx="263">
                  <c:v>-1.4739471103013708</c:v>
                </c:pt>
                <c:pt idx="264">
                  <c:v>-1.4784406165415218</c:v>
                </c:pt>
                <c:pt idx="265">
                  <c:v>-1.482243288654296</c:v>
                </c:pt>
                <c:pt idx="266">
                  <c:v>-1.4853586675772876</c:v>
                </c:pt>
                <c:pt idx="267">
                  <c:v>-1.4878045227151788</c:v>
                </c:pt>
                <c:pt idx="268">
                  <c:v>-1.4895819751663737</c:v>
                </c:pt>
                <c:pt idx="269">
                  <c:v>-1.490680739744729</c:v>
                </c:pt>
                <c:pt idx="270">
                  <c:v>-1.4911060295838721</c:v>
                </c:pt>
                <c:pt idx="271">
                  <c:v>-1.4908604016530207</c:v>
                </c:pt>
                <c:pt idx="272">
                  <c:v>-1.4899633894034066</c:v>
                </c:pt>
                <c:pt idx="273">
                  <c:v>-1.4884271506983351</c:v>
                </c:pt>
                <c:pt idx="274">
                  <c:v>-1.4862424325861703</c:v>
                </c:pt>
                <c:pt idx="275">
                  <c:v>-1.483398277255972</c:v>
                </c:pt>
                <c:pt idx="276">
                  <c:v>-1.4799079975769096</c:v>
                </c:pt>
                <c:pt idx="277">
                  <c:v>-1.4757915164531294</c:v>
                </c:pt>
                <c:pt idx="278">
                  <c:v>-1.4710522110359112</c:v>
                </c:pt>
                <c:pt idx="279">
                  <c:v>-1.4656936681017763</c:v>
                </c:pt>
                <c:pt idx="280">
                  <c:v>-1.4597312764433761</c:v>
                </c:pt>
                <c:pt idx="281">
                  <c:v>-1.4531768431639858</c:v>
                </c:pt>
                <c:pt idx="282">
                  <c:v>-1.4460414980834952</c:v>
                </c:pt>
                <c:pt idx="283">
                  <c:v>-1.4383402659432294</c:v>
                </c:pt>
                <c:pt idx="284">
                  <c:v>-1.4300746121526418</c:v>
                </c:pt>
                <c:pt idx="285">
                  <c:v>-1.4212335054148892</c:v>
                </c:pt>
                <c:pt idx="286">
                  <c:v>-1.4118285306288558</c:v>
                </c:pt>
                <c:pt idx="287">
                  <c:v>-1.4018756949897582</c:v>
                </c:pt>
                <c:pt idx="288">
                  <c:v>-1.3913800649991586</c:v>
                </c:pt>
                <c:pt idx="289">
                  <c:v>-1.3803576017188142</c:v>
                </c:pt>
                <c:pt idx="290">
                  <c:v>-1.36882320139987</c:v>
                </c:pt>
                <c:pt idx="291">
                  <c:v>-1.3567945302575546</c:v>
                </c:pt>
                <c:pt idx="292">
                  <c:v>-1.3442835698089604</c:v>
                </c:pt>
                <c:pt idx="293">
                  <c:v>-1.3313101300828623</c:v>
                </c:pt>
                <c:pt idx="294">
                  <c:v>-1.3178951196558946</c:v>
                </c:pt>
                <c:pt idx="295">
                  <c:v>-1.304038586638929</c:v>
                </c:pt>
                <c:pt idx="296">
                  <c:v>-1.2897403943673624</c:v>
                </c:pt>
                <c:pt idx="297">
                  <c:v>-1.2750016693152078</c:v>
                </c:pt>
                <c:pt idx="298">
                  <c:v>-1.2598289346116502</c:v>
                </c:pt>
                <c:pt idx="299">
                  <c:v>-1.2442499906881146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37-4C9B-80F3-A60303DDE51D}"/>
            </c:ext>
          </c:extLst>
        </c:ser>
        <c:ser>
          <c:idx val="6"/>
          <c:order val="6"/>
          <c:tx>
            <c:strRef>
              <c:f>VW!$Z$79</c:f>
              <c:strCache>
                <c:ptCount val="1"/>
                <c:pt idx="0">
                  <c:v>D7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VW!$Z$80:$Z$379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3.4935400867082725E-9</c:v>
                </c:pt>
                <c:pt idx="22">
                  <c:v>-8.831263469237652E-6</c:v>
                </c:pt>
                <c:pt idx="23">
                  <c:v>-5.0332772739994075E-5</c:v>
                </c:pt>
                <c:pt idx="24">
                  <c:v>-6.8122600526836601E-5</c:v>
                </c:pt>
                <c:pt idx="25">
                  <c:v>7.9415979010146956E-5</c:v>
                </c:pt>
                <c:pt idx="26">
                  <c:v>5.7815485838943234E-4</c:v>
                </c:pt>
                <c:pt idx="27">
                  <c:v>1.6306346059229105E-3</c:v>
                </c:pt>
                <c:pt idx="28">
                  <c:v>3.4197553513968435E-3</c:v>
                </c:pt>
                <c:pt idx="29">
                  <c:v>6.0748476364061235E-3</c:v>
                </c:pt>
                <c:pt idx="30">
                  <c:v>9.7022593509685576E-3</c:v>
                </c:pt>
                <c:pt idx="31">
                  <c:v>1.4437076973675472E-2</c:v>
                </c:pt>
                <c:pt idx="32">
                  <c:v>2.039979976812584E-2</c:v>
                </c:pt>
                <c:pt idx="33">
                  <c:v>2.7666988964057088E-2</c:v>
                </c:pt>
                <c:pt idx="34">
                  <c:v>3.6287543463159599E-2</c:v>
                </c:pt>
                <c:pt idx="35">
                  <c:v>4.6306276403486765E-2</c:v>
                </c:pt>
                <c:pt idx="36">
                  <c:v>5.7748722417390694E-2</c:v>
                </c:pt>
                <c:pt idx="37">
                  <c:v>7.0637735088099049E-2</c:v>
                </c:pt>
                <c:pt idx="38">
                  <c:v>8.5009215028774704E-2</c:v>
                </c:pt>
                <c:pt idx="39">
                  <c:v>0.10089016221190909</c:v>
                </c:pt>
                <c:pt idx="40">
                  <c:v>0.11829433390120515</c:v>
                </c:pt>
                <c:pt idx="41">
                  <c:v>0.13724602044619874</c:v>
                </c:pt>
                <c:pt idx="42">
                  <c:v>0.15777819207556371</c:v>
                </c:pt>
                <c:pt idx="43">
                  <c:v>0.17991855687559194</c:v>
                </c:pt>
                <c:pt idx="44">
                  <c:v>0.2036711683383351</c:v>
                </c:pt>
                <c:pt idx="45">
                  <c:v>0.22903271310989018</c:v>
                </c:pt>
                <c:pt idx="46">
                  <c:v>0.25598383273853315</c:v>
                </c:pt>
                <c:pt idx="47">
                  <c:v>0.28449588825692357</c:v>
                </c:pt>
                <c:pt idx="48">
                  <c:v>0.31453810360057222</c:v>
                </c:pt>
                <c:pt idx="49">
                  <c:v>0.3460689480672246</c:v>
                </c:pt>
                <c:pt idx="50">
                  <c:v>0.37904671022840736</c:v>
                </c:pt>
                <c:pt idx="51">
                  <c:v>0.41342875427920139</c:v>
                </c:pt>
                <c:pt idx="52">
                  <c:v>0.44919047631799314</c:v>
                </c:pt>
                <c:pt idx="53">
                  <c:v>0.48631054982043492</c:v>
                </c:pt>
                <c:pt idx="54">
                  <c:v>0.5247554066797635</c:v>
                </c:pt>
                <c:pt idx="55">
                  <c:v>0.56449404346748111</c:v>
                </c:pt>
                <c:pt idx="56">
                  <c:v>0.60549274893741811</c:v>
                </c:pt>
                <c:pt idx="57">
                  <c:v>0.64771313519598861</c:v>
                </c:pt>
                <c:pt idx="58">
                  <c:v>0.69110215774772477</c:v>
                </c:pt>
                <c:pt idx="59">
                  <c:v>0.73559966572576718</c:v>
                </c:pt>
                <c:pt idx="60">
                  <c:v>0.78113977404629453</c:v>
                </c:pt>
                <c:pt idx="61">
                  <c:v>0.82766154144416915</c:v>
                </c:pt>
                <c:pt idx="62">
                  <c:v>0.87511841852690286</c:v>
                </c:pt>
                <c:pt idx="63">
                  <c:v>0.92347993676939633</c:v>
                </c:pt>
                <c:pt idx="64">
                  <c:v>0.97271746563717165</c:v>
                </c:pt>
                <c:pt idx="65">
                  <c:v>1.0227930626407138</c:v>
                </c:pt>
                <c:pt idx="66">
                  <c:v>1.0736619288425171</c:v>
                </c:pt>
                <c:pt idx="67">
                  <c:v>1.1252802021547206</c:v>
                </c:pt>
                <c:pt idx="68">
                  <c:v>1.1775946419993533</c:v>
                </c:pt>
                <c:pt idx="69">
                  <c:v>1.2305376234165404</c:v>
                </c:pt>
                <c:pt idx="70">
                  <c:v>1.2840361522301829</c:v>
                </c:pt>
                <c:pt idx="71">
                  <c:v>1.3380097543088334</c:v>
                </c:pt>
                <c:pt idx="72">
                  <c:v>1.3923855003548267</c:v>
                </c:pt>
                <c:pt idx="73">
                  <c:v>1.4470868985512604</c:v>
                </c:pt>
                <c:pt idx="74">
                  <c:v>1.5020505320043203</c:v>
                </c:pt>
                <c:pt idx="75">
                  <c:v>1.5572203364188086</c:v>
                </c:pt>
                <c:pt idx="76">
                  <c:v>1.6125433239771407</c:v>
                </c:pt>
                <c:pt idx="77">
                  <c:v>1.667980886492479</c:v>
                </c:pt>
                <c:pt idx="78">
                  <c:v>1.7234810960790454</c:v>
                </c:pt>
                <c:pt idx="79">
                  <c:v>1.7789815515700054</c:v>
                </c:pt>
                <c:pt idx="80">
                  <c:v>1.8344106986680739</c:v>
                </c:pt>
                <c:pt idx="81">
                  <c:v>1.8896995857473888</c:v>
                </c:pt>
                <c:pt idx="82">
                  <c:v>1.9447722981140136</c:v>
                </c:pt>
                <c:pt idx="83">
                  <c:v>1.9995497537310316</c:v>
                </c:pt>
                <c:pt idx="84">
                  <c:v>2.0539428388795433</c:v>
                </c:pt>
                <c:pt idx="85">
                  <c:v>2.1078578296702042</c:v>
                </c:pt>
                <c:pt idx="86">
                  <c:v>2.1612177484878949</c:v>
                </c:pt>
                <c:pt idx="87">
                  <c:v>2.2139539672879733</c:v>
                </c:pt>
                <c:pt idx="88">
                  <c:v>2.266001377619757</c:v>
                </c:pt>
                <c:pt idx="89">
                  <c:v>2.3172937416997526</c:v>
                </c:pt>
                <c:pt idx="90">
                  <c:v>2.3677532223188513</c:v>
                </c:pt>
                <c:pt idx="91">
                  <c:v>2.4173071091086018</c:v>
                </c:pt>
                <c:pt idx="92">
                  <c:v>2.4658878614499971</c:v>
                </c:pt>
                <c:pt idx="93">
                  <c:v>2.5134178818795094</c:v>
                </c:pt>
                <c:pt idx="94">
                  <c:v>2.5598250409054395</c:v>
                </c:pt>
                <c:pt idx="95">
                  <c:v>2.6050439849068954</c:v>
                </c:pt>
                <c:pt idx="96">
                  <c:v>2.649001573572543</c:v>
                </c:pt>
                <c:pt idx="97">
                  <c:v>2.691636392254277</c:v>
                </c:pt>
                <c:pt idx="98">
                  <c:v>2.7328912991441419</c:v>
                </c:pt>
                <c:pt idx="99">
                  <c:v>2.7727161752635943</c:v>
                </c:pt>
                <c:pt idx="100">
                  <c:v>2.8110777979938182</c:v>
                </c:pt>
                <c:pt idx="101">
                  <c:v>2.8479351442092034</c:v>
                </c:pt>
                <c:pt idx="102">
                  <c:v>2.8832624946781289</c:v>
                </c:pt>
                <c:pt idx="103">
                  <c:v>2.9170295125645693</c:v>
                </c:pt>
                <c:pt idx="104">
                  <c:v>2.949195096023685</c:v>
                </c:pt>
                <c:pt idx="105">
                  <c:v>2.9797262936499322</c:v>
                </c:pt>
                <c:pt idx="106">
                  <c:v>3.0085931271560176</c:v>
                </c:pt>
                <c:pt idx="107">
                  <c:v>3.0357781448110486</c:v>
                </c:pt>
                <c:pt idx="108">
                  <c:v>3.061235799879479</c:v>
                </c:pt>
                <c:pt idx="109">
                  <c:v>3.0849375090586197</c:v>
                </c:pt>
                <c:pt idx="110">
                  <c:v>3.1069090920853433</c:v>
                </c:pt>
                <c:pt idx="111">
                  <c:v>3.1271683972319906</c:v>
                </c:pt>
                <c:pt idx="112">
                  <c:v>3.1456814551567502</c:v>
                </c:pt>
                <c:pt idx="113">
                  <c:v>3.1623767657868993</c:v>
                </c:pt>
                <c:pt idx="114">
                  <c:v>3.1772143316864701</c:v>
                </c:pt>
                <c:pt idx="115">
                  <c:v>3.1901891800393849</c:v>
                </c:pt>
                <c:pt idx="116">
                  <c:v>3.2013004704149792</c:v>
                </c:pt>
                <c:pt idx="117">
                  <c:v>3.2105691470369435</c:v>
                </c:pt>
                <c:pt idx="118">
                  <c:v>3.2180396771832025</c:v>
                </c:pt>
                <c:pt idx="119">
                  <c:v>3.2237279348011771</c:v>
                </c:pt>
                <c:pt idx="120">
                  <c:v>3.2276338308836752</c:v>
                </c:pt>
                <c:pt idx="121">
                  <c:v>3.2297525909208797</c:v>
                </c:pt>
                <c:pt idx="122">
                  <c:v>3.230056564695841</c:v>
                </c:pt>
                <c:pt idx="123">
                  <c:v>3.2285466582651936</c:v>
                </c:pt>
                <c:pt idx="124">
                  <c:v>3.2252516518298915</c:v>
                </c:pt>
                <c:pt idx="125">
                  <c:v>3.2201736207265781</c:v>
                </c:pt>
                <c:pt idx="126">
                  <c:v>3.2133051018902798</c:v>
                </c:pt>
                <c:pt idx="127">
                  <c:v>3.2046212724027781</c:v>
                </c:pt>
                <c:pt idx="128">
                  <c:v>3.1941433827928334</c:v>
                </c:pt>
                <c:pt idx="129">
                  <c:v>3.1819227804714325</c:v>
                </c:pt>
                <c:pt idx="130">
                  <c:v>3.1679868939709652</c:v>
                </c:pt>
                <c:pt idx="131">
                  <c:v>3.1523657954454056</c:v>
                </c:pt>
                <c:pt idx="132">
                  <c:v>3.1350742622251846</c:v>
                </c:pt>
                <c:pt idx="133">
                  <c:v>3.1161256591218391</c:v>
                </c:pt>
                <c:pt idx="134">
                  <c:v>3.0955459321826995</c:v>
                </c:pt>
                <c:pt idx="135">
                  <c:v>3.0733334194925073</c:v>
                </c:pt>
                <c:pt idx="136">
                  <c:v>3.049495440818216</c:v>
                </c:pt>
                <c:pt idx="137">
                  <c:v>3.0240523166676296</c:v>
                </c:pt>
                <c:pt idx="138">
                  <c:v>2.9970297382986026</c:v>
                </c:pt>
                <c:pt idx="139">
                  <c:v>2.9684571554713157</c:v>
                </c:pt>
                <c:pt idx="140">
                  <c:v>2.9383468264100649</c:v>
                </c:pt>
                <c:pt idx="141">
                  <c:v>2.9067105666252533</c:v>
                </c:pt>
                <c:pt idx="142">
                  <c:v>2.8735868036117327</c:v>
                </c:pt>
                <c:pt idx="143">
                  <c:v>2.8390410153464121</c:v>
                </c:pt>
                <c:pt idx="144">
                  <c:v>2.8031323845610125</c:v>
                </c:pt>
                <c:pt idx="145">
                  <c:v>2.7659099473982804</c:v>
                </c:pt>
                <c:pt idx="146">
                  <c:v>2.7274122731036208</c:v>
                </c:pt>
                <c:pt idx="147">
                  <c:v>2.6876933683963067</c:v>
                </c:pt>
                <c:pt idx="148">
                  <c:v>2.6468174868873069</c:v>
                </c:pt>
                <c:pt idx="149">
                  <c:v>2.6048526091312003</c:v>
                </c:pt>
                <c:pt idx="150">
                  <c:v>2.5618823517825233</c:v>
                </c:pt>
                <c:pt idx="151">
                  <c:v>2.5179910396328715</c:v>
                </c:pt>
                <c:pt idx="152">
                  <c:v>2.4732454741071339</c:v>
                </c:pt>
                <c:pt idx="153">
                  <c:v>2.4277119229505524</c:v>
                </c:pt>
                <c:pt idx="154">
                  <c:v>2.3814597636533317</c:v>
                </c:pt>
                <c:pt idx="155">
                  <c:v>2.334558678354957</c:v>
                </c:pt>
                <c:pt idx="156">
                  <c:v>2.2870799479575981</c:v>
                </c:pt>
                <c:pt idx="157">
                  <c:v>2.239082092379777</c:v>
                </c:pt>
                <c:pt idx="158">
                  <c:v>2.1906207799724906</c:v>
                </c:pt>
                <c:pt idx="159">
                  <c:v>2.1417453526177459</c:v>
                </c:pt>
                <c:pt idx="160">
                  <c:v>2.0925109818608263</c:v>
                </c:pt>
                <c:pt idx="161">
                  <c:v>2.0429599794230167</c:v>
                </c:pt>
                <c:pt idx="162">
                  <c:v>1.9931270386931006</c:v>
                </c:pt>
                <c:pt idx="163">
                  <c:v>1.9430500950652665</c:v>
                </c:pt>
                <c:pt idx="164">
                  <c:v>1.8927592482463738</c:v>
                </c:pt>
                <c:pt idx="165">
                  <c:v>1.8422900650398411</c:v>
                </c:pt>
                <c:pt idx="166">
                  <c:v>1.7916837184962302</c:v>
                </c:pt>
                <c:pt idx="167">
                  <c:v>1.7409763374956999</c:v>
                </c:pt>
                <c:pt idx="168">
                  <c:v>1.6902087833826187</c:v>
                </c:pt>
                <c:pt idx="169">
                  <c:v>1.6394171891265523</c:v>
                </c:pt>
                <c:pt idx="170">
                  <c:v>1.5886397538506047</c:v>
                </c:pt>
                <c:pt idx="171">
                  <c:v>1.5379097842827287</c:v>
                </c:pt>
                <c:pt idx="172">
                  <c:v>1.4872547047214562</c:v>
                </c:pt>
                <c:pt idx="173">
                  <c:v>1.4366954538627412</c:v>
                </c:pt>
                <c:pt idx="174">
                  <c:v>1.3862542595635721</c:v>
                </c:pt>
                <c:pt idx="175">
                  <c:v>1.3359485965070692</c:v>
                </c:pt>
                <c:pt idx="176">
                  <c:v>1.2857909649131742</c:v>
                </c:pt>
                <c:pt idx="177">
                  <c:v>1.2358156018551543</c:v>
                </c:pt>
                <c:pt idx="178">
                  <c:v>1.1860354868158962</c:v>
                </c:pt>
                <c:pt idx="179">
                  <c:v>1.1364731190576336</c:v>
                </c:pt>
                <c:pt idx="180">
                  <c:v>1.087151450557202</c:v>
                </c:pt>
                <c:pt idx="181">
                  <c:v>1.0380794061141414</c:v>
                </c:pt>
                <c:pt idx="182">
                  <c:v>0.98927094939736326</c:v>
                </c:pt>
                <c:pt idx="183">
                  <c:v>0.94073905468287344</c:v>
                </c:pt>
                <c:pt idx="184">
                  <c:v>0.89250447314592518</c:v>
                </c:pt>
                <c:pt idx="185">
                  <c:v>0.84458417954620002</c:v>
                </c:pt>
                <c:pt idx="186">
                  <c:v>0.79699009395241638</c:v>
                </c:pt>
                <c:pt idx="187">
                  <c:v>0.74973967966650423</c:v>
                </c:pt>
                <c:pt idx="188">
                  <c:v>0.70285224509569089</c:v>
                </c:pt>
                <c:pt idx="189">
                  <c:v>0.65633252347178872</c:v>
                </c:pt>
                <c:pt idx="190">
                  <c:v>0.61019054584713806</c:v>
                </c:pt>
                <c:pt idx="191">
                  <c:v>0.56444451163178389</c:v>
                </c:pt>
                <c:pt idx="192">
                  <c:v>0.51909308504092422</c:v>
                </c:pt>
                <c:pt idx="193">
                  <c:v>0.47414165234815753</c:v>
                </c:pt>
                <c:pt idx="194">
                  <c:v>0.4295961582778996</c:v>
                </c:pt>
                <c:pt idx="195">
                  <c:v>0.38547413947179027</c:v>
                </c:pt>
                <c:pt idx="196">
                  <c:v>0.3417790317121121</c:v>
                </c:pt>
                <c:pt idx="197">
                  <c:v>0.29851238514992212</c:v>
                </c:pt>
                <c:pt idx="198">
                  <c:v>0.25567974581712166</c:v>
                </c:pt>
                <c:pt idx="199">
                  <c:v>0.21330025196033672</c:v>
                </c:pt>
                <c:pt idx="200">
                  <c:v>0.17137220499431213</c:v>
                </c:pt>
                <c:pt idx="201">
                  <c:v>0.12989554017267088</c:v>
                </c:pt>
                <c:pt idx="202">
                  <c:v>8.8869304550991957E-2</c:v>
                </c:pt>
                <c:pt idx="203">
                  <c:v>4.82940510268293E-2</c:v>
                </c:pt>
                <c:pt idx="204">
                  <c:v>8.1817496919578472E-3</c:v>
                </c:pt>
                <c:pt idx="205">
                  <c:v>-3.1460672325844243E-2</c:v>
                </c:pt>
                <c:pt idx="206">
                  <c:v>-7.0626823695034785E-2</c:v>
                </c:pt>
                <c:pt idx="207">
                  <c:v>-0.10932031807822983</c:v>
                </c:pt>
                <c:pt idx="208">
                  <c:v>-0.14753286056219875</c:v>
                </c:pt>
                <c:pt idx="209">
                  <c:v>-0.1852500842786583</c:v>
                </c:pt>
                <c:pt idx="210">
                  <c:v>-0.22246783465269979</c:v>
                </c:pt>
                <c:pt idx="211">
                  <c:v>-0.2591795187480852</c:v>
                </c:pt>
                <c:pt idx="212">
                  <c:v>-0.29539817400008456</c:v>
                </c:pt>
                <c:pt idx="213">
                  <c:v>-0.33112425072310342</c:v>
                </c:pt>
                <c:pt idx="214">
                  <c:v>-0.36635135509696592</c:v>
                </c:pt>
                <c:pt idx="215">
                  <c:v>-0.40106214221757952</c:v>
                </c:pt>
                <c:pt idx="216">
                  <c:v>-0.43524882279232752</c:v>
                </c:pt>
                <c:pt idx="217">
                  <c:v>-0.46891327209101419</c:v>
                </c:pt>
                <c:pt idx="218">
                  <c:v>-0.50206522047563029</c:v>
                </c:pt>
                <c:pt idx="219">
                  <c:v>-0.53469914290341147</c:v>
                </c:pt>
                <c:pt idx="220">
                  <c:v>-0.56681374744776714</c:v>
                </c:pt>
                <c:pt idx="221">
                  <c:v>-0.59840708370866513</c:v>
                </c:pt>
                <c:pt idx="222">
                  <c:v>-0.6294733929306322</c:v>
                </c:pt>
                <c:pt idx="223">
                  <c:v>-0.66000701920229832</c:v>
                </c:pt>
                <c:pt idx="224">
                  <c:v>-0.69000284784012944</c:v>
                </c:pt>
                <c:pt idx="225">
                  <c:v>-0.71945778470679211</c:v>
                </c:pt>
                <c:pt idx="226">
                  <c:v>-0.74836358990706142</c:v>
                </c:pt>
                <c:pt idx="227">
                  <c:v>-0.77671661078063203</c:v>
                </c:pt>
                <c:pt idx="228">
                  <c:v>-0.80450361571157458</c:v>
                </c:pt>
                <c:pt idx="229">
                  <c:v>-0.83173036521619725</c:v>
                </c:pt>
                <c:pt idx="230">
                  <c:v>-0.85839913029328296</c:v>
                </c:pt>
                <c:pt idx="231">
                  <c:v>-0.88451459414628408</c:v>
                </c:pt>
                <c:pt idx="232">
                  <c:v>-0.91007359060720217</c:v>
                </c:pt>
                <c:pt idx="233">
                  <c:v>-0.935067163732064</c:v>
                </c:pt>
                <c:pt idx="234">
                  <c:v>-0.95948587892791504</c:v>
                </c:pt>
                <c:pt idx="235">
                  <c:v>-0.9833234633391249</c:v>
                </c:pt>
                <c:pt idx="236">
                  <c:v>-1.006575162494957</c:v>
                </c:pt>
                <c:pt idx="237">
                  <c:v>-1.0292299866260202</c:v>
                </c:pt>
                <c:pt idx="238">
                  <c:v>-1.0512758250023471</c:v>
                </c:pt>
                <c:pt idx="239">
                  <c:v>-1.0727209446644588</c:v>
                </c:pt>
                <c:pt idx="240">
                  <c:v>-1.0935566668872807</c:v>
                </c:pt>
                <c:pt idx="241">
                  <c:v>-1.1137852823023375</c:v>
                </c:pt>
                <c:pt idx="242">
                  <c:v>-1.1333912457934914</c:v>
                </c:pt>
                <c:pt idx="243">
                  <c:v>-1.1523755733308647</c:v>
                </c:pt>
                <c:pt idx="244">
                  <c:v>-1.1707442678959039</c:v>
                </c:pt>
                <c:pt idx="245">
                  <c:v>-1.1884971145223773</c:v>
                </c:pt>
                <c:pt idx="246">
                  <c:v>-1.2056299294752608</c:v>
                </c:pt>
                <c:pt idx="247">
                  <c:v>-1.2221400212280347</c:v>
                </c:pt>
                <c:pt idx="248">
                  <c:v>-1.2380223179959844</c:v>
                </c:pt>
                <c:pt idx="249">
                  <c:v>-1.2532730867620629</c:v>
                </c:pt>
                <c:pt idx="250">
                  <c:v>-1.267896504481784</c:v>
                </c:pt>
                <c:pt idx="251">
                  <c:v>-1.2818878032665038</c:v>
                </c:pt>
                <c:pt idx="252">
                  <c:v>-1.2952301074926957</c:v>
                </c:pt>
                <c:pt idx="253">
                  <c:v>-1.307920197697213</c:v>
                </c:pt>
                <c:pt idx="254">
                  <c:v>-1.3199642489610706</c:v>
                </c:pt>
                <c:pt idx="255">
                  <c:v>-1.3313655966121742</c:v>
                </c:pt>
                <c:pt idx="256">
                  <c:v>-1.3421250026950953</c:v>
                </c:pt>
                <c:pt idx="257">
                  <c:v>-1.3522397231142356</c:v>
                </c:pt>
                <c:pt idx="258">
                  <c:v>-1.3617227124249618</c:v>
                </c:pt>
                <c:pt idx="259">
                  <c:v>-1.3705647417204641</c:v>
                </c:pt>
                <c:pt idx="260">
                  <c:v>-1.3787581874538848</c:v>
                </c:pt>
                <c:pt idx="261">
                  <c:v>-1.3863022258042788</c:v>
                </c:pt>
                <c:pt idx="262">
                  <c:v>-1.3932018786857381</c:v>
                </c:pt>
                <c:pt idx="263">
                  <c:v>-1.3994632237063387</c:v>
                </c:pt>
                <c:pt idx="264">
                  <c:v>-1.4050795507230645</c:v>
                </c:pt>
                <c:pt idx="265">
                  <c:v>-1.4100554233817717</c:v>
                </c:pt>
                <c:pt idx="266">
                  <c:v>-1.4143899121131125</c:v>
                </c:pt>
                <c:pt idx="267">
                  <c:v>-1.4180868076650199</c:v>
                </c:pt>
                <c:pt idx="268">
                  <c:v>-1.4211598061160542</c:v>
                </c:pt>
                <c:pt idx="269">
                  <c:v>-1.4236035397245614</c:v>
                </c:pt>
                <c:pt idx="270">
                  <c:v>-1.4254239651146015</c:v>
                </c:pt>
                <c:pt idx="271">
                  <c:v>-1.4266186028982579</c:v>
                </c:pt>
                <c:pt idx="272">
                  <c:v>-1.4271929199074631</c:v>
                </c:pt>
                <c:pt idx="273">
                  <c:v>-1.4271578984135949</c:v>
                </c:pt>
                <c:pt idx="274">
                  <c:v>-1.4265226006586527</c:v>
                </c:pt>
                <c:pt idx="275">
                  <c:v>-1.4252841563350112</c:v>
                </c:pt>
                <c:pt idx="276">
                  <c:v>-1.4234407039411754</c:v>
                </c:pt>
                <c:pt idx="277">
                  <c:v>-1.4210021025525859</c:v>
                </c:pt>
                <c:pt idx="278">
                  <c:v>-1.4179790767595293</c:v>
                </c:pt>
                <c:pt idx="279">
                  <c:v>-1.4143738006985431</c:v>
                </c:pt>
                <c:pt idx="280">
                  <c:v>-1.4101927144614865</c:v>
                </c:pt>
                <c:pt idx="281">
                  <c:v>-1.4054450613958995</c:v>
                </c:pt>
                <c:pt idx="282">
                  <c:v>-1.4001387470187046</c:v>
                </c:pt>
                <c:pt idx="283">
                  <c:v>-1.3942829839462307</c:v>
                </c:pt>
                <c:pt idx="284">
                  <c:v>-1.3878916636896808</c:v>
                </c:pt>
                <c:pt idx="285">
                  <c:v>-1.3809674048758722</c:v>
                </c:pt>
                <c:pt idx="286">
                  <c:v>-1.3735089923372219</c:v>
                </c:pt>
                <c:pt idx="287">
                  <c:v>-1.3655303377535011</c:v>
                </c:pt>
                <c:pt idx="288">
                  <c:v>-1.3570354634599289</c:v>
                </c:pt>
                <c:pt idx="289">
                  <c:v>-1.3480348638286999</c:v>
                </c:pt>
                <c:pt idx="290">
                  <c:v>-1.3385355480773027</c:v>
                </c:pt>
                <c:pt idx="291">
                  <c:v>-1.3285500522457387</c:v>
                </c:pt>
                <c:pt idx="292">
                  <c:v>-1.3180896496573711</c:v>
                </c:pt>
                <c:pt idx="293">
                  <c:v>-1.3071619259123197</c:v>
                </c:pt>
                <c:pt idx="294">
                  <c:v>-1.2957844244133703</c:v>
                </c:pt>
                <c:pt idx="295">
                  <c:v>-1.2839703059833398</c:v>
                </c:pt>
                <c:pt idx="296">
                  <c:v>-1.2717253201179328</c:v>
                </c:pt>
                <c:pt idx="297">
                  <c:v>-1.2590589899815952</c:v>
                </c:pt>
                <c:pt idx="298">
                  <c:v>-1.2459712694437903</c:v>
                </c:pt>
                <c:pt idx="299">
                  <c:v>-1.2324726648457507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737-4C9B-80F3-A60303DDE51D}"/>
            </c:ext>
          </c:extLst>
        </c:ser>
        <c:ser>
          <c:idx val="7"/>
          <c:order val="7"/>
          <c:tx>
            <c:strRef>
              <c:f>VW!$AA$79</c:f>
              <c:strCache>
                <c:ptCount val="1"/>
                <c:pt idx="0">
                  <c:v>D8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VW!$AA$80:$AA$379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-2.9910481149582043E-10</c:v>
                </c:pt>
                <c:pt idx="22">
                  <c:v>-8.4237948685674309E-6</c:v>
                </c:pt>
                <c:pt idx="23">
                  <c:v>-6.7505148310506385E-5</c:v>
                </c:pt>
                <c:pt idx="24">
                  <c:v>-2.2568855212525793E-4</c:v>
                </c:pt>
                <c:pt idx="25">
                  <c:v>-4.9663056500086485E-4</c:v>
                </c:pt>
                <c:pt idx="26">
                  <c:v>-8.5212504163349159E-4</c:v>
                </c:pt>
                <c:pt idx="27">
                  <c:v>-1.2246610643230676E-3</c:v>
                </c:pt>
                <c:pt idx="28">
                  <c:v>-1.5211919948940797E-3</c:v>
                </c:pt>
                <c:pt idx="29">
                  <c:v>-1.656352888846207E-3</c:v>
                </c:pt>
                <c:pt idx="30">
                  <c:v>-1.5658275283385267E-3</c:v>
                </c:pt>
                <c:pt idx="31">
                  <c:v>-1.1760149378027094E-3</c:v>
                </c:pt>
                <c:pt idx="32">
                  <c:v>-3.971532030791418E-4</c:v>
                </c:pt>
                <c:pt idx="33">
                  <c:v>8.5446699087397794E-4</c:v>
                </c:pt>
                <c:pt idx="34">
                  <c:v>2.6469823601490677E-3</c:v>
                </c:pt>
                <c:pt idx="35">
                  <c:v>5.0412760837493581E-3</c:v>
                </c:pt>
                <c:pt idx="36">
                  <c:v>8.0870553140530727E-3</c:v>
                </c:pt>
                <c:pt idx="37">
                  <c:v>1.182313115906696E-2</c:v>
                </c:pt>
                <c:pt idx="38">
                  <c:v>1.6291695060602487E-2</c:v>
                </c:pt>
                <c:pt idx="39">
                  <c:v>2.1536141140086326E-2</c:v>
                </c:pt>
                <c:pt idx="40">
                  <c:v>2.7590206634689633E-2</c:v>
                </c:pt>
                <c:pt idx="41">
                  <c:v>3.4484976410769468E-2</c:v>
                </c:pt>
                <c:pt idx="42">
                  <c:v>4.2258339161226434E-2</c:v>
                </c:pt>
                <c:pt idx="43">
                  <c:v>5.0954933946533339E-2</c:v>
                </c:pt>
                <c:pt idx="44">
                  <c:v>6.061492551386425E-2</c:v>
                </c:pt>
                <c:pt idx="45">
                  <c:v>7.127385391833542E-2</c:v>
                </c:pt>
                <c:pt idx="46">
                  <c:v>8.2960461135973815E-2</c:v>
                </c:pt>
                <c:pt idx="47">
                  <c:v>9.5694520621440279E-2</c:v>
                </c:pt>
                <c:pt idx="48">
                  <c:v>0.109491710172617</c:v>
                </c:pt>
                <c:pt idx="49">
                  <c:v>0.12436040081520444</c:v>
                </c:pt>
                <c:pt idx="50">
                  <c:v>0.14030172766751942</c:v>
                </c:pt>
                <c:pt idx="51">
                  <c:v>0.15730917358472735</c:v>
                </c:pt>
                <c:pt idx="52">
                  <c:v>0.17537840362749213</c:v>
                </c:pt>
                <c:pt idx="53">
                  <c:v>0.19451173765490251</c:v>
                </c:pt>
                <c:pt idx="54">
                  <c:v>0.21470834958210361</c:v>
                </c:pt>
                <c:pt idx="55">
                  <c:v>0.23596579303579429</c:v>
                </c:pt>
                <c:pt idx="56">
                  <c:v>0.25828220999895002</c:v>
                </c:pt>
                <c:pt idx="57">
                  <c:v>0.28165594237323544</c:v>
                </c:pt>
                <c:pt idx="58">
                  <c:v>0.30608027948906791</c:v>
                </c:pt>
                <c:pt idx="59">
                  <c:v>0.33154101339824593</c:v>
                </c:pt>
                <c:pt idx="60">
                  <c:v>0.35801472871216911</c:v>
                </c:pt>
                <c:pt idx="61">
                  <c:v>0.38547004453401268</c:v>
                </c:pt>
                <c:pt idx="62">
                  <c:v>0.41387470020858513</c:v>
                </c:pt>
                <c:pt idx="63">
                  <c:v>0.44320385909107129</c:v>
                </c:pt>
                <c:pt idx="64">
                  <c:v>0.47344031983030438</c:v>
                </c:pt>
                <c:pt idx="65">
                  <c:v>0.50456748926084349</c:v>
                </c:pt>
                <c:pt idx="66">
                  <c:v>0.53656542647594463</c:v>
                </c:pt>
                <c:pt idx="67">
                  <c:v>0.56941493243822283</c:v>
                </c:pt>
                <c:pt idx="68">
                  <c:v>0.60309676005500135</c:v>
                </c:pt>
                <c:pt idx="69">
                  <c:v>0.63758552133340385</c:v>
                </c:pt>
                <c:pt idx="70">
                  <c:v>0.67284977362314891</c:v>
                </c:pt>
                <c:pt idx="71">
                  <c:v>0.70884986646676718</c:v>
                </c:pt>
                <c:pt idx="72">
                  <c:v>0.74554297409293935</c:v>
                </c:pt>
                <c:pt idx="73">
                  <c:v>0.78288117266181589</c:v>
                </c:pt>
                <c:pt idx="74">
                  <c:v>0.82081562995899648</c:v>
                </c:pt>
                <c:pt idx="75">
                  <c:v>0.85930062792187234</c:v>
                </c:pt>
                <c:pt idx="76">
                  <c:v>0.89829112967549785</c:v>
                </c:pt>
                <c:pt idx="77">
                  <c:v>0.93775150004487806</c:v>
                </c:pt>
                <c:pt idx="78">
                  <c:v>0.97764986962201439</c:v>
                </c:pt>
                <c:pt idx="79">
                  <c:v>1.0179507054519272</c:v>
                </c:pt>
                <c:pt idx="80">
                  <c:v>1.0586126061828576</c:v>
                </c:pt>
                <c:pt idx="81">
                  <c:v>1.0995927071891312</c:v>
                </c:pt>
                <c:pt idx="82">
                  <c:v>1.1408464866447339</c:v>
                </c:pt>
                <c:pt idx="83">
                  <c:v>1.1823275593249409</c:v>
                </c:pt>
                <c:pt idx="84">
                  <c:v>1.2239839936564043</c:v>
                </c:pt>
                <c:pt idx="85">
                  <c:v>1.2657534456078265</c:v>
                </c:pt>
                <c:pt idx="86">
                  <c:v>1.3075726889112755</c:v>
                </c:pt>
                <c:pt idx="87">
                  <c:v>1.3493831856395775</c:v>
                </c:pt>
                <c:pt idx="88">
                  <c:v>1.3911307356686267</c:v>
                </c:pt>
                <c:pt idx="89">
                  <c:v>1.4327648306208345</c:v>
                </c:pt>
                <c:pt idx="90">
                  <c:v>1.4742303761765614</c:v>
                </c:pt>
                <c:pt idx="91">
                  <c:v>1.515469589612523</c:v>
                </c:pt>
                <c:pt idx="92">
                  <c:v>1.5564281967980917</c:v>
                </c:pt>
                <c:pt idx="93">
                  <c:v>1.5970483848729613</c:v>
                </c:pt>
                <c:pt idx="94">
                  <c:v>1.6372699872778997</c:v>
                </c:pt>
                <c:pt idx="95">
                  <c:v>1.6770363265265411</c:v>
                </c:pt>
                <c:pt idx="96">
                  <c:v>1.7162866982569638</c:v>
                </c:pt>
                <c:pt idx="97">
                  <c:v>1.7549599198718853</c:v>
                </c:pt>
                <c:pt idx="98">
                  <c:v>1.7929963101216939</c:v>
                </c:pt>
                <c:pt idx="99">
                  <c:v>1.830336305603772</c:v>
                </c:pt>
                <c:pt idx="100">
                  <c:v>1.8669289292351208</c:v>
                </c:pt>
                <c:pt idx="101">
                  <c:v>1.9027242115402154</c:v>
                </c:pt>
                <c:pt idx="102">
                  <c:v>1.9376782624681754</c:v>
                </c:pt>
                <c:pt idx="103">
                  <c:v>1.9717532929739741</c:v>
                </c:pt>
                <c:pt idx="104">
                  <c:v>2.0049067323371728</c:v>
                </c:pt>
                <c:pt idx="105">
                  <c:v>2.0370954593431447</c:v>
                </c:pt>
                <c:pt idx="106">
                  <c:v>2.0682781553135481</c:v>
                </c:pt>
                <c:pt idx="107">
                  <c:v>2.0984227236631141</c:v>
                </c:pt>
                <c:pt idx="108">
                  <c:v>2.1274866985327754</c:v>
                </c:pt>
                <c:pt idx="109">
                  <c:v>2.1554160665970361</c:v>
                </c:pt>
                <c:pt idx="110">
                  <c:v>2.1821832564268817</c:v>
                </c:pt>
                <c:pt idx="111">
                  <c:v>2.2077887457231413</c:v>
                </c:pt>
                <c:pt idx="112">
                  <c:v>2.2322271763578247</c:v>
                </c:pt>
                <c:pt idx="113">
                  <c:v>2.2554614341043493</c:v>
                </c:pt>
                <c:pt idx="114">
                  <c:v>2.2774408365857184</c:v>
                </c:pt>
                <c:pt idx="115">
                  <c:v>2.2981253662385934</c:v>
                </c:pt>
                <c:pt idx="116">
                  <c:v>2.3174802829733845</c:v>
                </c:pt>
                <c:pt idx="117">
                  <c:v>2.3354801968503538</c:v>
                </c:pt>
                <c:pt idx="118">
                  <c:v>2.3521242390350192</c:v>
                </c:pt>
                <c:pt idx="119">
                  <c:v>2.3674177842661273</c:v>
                </c:pt>
                <c:pt idx="120">
                  <c:v>2.3813599103579457</c:v>
                </c:pt>
                <c:pt idx="121">
                  <c:v>2.3939477940863676</c:v>
                </c:pt>
                <c:pt idx="122">
                  <c:v>2.405162133443016</c:v>
                </c:pt>
                <c:pt idx="123">
                  <c:v>2.4149806526420829</c:v>
                </c:pt>
                <c:pt idx="124">
                  <c:v>2.42340283646912</c:v>
                </c:pt>
                <c:pt idx="125">
                  <c:v>2.4304322396500493</c:v>
                </c:pt>
                <c:pt idx="126">
                  <c:v>2.4360656412407193</c:v>
                </c:pt>
                <c:pt idx="127">
                  <c:v>2.4402802307279781</c:v>
                </c:pt>
                <c:pt idx="128">
                  <c:v>2.4430547722532343</c:v>
                </c:pt>
                <c:pt idx="129">
                  <c:v>2.4443938122760795</c:v>
                </c:pt>
                <c:pt idx="130">
                  <c:v>2.4443075581284059</c:v>
                </c:pt>
                <c:pt idx="131">
                  <c:v>2.4428093391883219</c:v>
                </c:pt>
                <c:pt idx="132">
                  <c:v>2.4399104587017901</c:v>
                </c:pt>
                <c:pt idx="133">
                  <c:v>2.4356165259707288</c:v>
                </c:pt>
                <c:pt idx="134">
                  <c:v>2.4299413519312778</c:v>
                </c:pt>
                <c:pt idx="135">
                  <c:v>2.4228915053847069</c:v>
                </c:pt>
                <c:pt idx="136">
                  <c:v>2.414466215309842</c:v>
                </c:pt>
                <c:pt idx="137">
                  <c:v>2.4046687647354057</c:v>
                </c:pt>
                <c:pt idx="138">
                  <c:v>2.3935073109725971</c:v>
                </c:pt>
                <c:pt idx="139">
                  <c:v>2.3809970626203194</c:v>
                </c:pt>
                <c:pt idx="140">
                  <c:v>2.3671484378330958</c:v>
                </c:pt>
                <c:pt idx="141">
                  <c:v>2.3519599372927358</c:v>
                </c:pt>
                <c:pt idx="142">
                  <c:v>2.3354313075056075</c:v>
                </c:pt>
                <c:pt idx="143">
                  <c:v>2.3175794122103772</c:v>
                </c:pt>
                <c:pt idx="144">
                  <c:v>2.2984322338527505</c:v>
                </c:pt>
                <c:pt idx="145">
                  <c:v>2.2780183304539618</c:v>
                </c:pt>
                <c:pt idx="146">
                  <c:v>2.2563582016247525</c:v>
                </c:pt>
                <c:pt idx="147">
                  <c:v>2.2334708481897279</c:v>
                </c:pt>
                <c:pt idx="148">
                  <c:v>2.2093802206221658</c:v>
                </c:pt>
                <c:pt idx="149">
                  <c:v>2.1841127136995224</c:v>
                </c:pt>
                <c:pt idx="150">
                  <c:v>2.1577041859955393</c:v>
                </c:pt>
                <c:pt idx="151">
                  <c:v>2.1302014626858474</c:v>
                </c:pt>
                <c:pt idx="152">
                  <c:v>2.1016492120135877</c:v>
                </c:pt>
                <c:pt idx="153">
                  <c:v>2.0720885761826073</c:v>
                </c:pt>
                <c:pt idx="154">
                  <c:v>2.0415619928073534</c:v>
                </c:pt>
                <c:pt idx="155">
                  <c:v>2.0101139350326047</c:v>
                </c:pt>
                <c:pt idx="156">
                  <c:v>1.9777938252931939</c:v>
                </c:pt>
                <c:pt idx="157">
                  <c:v>1.944650271975106</c:v>
                </c:pt>
                <c:pt idx="158">
                  <c:v>1.910729807566883</c:v>
                </c:pt>
                <c:pt idx="159">
                  <c:v>1.8760759891191285</c:v>
                </c:pt>
                <c:pt idx="160">
                  <c:v>1.8407353415750893</c:v>
                </c:pt>
                <c:pt idx="161">
                  <c:v>1.8047537011551558</c:v>
                </c:pt>
                <c:pt idx="162">
                  <c:v>1.7681709878333784</c:v>
                </c:pt>
                <c:pt idx="163">
                  <c:v>1.7310264409659475</c:v>
                </c:pt>
                <c:pt idx="164">
                  <c:v>1.6933550333224392</c:v>
                </c:pt>
                <c:pt idx="165">
                  <c:v>1.6551893682684899</c:v>
                </c:pt>
                <c:pt idx="166">
                  <c:v>1.6165652972710534</c:v>
                </c:pt>
                <c:pt idx="167">
                  <c:v>1.5775177733466059</c:v>
                </c:pt>
                <c:pt idx="168">
                  <c:v>1.5380830023625955</c:v>
                </c:pt>
                <c:pt idx="169">
                  <c:v>1.4982970570993706</c:v>
                </c:pt>
                <c:pt idx="170">
                  <c:v>1.4581969527587268</c:v>
                </c:pt>
                <c:pt idx="171">
                  <c:v>1.4178204970355095</c:v>
                </c:pt>
                <c:pt idx="172">
                  <c:v>1.3772037465345777</c:v>
                </c:pt>
                <c:pt idx="173">
                  <c:v>1.3363787979101129</c:v>
                </c:pt>
                <c:pt idx="174">
                  <c:v>1.2953762765636012</c:v>
                </c:pt>
                <c:pt idx="175">
                  <c:v>1.2542244138607022</c:v>
                </c:pt>
                <c:pt idx="176">
                  <c:v>1.2129441898655369</c:v>
                </c:pt>
                <c:pt idx="177">
                  <c:v>1.1715645413236253</c:v>
                </c:pt>
                <c:pt idx="178">
                  <c:v>1.1301114927527915</c:v>
                </c:pt>
                <c:pt idx="179">
                  <c:v>1.0886091116966121</c:v>
                </c:pt>
                <c:pt idx="180">
                  <c:v>1.0470862045268734</c:v>
                </c:pt>
                <c:pt idx="181">
                  <c:v>1.0055657652619598</c:v>
                </c:pt>
                <c:pt idx="182">
                  <c:v>0.96406767890381817</c:v>
                </c:pt>
                <c:pt idx="183">
                  <c:v>0.92261022207873022</c:v>
                </c:pt>
                <c:pt idx="184">
                  <c:v>0.88121381366494334</c:v>
                </c:pt>
                <c:pt idx="185">
                  <c:v>0.8399003205388339</c:v>
                </c:pt>
                <c:pt idx="186">
                  <c:v>0.79868807920937968</c:v>
                </c:pt>
                <c:pt idx="187">
                  <c:v>0.75759583244309803</c:v>
                </c:pt>
                <c:pt idx="188">
                  <c:v>0.71664637101492468</c:v>
                </c:pt>
                <c:pt idx="189">
                  <c:v>0.67585718563810826</c:v>
                </c:pt>
                <c:pt idx="190">
                  <c:v>0.63524260009636191</c:v>
                </c:pt>
                <c:pt idx="191">
                  <c:v>0.59482342766886886</c:v>
                </c:pt>
                <c:pt idx="192">
                  <c:v>0.55461471883579316</c:v>
                </c:pt>
                <c:pt idx="193">
                  <c:v>0.51462737821783222</c:v>
                </c:pt>
                <c:pt idx="194">
                  <c:v>0.47487151239726239</c:v>
                </c:pt>
                <c:pt idx="195">
                  <c:v>0.43536292358404249</c:v>
                </c:pt>
                <c:pt idx="196">
                  <c:v>0.39611638160675533</c:v>
                </c:pt>
                <c:pt idx="197">
                  <c:v>0.35714121438235757</c:v>
                </c:pt>
                <c:pt idx="198">
                  <c:v>0.31844509617349581</c:v>
                </c:pt>
                <c:pt idx="199">
                  <c:v>0.28004417294893275</c:v>
                </c:pt>
                <c:pt idx="200">
                  <c:v>0.24195187020756001</c:v>
                </c:pt>
                <c:pt idx="201">
                  <c:v>0.20417689370285685</c:v>
                </c:pt>
                <c:pt idx="202">
                  <c:v>0.16672607634671333</c:v>
                </c:pt>
                <c:pt idx="203">
                  <c:v>0.12960297096482948</c:v>
                </c:pt>
                <c:pt idx="204">
                  <c:v>9.281547382453148E-2</c:v>
                </c:pt>
                <c:pt idx="205">
                  <c:v>5.6373709983566854E-2</c:v>
                </c:pt>
                <c:pt idx="206">
                  <c:v>2.0288140871933012E-2</c:v>
                </c:pt>
                <c:pt idx="207">
                  <c:v>-1.5436707964477605E-2</c:v>
                </c:pt>
                <c:pt idx="208">
                  <c:v>-5.0796807579701966E-2</c:v>
                </c:pt>
                <c:pt idx="209">
                  <c:v>-8.578142595193898E-2</c:v>
                </c:pt>
                <c:pt idx="210">
                  <c:v>-0.12038020157661222</c:v>
                </c:pt>
                <c:pt idx="211">
                  <c:v>-0.15458078047174195</c:v>
                </c:pt>
                <c:pt idx="212">
                  <c:v>-0.18837963115538855</c:v>
                </c:pt>
                <c:pt idx="213">
                  <c:v>-0.22177797142720762</c:v>
                </c:pt>
                <c:pt idx="214">
                  <c:v>-0.25477461767172621</c:v>
                </c:pt>
                <c:pt idx="215">
                  <c:v>-0.28736059399871405</c:v>
                </c:pt>
                <c:pt idx="216">
                  <c:v>-0.31952313633042068</c:v>
                </c:pt>
                <c:pt idx="217">
                  <c:v>-0.35125301144159393</c:v>
                </c:pt>
                <c:pt idx="218">
                  <c:v>-0.38254933543373271</c:v>
                </c:pt>
                <c:pt idx="219">
                  <c:v>-0.41340958700938951</c:v>
                </c:pt>
                <c:pt idx="220">
                  <c:v>-0.44382984710708878</c:v>
                </c:pt>
                <c:pt idx="221">
                  <c:v>-0.47380758057596067</c:v>
                </c:pt>
                <c:pt idx="222">
                  <c:v>-0.50333859625967414</c:v>
                </c:pt>
                <c:pt idx="223">
                  <c:v>-0.53241765251284234</c:v>
                </c:pt>
                <c:pt idx="224">
                  <c:v>-0.56103948072038756</c:v>
                </c:pt>
                <c:pt idx="225">
                  <c:v>-0.58920029383990014</c:v>
                </c:pt>
                <c:pt idx="226">
                  <c:v>-0.61689459529760893</c:v>
                </c:pt>
                <c:pt idx="227">
                  <c:v>-0.64411766255819813</c:v>
                </c:pt>
                <c:pt idx="228">
                  <c:v>-0.67085904406885966</c:v>
                </c:pt>
                <c:pt idx="229">
                  <c:v>-0.69711179568553083</c:v>
                </c:pt>
                <c:pt idx="230">
                  <c:v>-0.72287316968851167</c:v>
                </c:pt>
                <c:pt idx="231">
                  <c:v>-0.74814335566667378</c:v>
                </c:pt>
                <c:pt idx="232">
                  <c:v>-0.77292318011846528</c:v>
                </c:pt>
                <c:pt idx="233">
                  <c:v>-0.7972098761139178</c:v>
                </c:pt>
                <c:pt idx="234">
                  <c:v>-0.82099781567206342</c:v>
                </c:pt>
                <c:pt idx="235">
                  <c:v>-0.84428141227435238</c:v>
                </c:pt>
                <c:pt idx="236">
                  <c:v>-0.8670571157817174</c:v>
                </c:pt>
                <c:pt idx="237">
                  <c:v>-0.88931921551513193</c:v>
                </c:pt>
                <c:pt idx="238">
                  <c:v>-0.91105650918393888</c:v>
                </c:pt>
                <c:pt idx="239">
                  <c:v>-0.93226614520778395</c:v>
                </c:pt>
                <c:pt idx="240">
                  <c:v>-0.95294425592870036</c:v>
                </c:pt>
                <c:pt idx="241">
                  <c:v>-0.9730893085115585</c:v>
                </c:pt>
                <c:pt idx="242">
                  <c:v>-0.99269387798561393</c:v>
                </c:pt>
                <c:pt idx="243">
                  <c:v>-1.0117497138345981</c:v>
                </c:pt>
                <c:pt idx="244">
                  <c:v>-1.0302556209310529</c:v>
                </c:pt>
                <c:pt idx="245">
                  <c:v>-1.0482114268534155</c:v>
                </c:pt>
                <c:pt idx="246">
                  <c:v>-1.0656151217851106</c:v>
                </c:pt>
                <c:pt idx="247">
                  <c:v>-1.0824645397539947</c:v>
                </c:pt>
                <c:pt idx="248">
                  <c:v>-1.0987561727552839</c:v>
                </c:pt>
                <c:pt idx="249">
                  <c:v>-1.1144852119595297</c:v>
                </c:pt>
                <c:pt idx="250">
                  <c:v>-1.1296520743366316</c:v>
                </c:pt>
                <c:pt idx="251">
                  <c:v>-1.1442586005089854</c:v>
                </c:pt>
                <c:pt idx="252">
                  <c:v>-1.1582975076363937</c:v>
                </c:pt>
                <c:pt idx="253">
                  <c:v>-1.1717598371997853</c:v>
                </c:pt>
                <c:pt idx="254">
                  <c:v>-1.1846428261514004</c:v>
                </c:pt>
                <c:pt idx="255">
                  <c:v>-1.1969464916278925</c:v>
                </c:pt>
                <c:pt idx="256">
                  <c:v>-1.2086708868386977</c:v>
                </c:pt>
                <c:pt idx="257">
                  <c:v>-1.2198130651313879</c:v>
                </c:pt>
                <c:pt idx="258">
                  <c:v>-1.2303782182717156</c:v>
                </c:pt>
                <c:pt idx="259">
                  <c:v>-1.2403685114182552</c:v>
                </c:pt>
                <c:pt idx="260">
                  <c:v>-1.2497794333426269</c:v>
                </c:pt>
                <c:pt idx="261">
                  <c:v>-1.2586071539480796</c:v>
                </c:pt>
                <c:pt idx="262">
                  <c:v>-1.2668511073018276</c:v>
                </c:pt>
                <c:pt idx="263">
                  <c:v>-1.274515214544766</c:v>
                </c:pt>
                <c:pt idx="264">
                  <c:v>-1.281598734831995</c:v>
                </c:pt>
                <c:pt idx="265">
                  <c:v>-1.2881018725589211</c:v>
                </c:pt>
                <c:pt idx="266">
                  <c:v>-1.294024381335406</c:v>
                </c:pt>
                <c:pt idx="267">
                  <c:v>-1.2993649564982659</c:v>
                </c:pt>
                <c:pt idx="268">
                  <c:v>-1.3041304156397391</c:v>
                </c:pt>
                <c:pt idx="269">
                  <c:v>-1.3083232711937567</c:v>
                </c:pt>
                <c:pt idx="270">
                  <c:v>-1.3119460771943379</c:v>
                </c:pt>
                <c:pt idx="271">
                  <c:v>-1.3149995208642447</c:v>
                </c:pt>
                <c:pt idx="272">
                  <c:v>-1.3174832916884327</c:v>
                </c:pt>
                <c:pt idx="273">
                  <c:v>-1.3194021313692192</c:v>
                </c:pt>
                <c:pt idx="274">
                  <c:v>-1.3207646345055064</c:v>
                </c:pt>
                <c:pt idx="275">
                  <c:v>-1.3215752785469226</c:v>
                </c:pt>
                <c:pt idx="276">
                  <c:v>-1.3218331767643756</c:v>
                </c:pt>
                <c:pt idx="277">
                  <c:v>-1.321540564811287</c:v>
                </c:pt>
                <c:pt idx="278">
                  <c:v>-1.320704363327754</c:v>
                </c:pt>
                <c:pt idx="279">
                  <c:v>-1.3193290078693323</c:v>
                </c:pt>
                <c:pt idx="280">
                  <c:v>-1.3174179969680928</c:v>
                </c:pt>
                <c:pt idx="281">
                  <c:v>-1.3149766719946434</c:v>
                </c:pt>
                <c:pt idx="282">
                  <c:v>-1.3120103099472644</c:v>
                </c:pt>
                <c:pt idx="283">
                  <c:v>-1.3085244665054991</c:v>
                </c:pt>
                <c:pt idx="284">
                  <c:v>-1.3045293193308691</c:v>
                </c:pt>
                <c:pt idx="285">
                  <c:v>-1.3000333369304073</c:v>
                </c:pt>
                <c:pt idx="286">
                  <c:v>-1.2950382831252989</c:v>
                </c:pt>
                <c:pt idx="287">
                  <c:v>-1.2895504646370268</c:v>
                </c:pt>
                <c:pt idx="288">
                  <c:v>-1.2835756189214234</c:v>
                </c:pt>
                <c:pt idx="289">
                  <c:v>-1.2771196464940866</c:v>
                </c:pt>
                <c:pt idx="290">
                  <c:v>-1.2701883103984111</c:v>
                </c:pt>
                <c:pt idx="291">
                  <c:v>-1.26278845096526</c:v>
                </c:pt>
                <c:pt idx="292">
                  <c:v>-1.2549283670792843</c:v>
                </c:pt>
                <c:pt idx="293">
                  <c:v>-1.2466135656470914</c:v>
                </c:pt>
                <c:pt idx="294">
                  <c:v>-1.2378532087405416</c:v>
                </c:pt>
                <c:pt idx="295">
                  <c:v>-1.2286595321634972</c:v>
                </c:pt>
                <c:pt idx="296">
                  <c:v>-1.2190416217589053</c:v>
                </c:pt>
                <c:pt idx="297">
                  <c:v>-1.209009128277049</c:v>
                </c:pt>
                <c:pt idx="298">
                  <c:v>-1.1985667984074253</c:v>
                </c:pt>
                <c:pt idx="299">
                  <c:v>-1.1877186235269002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737-4C9B-80F3-A60303DDE51D}"/>
            </c:ext>
          </c:extLst>
        </c:ser>
        <c:ser>
          <c:idx val="9"/>
          <c:order val="8"/>
          <c:tx>
            <c:strRef>
              <c:f>VW!$AB$79</c:f>
              <c:strCache>
                <c:ptCount val="1"/>
                <c:pt idx="0">
                  <c:v>D9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VW!$AB$80:$AB$379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737-4C9B-80F3-A60303DDE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60928"/>
        <c:axId val="494961320"/>
      </c:scatterChart>
      <c:scatterChart>
        <c:scatterStyle val="smoothMarker"/>
        <c:varyColors val="0"/>
        <c:ser>
          <c:idx val="8"/>
          <c:order val="9"/>
          <c:tx>
            <c:strRef>
              <c:f>VW!$C$79</c:f>
              <c:strCache>
                <c:ptCount val="1"/>
                <c:pt idx="0">
                  <c:v>Force</c:v>
                </c:pt>
              </c:strCache>
            </c:strRef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VW!$B$80:$B$379</c:f>
              <c:numCache>
                <c:formatCode>General</c:formatCode>
                <c:ptCount val="300"/>
                <c:pt idx="0">
                  <c:v>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VW!$C$80:$C$379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74.268306969999998</c:v>
                </c:pt>
                <c:pt idx="22">
                  <c:v>445.61740909999997</c:v>
                </c:pt>
                <c:pt idx="23">
                  <c:v>931.08347979999996</c:v>
                </c:pt>
                <c:pt idx="24">
                  <c:v>1413.580363</c:v>
                </c:pt>
                <c:pt idx="25">
                  <c:v>1863.387698</c:v>
                </c:pt>
                <c:pt idx="26">
                  <c:v>2211.7884009999998</c:v>
                </c:pt>
                <c:pt idx="27">
                  <c:v>2471.5337049999998</c:v>
                </c:pt>
                <c:pt idx="28">
                  <c:v>2796.7669599999999</c:v>
                </c:pt>
                <c:pt idx="29">
                  <c:v>3211.4172229999999</c:v>
                </c:pt>
                <c:pt idx="30">
                  <c:v>3515.8008789999999</c:v>
                </c:pt>
                <c:pt idx="31">
                  <c:v>3736.267194</c:v>
                </c:pt>
                <c:pt idx="32">
                  <c:v>3960.55</c:v>
                </c:pt>
                <c:pt idx="33">
                  <c:v>4201.2281199999998</c:v>
                </c:pt>
                <c:pt idx="34">
                  <c:v>4409.1156410000003</c:v>
                </c:pt>
                <c:pt idx="35">
                  <c:v>4659.0546569999997</c:v>
                </c:pt>
                <c:pt idx="36">
                  <c:v>4935.4553599999999</c:v>
                </c:pt>
                <c:pt idx="37">
                  <c:v>5163.9314770000001</c:v>
                </c:pt>
                <c:pt idx="38">
                  <c:v>5392.411599</c:v>
                </c:pt>
                <c:pt idx="39">
                  <c:v>5672.2710020000004</c:v>
                </c:pt>
                <c:pt idx="40">
                  <c:v>5943.9071510000003</c:v>
                </c:pt>
                <c:pt idx="41">
                  <c:v>6173.1517869999998</c:v>
                </c:pt>
                <c:pt idx="42">
                  <c:v>6349.8</c:v>
                </c:pt>
                <c:pt idx="43">
                  <c:v>6530.7316929999997</c:v>
                </c:pt>
                <c:pt idx="44">
                  <c:v>6673.4991209999998</c:v>
                </c:pt>
                <c:pt idx="45">
                  <c:v>6816.3314769999997</c:v>
                </c:pt>
                <c:pt idx="46">
                  <c:v>6959.1741069999998</c:v>
                </c:pt>
                <c:pt idx="47">
                  <c:v>7077.5033409999996</c:v>
                </c:pt>
                <c:pt idx="48">
                  <c:v>7214.2892789999996</c:v>
                </c:pt>
                <c:pt idx="49">
                  <c:v>7359.3578209999996</c:v>
                </c:pt>
                <c:pt idx="50">
                  <c:v>7544.8116060000002</c:v>
                </c:pt>
                <c:pt idx="51">
                  <c:v>7697.5352670000002</c:v>
                </c:pt>
                <c:pt idx="52">
                  <c:v>7817.4884009999996</c:v>
                </c:pt>
                <c:pt idx="53">
                  <c:v>7956.1700639999999</c:v>
                </c:pt>
                <c:pt idx="54">
                  <c:v>8070.3165200000003</c:v>
                </c:pt>
                <c:pt idx="55">
                  <c:v>8162.511606</c:v>
                </c:pt>
                <c:pt idx="56">
                  <c:v>8219.6410660000001</c:v>
                </c:pt>
                <c:pt idx="57">
                  <c:v>8276.7799059999998</c:v>
                </c:pt>
                <c:pt idx="58">
                  <c:v>8333.8870459999998</c:v>
                </c:pt>
                <c:pt idx="59">
                  <c:v>8422.2082599999994</c:v>
                </c:pt>
                <c:pt idx="60">
                  <c:v>8544.0848179999994</c:v>
                </c:pt>
                <c:pt idx="61">
                  <c:v>8675.1363799999999</c:v>
                </c:pt>
                <c:pt idx="62">
                  <c:v>8773.3625069999998</c:v>
                </c:pt>
                <c:pt idx="63">
                  <c:v>8838.835932</c:v>
                </c:pt>
                <c:pt idx="64">
                  <c:v>8896</c:v>
                </c:pt>
                <c:pt idx="65">
                  <c:v>8948.8906210000005</c:v>
                </c:pt>
                <c:pt idx="66">
                  <c:v>8960.7093729999997</c:v>
                </c:pt>
                <c:pt idx="67">
                  <c:v>8944.7000000000007</c:v>
                </c:pt>
                <c:pt idx="68">
                  <c:v>8927.9919699999991</c:v>
                </c:pt>
                <c:pt idx="69">
                  <c:v>8899.4305800000002</c:v>
                </c:pt>
                <c:pt idx="70">
                  <c:v>8895.2419699999991</c:v>
                </c:pt>
                <c:pt idx="71">
                  <c:v>8876.5600470000008</c:v>
                </c:pt>
                <c:pt idx="72">
                  <c:v>8896</c:v>
                </c:pt>
                <c:pt idx="73">
                  <c:v>8909.3441970000003</c:v>
                </c:pt>
                <c:pt idx="74">
                  <c:v>8920.4</c:v>
                </c:pt>
                <c:pt idx="75">
                  <c:v>8942.037961</c:v>
                </c:pt>
                <c:pt idx="76">
                  <c:v>8892.9410659999994</c:v>
                </c:pt>
                <c:pt idx="77">
                  <c:v>8830.0705330000001</c:v>
                </c:pt>
                <c:pt idx="78">
                  <c:v>8754.3174089999993</c:v>
                </c:pt>
                <c:pt idx="79">
                  <c:v>8683.1330400000006</c:v>
                </c:pt>
                <c:pt idx="80">
                  <c:v>8579.1892790000002</c:v>
                </c:pt>
                <c:pt idx="81">
                  <c:v>8464.9011140000002</c:v>
                </c:pt>
                <c:pt idx="82">
                  <c:v>8323.9834800000008</c:v>
                </c:pt>
                <c:pt idx="83">
                  <c:v>8194.1629539999994</c:v>
                </c:pt>
                <c:pt idx="84">
                  <c:v>8108.4107210000002</c:v>
                </c:pt>
                <c:pt idx="85">
                  <c:v>8007.8975399999999</c:v>
                </c:pt>
                <c:pt idx="86">
                  <c:v>7893.6174090000004</c:v>
                </c:pt>
                <c:pt idx="87">
                  <c:v>7756.2082600000003</c:v>
                </c:pt>
                <c:pt idx="88">
                  <c:v>7588.9928490000002</c:v>
                </c:pt>
                <c:pt idx="89">
                  <c:v>7446.1941999999999</c:v>
                </c:pt>
                <c:pt idx="90">
                  <c:v>7291.9821320000001</c:v>
                </c:pt>
                <c:pt idx="91">
                  <c:v>7105</c:v>
                </c:pt>
                <c:pt idx="92">
                  <c:v>6944.6517869999998</c:v>
                </c:pt>
                <c:pt idx="93">
                  <c:v>6777.9124780000002</c:v>
                </c:pt>
                <c:pt idx="94">
                  <c:v>6585.9330399999999</c:v>
                </c:pt>
                <c:pt idx="95">
                  <c:v>6435.1374930000002</c:v>
                </c:pt>
                <c:pt idx="96">
                  <c:v>6275.95</c:v>
                </c:pt>
                <c:pt idx="97">
                  <c:v>6133.0906269999996</c:v>
                </c:pt>
                <c:pt idx="98">
                  <c:v>6010.8504389999998</c:v>
                </c:pt>
                <c:pt idx="99">
                  <c:v>5847.8578209999996</c:v>
                </c:pt>
                <c:pt idx="100">
                  <c:v>5724.4928529999997</c:v>
                </c:pt>
                <c:pt idx="101">
                  <c:v>5553.1674089999997</c:v>
                </c:pt>
                <c:pt idx="102">
                  <c:v>5368.8</c:v>
                </c:pt>
                <c:pt idx="103">
                  <c:v>5220.328998</c:v>
                </c:pt>
                <c:pt idx="104">
                  <c:v>5063.3660609999997</c:v>
                </c:pt>
                <c:pt idx="105">
                  <c:v>4914.1611599999997</c:v>
                </c:pt>
                <c:pt idx="106">
                  <c:v>4701.6477729999997</c:v>
                </c:pt>
                <c:pt idx="107">
                  <c:v>4606.3999999999996</c:v>
                </c:pt>
                <c:pt idx="108">
                  <c:v>4579.0115990000004</c:v>
                </c:pt>
                <c:pt idx="109">
                  <c:v>4396.5580300000001</c:v>
                </c:pt>
                <c:pt idx="110">
                  <c:v>4095.329467</c:v>
                </c:pt>
                <c:pt idx="111">
                  <c:v>3816.9966589999999</c:v>
                </c:pt>
                <c:pt idx="112">
                  <c:v>3686.3142939999998</c:v>
                </c:pt>
                <c:pt idx="113">
                  <c:v>3590.3752199999999</c:v>
                </c:pt>
                <c:pt idx="114">
                  <c:v>3476.1058029999999</c:v>
                </c:pt>
                <c:pt idx="115">
                  <c:v>3417.8942000000002</c:v>
                </c:pt>
                <c:pt idx="116">
                  <c:v>3343.588401</c:v>
                </c:pt>
                <c:pt idx="117">
                  <c:v>3149.710955</c:v>
                </c:pt>
                <c:pt idx="118">
                  <c:v>2963.5504390000001</c:v>
                </c:pt>
                <c:pt idx="119">
                  <c:v>2776.5883939999999</c:v>
                </c:pt>
                <c:pt idx="120">
                  <c:v>2565.2142939999999</c:v>
                </c:pt>
                <c:pt idx="121">
                  <c:v>2471.520094</c:v>
                </c:pt>
                <c:pt idx="122">
                  <c:v>2367.129015</c:v>
                </c:pt>
                <c:pt idx="123">
                  <c:v>2148.63058</c:v>
                </c:pt>
                <c:pt idx="124">
                  <c:v>1954.384818</c:v>
                </c:pt>
                <c:pt idx="125">
                  <c:v>1768.184827</c:v>
                </c:pt>
                <c:pt idx="126">
                  <c:v>1730.5</c:v>
                </c:pt>
                <c:pt idx="127">
                  <c:v>1669.871864</c:v>
                </c:pt>
                <c:pt idx="128">
                  <c:v>1511.1</c:v>
                </c:pt>
                <c:pt idx="129">
                  <c:v>1388.4906209999999</c:v>
                </c:pt>
                <c:pt idx="130">
                  <c:v>1217.090627</c:v>
                </c:pt>
                <c:pt idx="131">
                  <c:v>1070.83638</c:v>
                </c:pt>
                <c:pt idx="132">
                  <c:v>939.8535756</c:v>
                </c:pt>
                <c:pt idx="133">
                  <c:v>734.21652019999999</c:v>
                </c:pt>
                <c:pt idx="134">
                  <c:v>606.27098479999995</c:v>
                </c:pt>
                <c:pt idx="135">
                  <c:v>491.98014060000003</c:v>
                </c:pt>
                <c:pt idx="136">
                  <c:v>368.63391919999998</c:v>
                </c:pt>
                <c:pt idx="137">
                  <c:v>239.17790149999999</c:v>
                </c:pt>
                <c:pt idx="138">
                  <c:v>72.371880489999995</c:v>
                </c:pt>
                <c:pt idx="139">
                  <c:v>-40.691974219999999</c:v>
                </c:pt>
                <c:pt idx="140">
                  <c:v>-73.099999999999994</c:v>
                </c:pt>
                <c:pt idx="141">
                  <c:v>-90.229466900000006</c:v>
                </c:pt>
                <c:pt idx="142">
                  <c:v>-166.02321219999999</c:v>
                </c:pt>
                <c:pt idx="143">
                  <c:v>-251.3752197</c:v>
                </c:pt>
                <c:pt idx="144">
                  <c:v>-329.01786759999999</c:v>
                </c:pt>
                <c:pt idx="145">
                  <c:v>-341.2</c:v>
                </c:pt>
                <c:pt idx="146">
                  <c:v>-341.2</c:v>
                </c:pt>
                <c:pt idx="147">
                  <c:v>-328.26852289999999</c:v>
                </c:pt>
                <c:pt idx="148">
                  <c:v>-281.82231990000002</c:v>
                </c:pt>
                <c:pt idx="149">
                  <c:v>-268.10000000000002</c:v>
                </c:pt>
                <c:pt idx="150">
                  <c:v>-287.16518170000001</c:v>
                </c:pt>
                <c:pt idx="151">
                  <c:v>-269.24352670000002</c:v>
                </c:pt>
                <c:pt idx="152">
                  <c:v>-240.66606100000001</c:v>
                </c:pt>
                <c:pt idx="153">
                  <c:v>-212.1528998</c:v>
                </c:pt>
                <c:pt idx="154">
                  <c:v>-183.56473349999999</c:v>
                </c:pt>
                <c:pt idx="155">
                  <c:v>-186.23259089999999</c:v>
                </c:pt>
                <c:pt idx="156">
                  <c:v>-175.17410659999999</c:v>
                </c:pt>
                <c:pt idx="157">
                  <c:v>-170.6</c:v>
                </c:pt>
                <c:pt idx="158">
                  <c:v>-150.0165202</c:v>
                </c:pt>
                <c:pt idx="159">
                  <c:v>-170.6</c:v>
                </c:pt>
                <c:pt idx="160">
                  <c:v>-182.8</c:v>
                </c:pt>
                <c:pt idx="161">
                  <c:v>-178.60468660000001</c:v>
                </c:pt>
                <c:pt idx="162">
                  <c:v>-191.18347979999999</c:v>
                </c:pt>
                <c:pt idx="163">
                  <c:v>-170.2140598</c:v>
                </c:pt>
                <c:pt idx="164">
                  <c:v>-146.19999999999999</c:v>
                </c:pt>
                <c:pt idx="165">
                  <c:v>-137.46852290000001</c:v>
                </c:pt>
                <c:pt idx="166">
                  <c:v>-108.9352665</c:v>
                </c:pt>
                <c:pt idx="167">
                  <c:v>-97.5</c:v>
                </c:pt>
                <c:pt idx="168">
                  <c:v>-76.146424379999999</c:v>
                </c:pt>
                <c:pt idx="169">
                  <c:v>-73.099999999999994</c:v>
                </c:pt>
                <c:pt idx="170">
                  <c:v>-78.434818289999995</c:v>
                </c:pt>
                <c:pt idx="171">
                  <c:v>-87.965846510000006</c:v>
                </c:pt>
                <c:pt idx="172">
                  <c:v>-86.822319859999993</c:v>
                </c:pt>
                <c:pt idx="173">
                  <c:v>-97.5</c:v>
                </c:pt>
                <c:pt idx="174">
                  <c:v>-97.5</c:v>
                </c:pt>
                <c:pt idx="175">
                  <c:v>-52.504454870000004</c:v>
                </c:pt>
                <c:pt idx="176">
                  <c:v>-85.292852960000005</c:v>
                </c:pt>
                <c:pt idx="177">
                  <c:v>-58.991739889999998</c:v>
                </c:pt>
                <c:pt idx="178">
                  <c:v>-58.611606100000003</c:v>
                </c:pt>
                <c:pt idx="179">
                  <c:v>-86.064733450000006</c:v>
                </c:pt>
                <c:pt idx="180">
                  <c:v>-74.629466899999997</c:v>
                </c:pt>
                <c:pt idx="181">
                  <c:v>-70.42700644</c:v>
                </c:pt>
                <c:pt idx="182">
                  <c:v>-48.7</c:v>
                </c:pt>
                <c:pt idx="183">
                  <c:v>-48.7</c:v>
                </c:pt>
                <c:pt idx="184">
                  <c:v>-48.7</c:v>
                </c:pt>
                <c:pt idx="185">
                  <c:v>-29.3397188</c:v>
                </c:pt>
                <c:pt idx="186">
                  <c:v>-24.4</c:v>
                </c:pt>
                <c:pt idx="187">
                  <c:v>-48.7</c:v>
                </c:pt>
                <c:pt idx="188">
                  <c:v>-33.48481829</c:v>
                </c:pt>
                <c:pt idx="189">
                  <c:v>-23.59396602</c:v>
                </c:pt>
                <c:pt idx="190">
                  <c:v>-64.709373170000006</c:v>
                </c:pt>
                <c:pt idx="191">
                  <c:v>-52.890621340000003</c:v>
                </c:pt>
                <c:pt idx="192">
                  <c:v>-48.7</c:v>
                </c:pt>
                <c:pt idx="193">
                  <c:v>-28.573446659999998</c:v>
                </c:pt>
                <c:pt idx="194">
                  <c:v>-57.090626829999998</c:v>
                </c:pt>
                <c:pt idx="195">
                  <c:v>-60.521206800000002</c:v>
                </c:pt>
                <c:pt idx="196">
                  <c:v>-48.7</c:v>
                </c:pt>
                <c:pt idx="197">
                  <c:v>-27.81652021</c:v>
                </c:pt>
                <c:pt idx="198">
                  <c:v>-73.099999999999994</c:v>
                </c:pt>
                <c:pt idx="199">
                  <c:v>-78.060046869999994</c:v>
                </c:pt>
                <c:pt idx="200">
                  <c:v>-88.351786759999996</c:v>
                </c:pt>
                <c:pt idx="201">
                  <c:v>-86.444196950000006</c:v>
                </c:pt>
                <c:pt idx="202">
                  <c:v>-62.422319860000002</c:v>
                </c:pt>
                <c:pt idx="203">
                  <c:v>-70.42700644</c:v>
                </c:pt>
                <c:pt idx="204">
                  <c:v>-74.629466899999997</c:v>
                </c:pt>
                <c:pt idx="205">
                  <c:v>-91.782366730000007</c:v>
                </c:pt>
                <c:pt idx="206">
                  <c:v>-63.188393900000001</c:v>
                </c:pt>
                <c:pt idx="207">
                  <c:v>-48.7</c:v>
                </c:pt>
                <c:pt idx="208">
                  <c:v>-66.996426479999997</c:v>
                </c:pt>
                <c:pt idx="209">
                  <c:v>-73.099999999999994</c:v>
                </c:pt>
                <c:pt idx="210">
                  <c:v>-119.61294669999999</c:v>
                </c:pt>
                <c:pt idx="211">
                  <c:v>-97.5</c:v>
                </c:pt>
                <c:pt idx="212">
                  <c:v>-76.144639720000001</c:v>
                </c:pt>
                <c:pt idx="213">
                  <c:v>-48.7</c:v>
                </c:pt>
                <c:pt idx="214">
                  <c:v>-67.765181709999993</c:v>
                </c:pt>
                <c:pt idx="215">
                  <c:v>-96.356473350000002</c:v>
                </c:pt>
                <c:pt idx="216">
                  <c:v>-118.8535756</c:v>
                </c:pt>
                <c:pt idx="217">
                  <c:v>-97.5</c:v>
                </c:pt>
                <c:pt idx="218">
                  <c:v>-108.9352665</c:v>
                </c:pt>
                <c:pt idx="219">
                  <c:v>-106.26740909999999</c:v>
                </c:pt>
                <c:pt idx="220">
                  <c:v>-97.5</c:v>
                </c:pt>
                <c:pt idx="221">
                  <c:v>-97.5</c:v>
                </c:pt>
                <c:pt idx="222">
                  <c:v>-97.5</c:v>
                </c:pt>
                <c:pt idx="223">
                  <c:v>-97.5</c:v>
                </c:pt>
                <c:pt idx="224">
                  <c:v>-85.3</c:v>
                </c:pt>
                <c:pt idx="225">
                  <c:v>-89.495313420000002</c:v>
                </c:pt>
                <c:pt idx="226">
                  <c:v>-76.916520210000002</c:v>
                </c:pt>
                <c:pt idx="227">
                  <c:v>-121.9</c:v>
                </c:pt>
                <c:pt idx="228">
                  <c:v>-126.4553603</c:v>
                </c:pt>
                <c:pt idx="229">
                  <c:v>-137.46852290000001</c:v>
                </c:pt>
                <c:pt idx="230">
                  <c:v>-121.9</c:v>
                </c:pt>
                <c:pt idx="231">
                  <c:v>-104.74710020000001</c:v>
                </c:pt>
                <c:pt idx="232">
                  <c:v>-97.5</c:v>
                </c:pt>
                <c:pt idx="233">
                  <c:v>-97.5</c:v>
                </c:pt>
                <c:pt idx="234">
                  <c:v>-92.165181709999999</c:v>
                </c:pt>
                <c:pt idx="235">
                  <c:v>-73.099999999999994</c:v>
                </c:pt>
                <c:pt idx="236">
                  <c:v>-73.099999999999994</c:v>
                </c:pt>
                <c:pt idx="237">
                  <c:v>-108.9419695</c:v>
                </c:pt>
                <c:pt idx="238">
                  <c:v>-77.674106620000003</c:v>
                </c:pt>
                <c:pt idx="239">
                  <c:v>-93.695545129999999</c:v>
                </c:pt>
                <c:pt idx="240">
                  <c:v>-60.907147039999998</c:v>
                </c:pt>
                <c:pt idx="241">
                  <c:v>-97.5</c:v>
                </c:pt>
                <c:pt idx="242">
                  <c:v>-111.98839390000001</c:v>
                </c:pt>
                <c:pt idx="243">
                  <c:v>-103.2176333</c:v>
                </c:pt>
                <c:pt idx="244">
                  <c:v>-97.5</c:v>
                </c:pt>
                <c:pt idx="245">
                  <c:v>-97.5</c:v>
                </c:pt>
                <c:pt idx="246">
                  <c:v>-90.638840070000001</c:v>
                </c:pt>
                <c:pt idx="247">
                  <c:v>-95.211606099999997</c:v>
                </c:pt>
                <c:pt idx="248">
                  <c:v>-106.6482132</c:v>
                </c:pt>
                <c:pt idx="249">
                  <c:v>-78.060046869999994</c:v>
                </c:pt>
                <c:pt idx="250">
                  <c:v>-49.458030479999998</c:v>
                </c:pt>
                <c:pt idx="251">
                  <c:v>-76.530579959999997</c:v>
                </c:pt>
                <c:pt idx="252">
                  <c:v>-97.5</c:v>
                </c:pt>
                <c:pt idx="253">
                  <c:v>-97.5</c:v>
                </c:pt>
                <c:pt idx="254">
                  <c:v>-97.5</c:v>
                </c:pt>
                <c:pt idx="255">
                  <c:v>-97.5</c:v>
                </c:pt>
                <c:pt idx="256">
                  <c:v>-121.9</c:v>
                </c:pt>
                <c:pt idx="257">
                  <c:v>-73.099999999999994</c:v>
                </c:pt>
                <c:pt idx="258">
                  <c:v>-73.099999999999994</c:v>
                </c:pt>
                <c:pt idx="259">
                  <c:v>-85.678793200000001</c:v>
                </c:pt>
                <c:pt idx="260">
                  <c:v>-97.5</c:v>
                </c:pt>
                <c:pt idx="261">
                  <c:v>-97.5</c:v>
                </c:pt>
                <c:pt idx="262">
                  <c:v>-73.858030479999996</c:v>
                </c:pt>
                <c:pt idx="263">
                  <c:v>-92.539953130000001</c:v>
                </c:pt>
                <c:pt idx="264">
                  <c:v>-82.248213239999998</c:v>
                </c:pt>
                <c:pt idx="265">
                  <c:v>-97.5</c:v>
                </c:pt>
                <c:pt idx="266">
                  <c:v>-115.0388401</c:v>
                </c:pt>
                <c:pt idx="267">
                  <c:v>-78.445987110000004</c:v>
                </c:pt>
                <c:pt idx="268">
                  <c:v>-95.970533099999997</c:v>
                </c:pt>
                <c:pt idx="269">
                  <c:v>-78.817633270000002</c:v>
                </c:pt>
                <c:pt idx="270">
                  <c:v>-97.5</c:v>
                </c:pt>
                <c:pt idx="271">
                  <c:v>-111.6082601</c:v>
                </c:pt>
                <c:pt idx="272">
                  <c:v>-103.6035735</c:v>
                </c:pt>
                <c:pt idx="273">
                  <c:v>-75.002227430000005</c:v>
                </c:pt>
                <c:pt idx="274">
                  <c:v>-75.387053309999999</c:v>
                </c:pt>
                <c:pt idx="275">
                  <c:v>-97.5</c:v>
                </c:pt>
                <c:pt idx="276">
                  <c:v>-97.5</c:v>
                </c:pt>
                <c:pt idx="277">
                  <c:v>-82.634153490000003</c:v>
                </c:pt>
                <c:pt idx="278">
                  <c:v>-92.165181709999999</c:v>
                </c:pt>
                <c:pt idx="279">
                  <c:v>-97.5</c:v>
                </c:pt>
                <c:pt idx="280">
                  <c:v>-97.5</c:v>
                </c:pt>
                <c:pt idx="281">
                  <c:v>-104.74710020000001</c:v>
                </c:pt>
                <c:pt idx="282">
                  <c:v>-110.46473349999999</c:v>
                </c:pt>
                <c:pt idx="283">
                  <c:v>-81.867409140000007</c:v>
                </c:pt>
                <c:pt idx="284">
                  <c:v>-73.099999999999994</c:v>
                </c:pt>
                <c:pt idx="285">
                  <c:v>-97.114059749999996</c:v>
                </c:pt>
                <c:pt idx="286">
                  <c:v>-76.916520210000002</c:v>
                </c:pt>
                <c:pt idx="287">
                  <c:v>-89.495313420000002</c:v>
                </c:pt>
                <c:pt idx="288">
                  <c:v>-85.3</c:v>
                </c:pt>
                <c:pt idx="289">
                  <c:v>-97.5</c:v>
                </c:pt>
                <c:pt idx="290">
                  <c:v>-97.5</c:v>
                </c:pt>
                <c:pt idx="291">
                  <c:v>-97.885940250000004</c:v>
                </c:pt>
                <c:pt idx="292">
                  <c:v>-121.9</c:v>
                </c:pt>
                <c:pt idx="293">
                  <c:v>-113.1325909</c:v>
                </c:pt>
                <c:pt idx="294">
                  <c:v>-97.5</c:v>
                </c:pt>
                <c:pt idx="295">
                  <c:v>-97.5</c:v>
                </c:pt>
                <c:pt idx="296">
                  <c:v>-76.146424379999999</c:v>
                </c:pt>
                <c:pt idx="297">
                  <c:v>-98.643526649999998</c:v>
                </c:pt>
                <c:pt idx="298">
                  <c:v>-111.2303634</c:v>
                </c:pt>
                <c:pt idx="299">
                  <c:v>-82.634153490000003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737-4C9B-80F3-A60303DDE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62104"/>
        <c:axId val="494961712"/>
      </c:scatterChart>
      <c:valAx>
        <c:axId val="494960928"/>
        <c:scaling>
          <c:orientation val="minMax"/>
          <c:max val="6.0000000000000012E-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4961320"/>
        <c:crossesAt val="-2"/>
        <c:crossBetween val="midCat"/>
      </c:valAx>
      <c:valAx>
        <c:axId val="494961320"/>
        <c:scaling>
          <c:orientation val="minMax"/>
          <c:min val="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Deflections (mils)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4960928"/>
        <c:crosses val="autoZero"/>
        <c:crossBetween val="midCat"/>
      </c:valAx>
      <c:valAx>
        <c:axId val="4949617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Load (kips)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4962104"/>
        <c:crosses val="max"/>
        <c:crossBetween val="midCat"/>
      </c:valAx>
      <c:valAx>
        <c:axId val="49496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496171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tr"/>
      <c:layout>
        <c:manualLayout>
          <c:xMode val="edge"/>
          <c:yMode val="edge"/>
          <c:x val="0.6975496332189246"/>
          <c:y val="0.12785498687664043"/>
          <c:w val="0.13280991318392893"/>
          <c:h val="0.53214129483814521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Measured Deflections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VW!$D$79</c:f>
              <c:strCache>
                <c:ptCount val="1"/>
                <c:pt idx="0">
                  <c:v>D1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VW!$D$80:$D$379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1.2177500000000001E-3</c:v>
                </c:pt>
                <c:pt idx="26">
                  <c:v>7.1931460000000001E-3</c:v>
                </c:pt>
                <c:pt idx="27">
                  <c:v>1.7363072E-2</c:v>
                </c:pt>
                <c:pt idx="28">
                  <c:v>3.3775570999999997E-2</c:v>
                </c:pt>
                <c:pt idx="29">
                  <c:v>5.7072583000000003E-2</c:v>
                </c:pt>
                <c:pt idx="30">
                  <c:v>8.8195782E-2</c:v>
                </c:pt>
                <c:pt idx="31">
                  <c:v>0.12703350899999999</c:v>
                </c:pt>
                <c:pt idx="32">
                  <c:v>0.17510000000000001</c:v>
                </c:pt>
                <c:pt idx="33">
                  <c:v>0.233111189</c:v>
                </c:pt>
                <c:pt idx="34">
                  <c:v>0.30219613400000001</c:v>
                </c:pt>
                <c:pt idx="35">
                  <c:v>0.38263374300000003</c:v>
                </c:pt>
                <c:pt idx="36">
                  <c:v>0.47559683699999999</c:v>
                </c:pt>
                <c:pt idx="37">
                  <c:v>0.57964794799999997</c:v>
                </c:pt>
                <c:pt idx="38">
                  <c:v>0.69504698300000001</c:v>
                </c:pt>
                <c:pt idx="39">
                  <c:v>0.82338910399999998</c:v>
                </c:pt>
                <c:pt idx="40">
                  <c:v>0.96465551000000005</c:v>
                </c:pt>
                <c:pt idx="41">
                  <c:v>1.1177862329999999</c:v>
                </c:pt>
                <c:pt idx="42">
                  <c:v>1.28127163</c:v>
                </c:pt>
                <c:pt idx="43">
                  <c:v>1.4521254830000001</c:v>
                </c:pt>
                <c:pt idx="44">
                  <c:v>1.6278021090000001</c:v>
                </c:pt>
                <c:pt idx="45">
                  <c:v>1.8070609609999999</c:v>
                </c:pt>
                <c:pt idx="46">
                  <c:v>1.988190334</c:v>
                </c:pt>
                <c:pt idx="47">
                  <c:v>2.1695448420000001</c:v>
                </c:pt>
                <c:pt idx="48">
                  <c:v>2.3505975979999998</c:v>
                </c:pt>
                <c:pt idx="49">
                  <c:v>2.5312560629999998</c:v>
                </c:pt>
                <c:pt idx="50">
                  <c:v>2.7120400349999998</c:v>
                </c:pt>
                <c:pt idx="51">
                  <c:v>2.8927898650000001</c:v>
                </c:pt>
                <c:pt idx="52">
                  <c:v>3.072496954</c:v>
                </c:pt>
                <c:pt idx="53">
                  <c:v>3.2501666079999998</c:v>
                </c:pt>
                <c:pt idx="54">
                  <c:v>3.4245637960000002</c:v>
                </c:pt>
                <c:pt idx="55">
                  <c:v>3.5955926730000001</c:v>
                </c:pt>
                <c:pt idx="56">
                  <c:v>3.762222789</c:v>
                </c:pt>
                <c:pt idx="57">
                  <c:v>3.9238912130000001</c:v>
                </c:pt>
                <c:pt idx="58">
                  <c:v>4.080568113</c:v>
                </c:pt>
                <c:pt idx="59">
                  <c:v>4.2323840070000003</c:v>
                </c:pt>
                <c:pt idx="60">
                  <c:v>4.3807845839999997</c:v>
                </c:pt>
                <c:pt idx="61">
                  <c:v>4.5267296430000004</c:v>
                </c:pt>
                <c:pt idx="62">
                  <c:v>4.6706124779999998</c:v>
                </c:pt>
                <c:pt idx="63">
                  <c:v>4.8129842910000002</c:v>
                </c:pt>
                <c:pt idx="64">
                  <c:v>4.9535</c:v>
                </c:pt>
                <c:pt idx="65">
                  <c:v>5.0890558620000004</c:v>
                </c:pt>
                <c:pt idx="66">
                  <c:v>5.2199171059999996</c:v>
                </c:pt>
                <c:pt idx="67">
                  <c:v>5.3458878150000002</c:v>
                </c:pt>
                <c:pt idx="68">
                  <c:v>5.466994959</c:v>
                </c:pt>
                <c:pt idx="69">
                  <c:v>5.5835370830000004</c:v>
                </c:pt>
                <c:pt idx="70">
                  <c:v>5.6965233880000001</c:v>
                </c:pt>
                <c:pt idx="71">
                  <c:v>5.8067067369999998</c:v>
                </c:pt>
                <c:pt idx="72">
                  <c:v>5.9164056240000003</c:v>
                </c:pt>
                <c:pt idx="73">
                  <c:v>6.0274376910000003</c:v>
                </c:pt>
                <c:pt idx="74">
                  <c:v>6.1408834800000003</c:v>
                </c:pt>
                <c:pt idx="75">
                  <c:v>6.2560984770000001</c:v>
                </c:pt>
                <c:pt idx="76">
                  <c:v>6.3723495019999996</c:v>
                </c:pt>
                <c:pt idx="77">
                  <c:v>6.4889985939999999</c:v>
                </c:pt>
                <c:pt idx="78">
                  <c:v>6.6042026959999998</c:v>
                </c:pt>
                <c:pt idx="79">
                  <c:v>6.7167297010000002</c:v>
                </c:pt>
                <c:pt idx="80">
                  <c:v>6.8260864669999997</c:v>
                </c:pt>
                <c:pt idx="81">
                  <c:v>6.9312615470000001</c:v>
                </c:pt>
                <c:pt idx="82">
                  <c:v>7.0308485059999999</c:v>
                </c:pt>
                <c:pt idx="83">
                  <c:v>7.1256974790000003</c:v>
                </c:pt>
                <c:pt idx="84">
                  <c:v>7.2167145870000002</c:v>
                </c:pt>
                <c:pt idx="85">
                  <c:v>7.3038147630000001</c:v>
                </c:pt>
                <c:pt idx="86">
                  <c:v>7.3869170569999998</c:v>
                </c:pt>
                <c:pt idx="87">
                  <c:v>7.4666318690000004</c:v>
                </c:pt>
                <c:pt idx="88">
                  <c:v>7.5418161780000004</c:v>
                </c:pt>
                <c:pt idx="89">
                  <c:v>7.6108653779999997</c:v>
                </c:pt>
                <c:pt idx="90">
                  <c:v>7.6734078500000003</c:v>
                </c:pt>
                <c:pt idx="91">
                  <c:v>7.7299353460000004</c:v>
                </c:pt>
                <c:pt idx="92">
                  <c:v>7.7803827769999998</c:v>
                </c:pt>
                <c:pt idx="93">
                  <c:v>7.8252052719999998</c:v>
                </c:pt>
                <c:pt idx="94">
                  <c:v>7.8650052720000003</c:v>
                </c:pt>
                <c:pt idx="95">
                  <c:v>7.901776216</c:v>
                </c:pt>
                <c:pt idx="96">
                  <c:v>7.9352</c:v>
                </c:pt>
                <c:pt idx="97">
                  <c:v>7.9651297010000004</c:v>
                </c:pt>
                <c:pt idx="98">
                  <c:v>7.9930242529999997</c:v>
                </c:pt>
                <c:pt idx="99">
                  <c:v>8.0195274170000008</c:v>
                </c:pt>
                <c:pt idx="100">
                  <c:v>8.0434618039999997</c:v>
                </c:pt>
                <c:pt idx="101">
                  <c:v>8.0649006449999998</c:v>
                </c:pt>
                <c:pt idx="102">
                  <c:v>8.0831450500000006</c:v>
                </c:pt>
                <c:pt idx="103">
                  <c:v>8.0981655539999995</c:v>
                </c:pt>
                <c:pt idx="104">
                  <c:v>8.1094012899999992</c:v>
                </c:pt>
                <c:pt idx="105">
                  <c:v>8.1162218510000006</c:v>
                </c:pt>
                <c:pt idx="106">
                  <c:v>8.1185688159999998</c:v>
                </c:pt>
                <c:pt idx="107">
                  <c:v>8.1168496189999999</c:v>
                </c:pt>
                <c:pt idx="108">
                  <c:v>8.1113007029999995</c:v>
                </c:pt>
                <c:pt idx="109">
                  <c:v>8.1010084409999994</c:v>
                </c:pt>
                <c:pt idx="110">
                  <c:v>8.0854309900000008</c:v>
                </c:pt>
                <c:pt idx="111">
                  <c:v>8.0641770810000004</c:v>
                </c:pt>
                <c:pt idx="112">
                  <c:v>8.0373962510000005</c:v>
                </c:pt>
                <c:pt idx="113">
                  <c:v>8.0065163439999996</c:v>
                </c:pt>
                <c:pt idx="114">
                  <c:v>7.9730426730000001</c:v>
                </c:pt>
                <c:pt idx="115">
                  <c:v>7.9374407729999996</c:v>
                </c:pt>
                <c:pt idx="116">
                  <c:v>7.9002995900000004</c:v>
                </c:pt>
                <c:pt idx="117">
                  <c:v>7.8615548329999996</c:v>
                </c:pt>
                <c:pt idx="118">
                  <c:v>7.8196145870000002</c:v>
                </c:pt>
                <c:pt idx="119">
                  <c:v>7.7737679369999997</c:v>
                </c:pt>
                <c:pt idx="120">
                  <c:v>7.7239592850000003</c:v>
                </c:pt>
                <c:pt idx="121">
                  <c:v>7.670293204</c:v>
                </c:pt>
                <c:pt idx="122">
                  <c:v>7.6131284880000001</c:v>
                </c:pt>
                <c:pt idx="123">
                  <c:v>7.5527061509999998</c:v>
                </c:pt>
                <c:pt idx="124">
                  <c:v>7.4897165299999999</c:v>
                </c:pt>
                <c:pt idx="125">
                  <c:v>7.4243817810000001</c:v>
                </c:pt>
                <c:pt idx="126">
                  <c:v>7.3571105450000003</c:v>
                </c:pt>
                <c:pt idx="127">
                  <c:v>7.2887471860000002</c:v>
                </c:pt>
                <c:pt idx="128">
                  <c:v>7.2203999999999997</c:v>
                </c:pt>
                <c:pt idx="129">
                  <c:v>7.1510749709999999</c:v>
                </c:pt>
                <c:pt idx="130">
                  <c:v>7.0793420039999999</c:v>
                </c:pt>
                <c:pt idx="131">
                  <c:v>7.0053548919999997</c:v>
                </c:pt>
                <c:pt idx="132">
                  <c:v>6.9285076200000004</c:v>
                </c:pt>
                <c:pt idx="133">
                  <c:v>6.8489168720000002</c:v>
                </c:pt>
                <c:pt idx="134">
                  <c:v>6.7668631890000004</c:v>
                </c:pt>
                <c:pt idx="135">
                  <c:v>6.6820978909999997</c:v>
                </c:pt>
                <c:pt idx="136">
                  <c:v>6.5946930869999996</c:v>
                </c:pt>
                <c:pt idx="137">
                  <c:v>6.5042876319999996</c:v>
                </c:pt>
                <c:pt idx="138">
                  <c:v>6.4118268890000003</c:v>
                </c:pt>
                <c:pt idx="139">
                  <c:v>6.3171953719999996</c:v>
                </c:pt>
                <c:pt idx="140">
                  <c:v>6.2205910370000002</c:v>
                </c:pt>
                <c:pt idx="141">
                  <c:v>6.122946046</c:v>
                </c:pt>
                <c:pt idx="142">
                  <c:v>6.0236281360000001</c:v>
                </c:pt>
                <c:pt idx="143">
                  <c:v>5.9222068539999997</c:v>
                </c:pt>
                <c:pt idx="144">
                  <c:v>5.8178881660000004</c:v>
                </c:pt>
                <c:pt idx="145">
                  <c:v>5.710756741</c:v>
                </c:pt>
                <c:pt idx="146">
                  <c:v>5.6017079670000003</c:v>
                </c:pt>
                <c:pt idx="147">
                  <c:v>5.4914743259999996</c:v>
                </c:pt>
                <c:pt idx="148">
                  <c:v>5.3795581720000003</c:v>
                </c:pt>
                <c:pt idx="149">
                  <c:v>5.2663021680000002</c:v>
                </c:pt>
                <c:pt idx="150">
                  <c:v>5.1516704569999998</c:v>
                </c:pt>
                <c:pt idx="151">
                  <c:v>5.0360303460000004</c:v>
                </c:pt>
                <c:pt idx="152">
                  <c:v>4.9210016999999997</c:v>
                </c:pt>
                <c:pt idx="153">
                  <c:v>4.807597715</c:v>
                </c:pt>
                <c:pt idx="154">
                  <c:v>4.6947681899999996</c:v>
                </c:pt>
                <c:pt idx="155">
                  <c:v>4.5824150640000001</c:v>
                </c:pt>
                <c:pt idx="156">
                  <c:v>4.4710715289999996</c:v>
                </c:pt>
                <c:pt idx="157">
                  <c:v>4.3607868190000003</c:v>
                </c:pt>
                <c:pt idx="158">
                  <c:v>4.2524349739999998</c:v>
                </c:pt>
                <c:pt idx="159">
                  <c:v>4.1462697720000001</c:v>
                </c:pt>
                <c:pt idx="160">
                  <c:v>4.0426000000000002</c:v>
                </c:pt>
                <c:pt idx="161">
                  <c:v>3.9409460460000001</c:v>
                </c:pt>
                <c:pt idx="162">
                  <c:v>3.8420075570000001</c:v>
                </c:pt>
                <c:pt idx="163">
                  <c:v>3.7453251320000001</c:v>
                </c:pt>
                <c:pt idx="164">
                  <c:v>3.6511903929999998</c:v>
                </c:pt>
                <c:pt idx="165">
                  <c:v>3.5592604919999999</c:v>
                </c:pt>
                <c:pt idx="166">
                  <c:v>3.4696837139999999</c:v>
                </c:pt>
                <c:pt idx="167">
                  <c:v>3.382841301</c:v>
                </c:pt>
                <c:pt idx="168">
                  <c:v>3.2992271400000002</c:v>
                </c:pt>
                <c:pt idx="169">
                  <c:v>3.2184318689999998</c:v>
                </c:pt>
                <c:pt idx="170">
                  <c:v>3.1394822979999999</c:v>
                </c:pt>
                <c:pt idx="171">
                  <c:v>3.0622016400000001</c:v>
                </c:pt>
                <c:pt idx="172">
                  <c:v>2.9864383129999998</c:v>
                </c:pt>
                <c:pt idx="173">
                  <c:v>2.911955158</c:v>
                </c:pt>
                <c:pt idx="174">
                  <c:v>2.8393738719999999</c:v>
                </c:pt>
                <c:pt idx="175">
                  <c:v>2.768061372</c:v>
                </c:pt>
                <c:pt idx="176">
                  <c:v>2.6985164030000002</c:v>
                </c:pt>
                <c:pt idx="177">
                  <c:v>2.6298251320000001</c:v>
                </c:pt>
                <c:pt idx="178">
                  <c:v>2.562094783</c:v>
                </c:pt>
                <c:pt idx="179">
                  <c:v>2.4958693030000001</c:v>
                </c:pt>
                <c:pt idx="180">
                  <c:v>2.4302102520000002</c:v>
                </c:pt>
                <c:pt idx="181">
                  <c:v>2.3648200350000002</c:v>
                </c:pt>
                <c:pt idx="182">
                  <c:v>2.3000467489999998</c:v>
                </c:pt>
                <c:pt idx="183">
                  <c:v>2.2364681709999998</c:v>
                </c:pt>
                <c:pt idx="184">
                  <c:v>2.1736585819999998</c:v>
                </c:pt>
                <c:pt idx="185">
                  <c:v>2.1112942000000001</c:v>
                </c:pt>
                <c:pt idx="186">
                  <c:v>2.0492434350000002</c:v>
                </c:pt>
                <c:pt idx="187">
                  <c:v>1.987760808</c:v>
                </c:pt>
                <c:pt idx="188">
                  <c:v>1.926497597</c:v>
                </c:pt>
                <c:pt idx="189">
                  <c:v>1.8651103689999999</c:v>
                </c:pt>
                <c:pt idx="190">
                  <c:v>1.8042128879999999</c:v>
                </c:pt>
                <c:pt idx="191">
                  <c:v>1.743165182</c:v>
                </c:pt>
                <c:pt idx="192">
                  <c:v>1.6818</c:v>
                </c:pt>
                <c:pt idx="193">
                  <c:v>1.6209035169999999</c:v>
                </c:pt>
                <c:pt idx="194">
                  <c:v>1.5601183359999999</c:v>
                </c:pt>
                <c:pt idx="195">
                  <c:v>1.4990896309999999</c:v>
                </c:pt>
                <c:pt idx="196">
                  <c:v>1.4377024030000001</c:v>
                </c:pt>
                <c:pt idx="197">
                  <c:v>1.3764391920000001</c:v>
                </c:pt>
                <c:pt idx="198">
                  <c:v>1.3156814189999999</c:v>
                </c:pt>
                <c:pt idx="199">
                  <c:v>1.2545684239999999</c:v>
                </c:pt>
                <c:pt idx="200">
                  <c:v>1.193178852</c:v>
                </c:pt>
                <c:pt idx="201">
                  <c:v>1.1317521690000001</c:v>
                </c:pt>
                <c:pt idx="202">
                  <c:v>1.070865905</c:v>
                </c:pt>
                <c:pt idx="203">
                  <c:v>1.0099965440000001</c:v>
                </c:pt>
                <c:pt idx="204">
                  <c:v>0.94938435899999996</c:v>
                </c:pt>
                <c:pt idx="205">
                  <c:v>0.88939607499999995</c:v>
                </c:pt>
                <c:pt idx="206">
                  <c:v>0.82998622499999997</c:v>
                </c:pt>
                <c:pt idx="207">
                  <c:v>0.77108963100000005</c:v>
                </c:pt>
                <c:pt idx="208">
                  <c:v>0.71325717600000005</c:v>
                </c:pt>
                <c:pt idx="209">
                  <c:v>0.65618886300000001</c:v>
                </c:pt>
                <c:pt idx="210">
                  <c:v>0.59918213200000003</c:v>
                </c:pt>
                <c:pt idx="211">
                  <c:v>0.54278095000000004</c:v>
                </c:pt>
                <c:pt idx="212">
                  <c:v>0.486901054</c:v>
                </c:pt>
                <c:pt idx="213">
                  <c:v>0.43209144700000002</c:v>
                </c:pt>
                <c:pt idx="214">
                  <c:v>0.37829185199999998</c:v>
                </c:pt>
                <c:pt idx="215">
                  <c:v>0.32512302300000001</c:v>
                </c:pt>
                <c:pt idx="216">
                  <c:v>0.27276899199999999</c:v>
                </c:pt>
                <c:pt idx="217">
                  <c:v>0.22119876999999999</c:v>
                </c:pt>
                <c:pt idx="218">
                  <c:v>0.17098201499999999</c:v>
                </c:pt>
                <c:pt idx="219">
                  <c:v>0.121107034</c:v>
                </c:pt>
                <c:pt idx="220">
                  <c:v>7.1592209000000004E-2</c:v>
                </c:pt>
                <c:pt idx="221">
                  <c:v>2.2757995999999999E-2</c:v>
                </c:pt>
                <c:pt idx="222">
                  <c:v>-2.5219156E-2</c:v>
                </c:pt>
                <c:pt idx="223">
                  <c:v>-7.2356825E-2</c:v>
                </c:pt>
                <c:pt idx="224">
                  <c:v>-0.1187</c:v>
                </c:pt>
                <c:pt idx="225">
                  <c:v>-0.16430404200000001</c:v>
                </c:pt>
                <c:pt idx="226">
                  <c:v>-0.20964674899999999</c:v>
                </c:pt>
                <c:pt idx="227">
                  <c:v>-0.255002636</c:v>
                </c:pt>
                <c:pt idx="228">
                  <c:v>-0.29964235500000003</c:v>
                </c:pt>
                <c:pt idx="229">
                  <c:v>-0.34429009399999999</c:v>
                </c:pt>
                <c:pt idx="230">
                  <c:v>-0.388625308</c:v>
                </c:pt>
                <c:pt idx="231">
                  <c:v>-0.43214024600000001</c:v>
                </c:pt>
                <c:pt idx="232">
                  <c:v>-0.47486781900000002</c:v>
                </c:pt>
                <c:pt idx="233">
                  <c:v>-0.51601218500000001</c:v>
                </c:pt>
                <c:pt idx="234">
                  <c:v>-0.55616817100000004</c:v>
                </c:pt>
                <c:pt idx="235">
                  <c:v>-0.59543362600000005</c:v>
                </c:pt>
                <c:pt idx="236">
                  <c:v>-0.63382144100000004</c:v>
                </c:pt>
                <c:pt idx="237">
                  <c:v>-0.67076846400000001</c:v>
                </c:pt>
                <c:pt idx="238">
                  <c:v>-0.70655055700000002</c:v>
                </c:pt>
                <c:pt idx="239">
                  <c:v>-0.74135304800000001</c:v>
                </c:pt>
                <c:pt idx="240">
                  <c:v>-0.77507914499999997</c:v>
                </c:pt>
                <c:pt idx="241">
                  <c:v>-0.80764622100000005</c:v>
                </c:pt>
                <c:pt idx="242">
                  <c:v>-0.83834155899999996</c:v>
                </c:pt>
                <c:pt idx="243">
                  <c:v>-0.86761206800000001</c:v>
                </c:pt>
                <c:pt idx="244">
                  <c:v>-0.89645799599999998</c:v>
                </c:pt>
                <c:pt idx="245">
                  <c:v>-0.92508535400000003</c:v>
                </c:pt>
                <c:pt idx="246">
                  <c:v>-0.95256748700000005</c:v>
                </c:pt>
                <c:pt idx="247">
                  <c:v>-0.97911365800000005</c:v>
                </c:pt>
                <c:pt idx="248">
                  <c:v>-1.00451406</c:v>
                </c:pt>
                <c:pt idx="249">
                  <c:v>-1.029310779</c:v>
                </c:pt>
                <c:pt idx="250">
                  <c:v>-1.0533662370000001</c:v>
                </c:pt>
                <c:pt idx="251">
                  <c:v>-1.0755291739999999</c:v>
                </c:pt>
                <c:pt idx="252">
                  <c:v>-1.0973798939999999</c:v>
                </c:pt>
                <c:pt idx="253">
                  <c:v>-1.1186752200000001</c:v>
                </c:pt>
                <c:pt idx="254">
                  <c:v>-1.13921652</c:v>
                </c:pt>
                <c:pt idx="255">
                  <c:v>-1.1595287809999999</c:v>
                </c:pt>
                <c:pt idx="256">
                  <c:v>-1.1789000000000001</c:v>
                </c:pt>
                <c:pt idx="257">
                  <c:v>-1.1971277259999999</c:v>
                </c:pt>
                <c:pt idx="258">
                  <c:v>-1.215026948</c:v>
                </c:pt>
                <c:pt idx="259">
                  <c:v>-1.232320445</c:v>
                </c:pt>
                <c:pt idx="260">
                  <c:v>-1.2484134819999999</c:v>
                </c:pt>
                <c:pt idx="261">
                  <c:v>-1.2639441119999999</c:v>
                </c:pt>
                <c:pt idx="262">
                  <c:v>-1.279072802</c:v>
                </c:pt>
                <c:pt idx="263">
                  <c:v>-1.2930987110000001</c:v>
                </c:pt>
                <c:pt idx="264">
                  <c:v>-1.306849151</c:v>
                </c:pt>
                <c:pt idx="265">
                  <c:v>-1.319897069</c:v>
                </c:pt>
                <c:pt idx="266">
                  <c:v>-1.3321755710000001</c:v>
                </c:pt>
                <c:pt idx="267">
                  <c:v>-1.343559285</c:v>
                </c:pt>
                <c:pt idx="268">
                  <c:v>-1.3544641479999999</c:v>
                </c:pt>
                <c:pt idx="269">
                  <c:v>-1.364774634</c:v>
                </c:pt>
                <c:pt idx="270">
                  <c:v>-1.374068464</c:v>
                </c:pt>
                <c:pt idx="271">
                  <c:v>-1.3826896310000001</c:v>
                </c:pt>
                <c:pt idx="272">
                  <c:v>-1.390099121</c:v>
                </c:pt>
                <c:pt idx="273">
                  <c:v>-1.3968556270000001</c:v>
                </c:pt>
                <c:pt idx="274">
                  <c:v>-1.403178032</c:v>
                </c:pt>
                <c:pt idx="275">
                  <c:v>-1.4090745600000001</c:v>
                </c:pt>
                <c:pt idx="276">
                  <c:v>-1.4145692439999999</c:v>
                </c:pt>
                <c:pt idx="277">
                  <c:v>-1.4196588750000001</c:v>
                </c:pt>
                <c:pt idx="278">
                  <c:v>-1.4243473040000001</c:v>
                </c:pt>
                <c:pt idx="279">
                  <c:v>-1.4280594019999999</c:v>
                </c:pt>
                <c:pt idx="280">
                  <c:v>-1.4311745600000001</c:v>
                </c:pt>
                <c:pt idx="281">
                  <c:v>-1.4346019329999999</c:v>
                </c:pt>
                <c:pt idx="282">
                  <c:v>-1.4376247799999999</c:v>
                </c:pt>
                <c:pt idx="283">
                  <c:v>-1.4402454280000001</c:v>
                </c:pt>
                <c:pt idx="284">
                  <c:v>-1.44254382</c:v>
                </c:pt>
                <c:pt idx="285">
                  <c:v>-1.4443762739999999</c:v>
                </c:pt>
                <c:pt idx="286">
                  <c:v>-1.444853076</c:v>
                </c:pt>
                <c:pt idx="287">
                  <c:v>-1.4443703569999999</c:v>
                </c:pt>
                <c:pt idx="288">
                  <c:v>-1.4437500000000001</c:v>
                </c:pt>
                <c:pt idx="289">
                  <c:v>-1.443129643</c:v>
                </c:pt>
                <c:pt idx="290">
                  <c:v>-1.441550264</c:v>
                </c:pt>
                <c:pt idx="291">
                  <c:v>-1.43936362</c:v>
                </c:pt>
                <c:pt idx="292">
                  <c:v>-1.4366313420000001</c:v>
                </c:pt>
                <c:pt idx="293">
                  <c:v>-1.433557972</c:v>
                </c:pt>
                <c:pt idx="294">
                  <c:v>-1.4299997069999999</c:v>
                </c:pt>
                <c:pt idx="295">
                  <c:v>-1.42561775</c:v>
                </c:pt>
                <c:pt idx="296">
                  <c:v>-1.419936753</c:v>
                </c:pt>
                <c:pt idx="297">
                  <c:v>-1.4136328650000001</c:v>
                </c:pt>
                <c:pt idx="298">
                  <c:v>-1.4068662949999999</c:v>
                </c:pt>
                <c:pt idx="299">
                  <c:v>-1.3995601639999999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6C-482D-9D42-8CC5C30ABE1A}"/>
            </c:ext>
          </c:extLst>
        </c:ser>
        <c:ser>
          <c:idx val="1"/>
          <c:order val="1"/>
          <c:tx>
            <c:strRef>
              <c:f>VW!$E$79</c:f>
              <c:strCache>
                <c:ptCount val="1"/>
                <c:pt idx="0">
                  <c:v>D2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VW!$E$80:$E$379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2.5627200000000001E-3</c:v>
                </c:pt>
                <c:pt idx="28">
                  <c:v>9.8502639999999992E-3</c:v>
                </c:pt>
                <c:pt idx="29">
                  <c:v>2.1927591999999999E-2</c:v>
                </c:pt>
                <c:pt idx="30">
                  <c:v>4.0722144000000002E-2</c:v>
                </c:pt>
                <c:pt idx="31">
                  <c:v>6.6531166000000003E-2</c:v>
                </c:pt>
                <c:pt idx="32">
                  <c:v>9.9299999999999999E-2</c:v>
                </c:pt>
                <c:pt idx="33">
                  <c:v>0.13959455200000001</c:v>
                </c:pt>
                <c:pt idx="34">
                  <c:v>0.18848031600000001</c:v>
                </c:pt>
                <c:pt idx="35">
                  <c:v>0.24640316300000001</c:v>
                </c:pt>
                <c:pt idx="36">
                  <c:v>0.314710135</c:v>
                </c:pt>
                <c:pt idx="37">
                  <c:v>0.39332256700000001</c:v>
                </c:pt>
                <c:pt idx="38">
                  <c:v>0.48267299400000002</c:v>
                </c:pt>
                <c:pt idx="39">
                  <c:v>0.58240351499999998</c:v>
                </c:pt>
                <c:pt idx="40">
                  <c:v>0.69313915599999998</c:v>
                </c:pt>
                <c:pt idx="41">
                  <c:v>0.81514897500000005</c:v>
                </c:pt>
                <c:pt idx="42">
                  <c:v>0.94802749100000006</c:v>
                </c:pt>
                <c:pt idx="43">
                  <c:v>1.0905946689999999</c:v>
                </c:pt>
                <c:pt idx="44">
                  <c:v>1.240635677</c:v>
                </c:pt>
                <c:pt idx="45">
                  <c:v>1.395457503</c:v>
                </c:pt>
                <c:pt idx="46">
                  <c:v>1.553418102</c:v>
                </c:pt>
                <c:pt idx="47">
                  <c:v>1.7134883350000001</c:v>
                </c:pt>
                <c:pt idx="48">
                  <c:v>1.874070006</c:v>
                </c:pt>
                <c:pt idx="49">
                  <c:v>2.0339903339999998</c:v>
                </c:pt>
                <c:pt idx="50">
                  <c:v>2.194267526</c:v>
                </c:pt>
                <c:pt idx="51">
                  <c:v>2.3551265959999999</c:v>
                </c:pt>
                <c:pt idx="52">
                  <c:v>2.515618688</c:v>
                </c:pt>
                <c:pt idx="53">
                  <c:v>2.675498653</c:v>
                </c:pt>
                <c:pt idx="54">
                  <c:v>2.8345050970000001</c:v>
                </c:pt>
                <c:pt idx="55">
                  <c:v>2.9914366349999999</c:v>
                </c:pt>
                <c:pt idx="56">
                  <c:v>3.1455970710000001</c:v>
                </c:pt>
                <c:pt idx="57">
                  <c:v>3.2966597540000002</c:v>
                </c:pt>
                <c:pt idx="58">
                  <c:v>3.4433321810000002</c:v>
                </c:pt>
                <c:pt idx="59">
                  <c:v>3.584292091</c:v>
                </c:pt>
                <c:pt idx="60">
                  <c:v>3.7209353460000001</c:v>
                </c:pt>
                <c:pt idx="61">
                  <c:v>3.8543035149999998</c:v>
                </c:pt>
                <c:pt idx="62">
                  <c:v>3.9855231990000002</c:v>
                </c:pt>
                <c:pt idx="63">
                  <c:v>4.1160017580000003</c:v>
                </c:pt>
                <c:pt idx="64">
                  <c:v>4.2461000000000002</c:v>
                </c:pt>
                <c:pt idx="65">
                  <c:v>4.3744971279999998</c:v>
                </c:pt>
                <c:pt idx="66">
                  <c:v>4.4995321029999999</c:v>
                </c:pt>
                <c:pt idx="67">
                  <c:v>4.619452431</c:v>
                </c:pt>
                <c:pt idx="68">
                  <c:v>4.7337007619999998</c:v>
                </c:pt>
                <c:pt idx="69">
                  <c:v>4.8427509669999997</c:v>
                </c:pt>
                <c:pt idx="70">
                  <c:v>4.947299707</c:v>
                </c:pt>
                <c:pt idx="71">
                  <c:v>5.0490431170000001</c:v>
                </c:pt>
                <c:pt idx="72">
                  <c:v>5.1500811950000003</c:v>
                </c:pt>
                <c:pt idx="73">
                  <c:v>5.2512609609999998</c:v>
                </c:pt>
                <c:pt idx="74">
                  <c:v>5.353036028</c:v>
                </c:pt>
                <c:pt idx="75">
                  <c:v>5.4560377859999996</c:v>
                </c:pt>
                <c:pt idx="76">
                  <c:v>5.5613041589999996</c:v>
                </c:pt>
                <c:pt idx="77">
                  <c:v>5.6680411250000002</c:v>
                </c:pt>
                <c:pt idx="78">
                  <c:v>5.7752685230000003</c:v>
                </c:pt>
                <c:pt idx="79">
                  <c:v>5.8820434089999996</c:v>
                </c:pt>
                <c:pt idx="80">
                  <c:v>5.9868120090000003</c:v>
                </c:pt>
                <c:pt idx="81">
                  <c:v>6.0883876319999999</c:v>
                </c:pt>
                <c:pt idx="82">
                  <c:v>6.1860079089999997</c:v>
                </c:pt>
                <c:pt idx="83">
                  <c:v>6.278966413</c:v>
                </c:pt>
                <c:pt idx="84">
                  <c:v>6.3679019329999997</c:v>
                </c:pt>
                <c:pt idx="85">
                  <c:v>6.4538492090000004</c:v>
                </c:pt>
                <c:pt idx="86">
                  <c:v>6.536326377</c:v>
                </c:pt>
                <c:pt idx="87">
                  <c:v>6.6160271819999998</c:v>
                </c:pt>
                <c:pt idx="88">
                  <c:v>6.6924033410000003</c:v>
                </c:pt>
                <c:pt idx="89">
                  <c:v>6.7647425309999996</c:v>
                </c:pt>
                <c:pt idx="90">
                  <c:v>6.8323699470000001</c:v>
                </c:pt>
                <c:pt idx="91">
                  <c:v>6.8942465420000003</c:v>
                </c:pt>
                <c:pt idx="92">
                  <c:v>6.950201699</c:v>
                </c:pt>
                <c:pt idx="93">
                  <c:v>7.000235677</c:v>
                </c:pt>
                <c:pt idx="94">
                  <c:v>7.0444275919999999</c:v>
                </c:pt>
                <c:pt idx="95">
                  <c:v>7.0844275919999999</c:v>
                </c:pt>
                <c:pt idx="96">
                  <c:v>7.12195</c:v>
                </c:pt>
                <c:pt idx="97">
                  <c:v>7.1573893970000002</c:v>
                </c:pt>
                <c:pt idx="98">
                  <c:v>7.1902142360000001</c:v>
                </c:pt>
                <c:pt idx="99">
                  <c:v>7.2206843589999998</c:v>
                </c:pt>
                <c:pt idx="100">
                  <c:v>7.2487241940000002</c:v>
                </c:pt>
                <c:pt idx="101">
                  <c:v>7.273930129</c:v>
                </c:pt>
                <c:pt idx="102">
                  <c:v>7.2972548919999998</c:v>
                </c:pt>
                <c:pt idx="103">
                  <c:v>7.3187428819999996</c:v>
                </c:pt>
                <c:pt idx="104">
                  <c:v>7.3374772569999998</c:v>
                </c:pt>
                <c:pt idx="105">
                  <c:v>7.3529733449999997</c:v>
                </c:pt>
                <c:pt idx="106">
                  <c:v>7.3641742089999997</c:v>
                </c:pt>
                <c:pt idx="107">
                  <c:v>7.3714020500000004</c:v>
                </c:pt>
                <c:pt idx="108">
                  <c:v>7.3744623899999997</c:v>
                </c:pt>
                <c:pt idx="109">
                  <c:v>7.3738717469999999</c:v>
                </c:pt>
                <c:pt idx="110">
                  <c:v>7.3699655540000002</c:v>
                </c:pt>
                <c:pt idx="111">
                  <c:v>7.3617048069999997</c:v>
                </c:pt>
                <c:pt idx="112">
                  <c:v>7.3487729350000004</c:v>
                </c:pt>
                <c:pt idx="113">
                  <c:v>7.3306499120000002</c:v>
                </c:pt>
                <c:pt idx="114">
                  <c:v>7.3077117229999997</c:v>
                </c:pt>
                <c:pt idx="115">
                  <c:v>7.2808004689999999</c:v>
                </c:pt>
                <c:pt idx="116">
                  <c:v>7.25139215</c:v>
                </c:pt>
                <c:pt idx="117">
                  <c:v>7.2214284119999999</c:v>
                </c:pt>
                <c:pt idx="118">
                  <c:v>7.1915608080000002</c:v>
                </c:pt>
                <c:pt idx="119">
                  <c:v>7.1600223920000001</c:v>
                </c:pt>
                <c:pt idx="120">
                  <c:v>7.1252852369999999</c:v>
                </c:pt>
                <c:pt idx="121">
                  <c:v>7.0863725249999998</c:v>
                </c:pt>
                <c:pt idx="122">
                  <c:v>7.0428712190000002</c:v>
                </c:pt>
                <c:pt idx="123">
                  <c:v>6.9944980670000003</c:v>
                </c:pt>
                <c:pt idx="124">
                  <c:v>6.9433594960000002</c:v>
                </c:pt>
                <c:pt idx="125">
                  <c:v>6.8909048039999998</c:v>
                </c:pt>
                <c:pt idx="126">
                  <c:v>6.8375152310000002</c:v>
                </c:pt>
                <c:pt idx="127">
                  <c:v>6.783037749</c:v>
                </c:pt>
                <c:pt idx="128">
                  <c:v>6.7267000000000001</c:v>
                </c:pt>
                <c:pt idx="129">
                  <c:v>6.6678378660000002</c:v>
                </c:pt>
                <c:pt idx="130">
                  <c:v>6.6069776219999996</c:v>
                </c:pt>
                <c:pt idx="131">
                  <c:v>6.5447163440000002</c:v>
                </c:pt>
                <c:pt idx="132">
                  <c:v>6.481089742</c:v>
                </c:pt>
                <c:pt idx="133">
                  <c:v>6.4156156409999996</c:v>
                </c:pt>
                <c:pt idx="134">
                  <c:v>6.3472049239999997</c:v>
                </c:pt>
                <c:pt idx="135">
                  <c:v>6.275252665</c:v>
                </c:pt>
                <c:pt idx="136">
                  <c:v>6.2003048039999999</c:v>
                </c:pt>
                <c:pt idx="137">
                  <c:v>6.1225487689999998</c:v>
                </c:pt>
                <c:pt idx="138">
                  <c:v>6.0429337429999999</c:v>
                </c:pt>
                <c:pt idx="139">
                  <c:v>5.96234792</c:v>
                </c:pt>
                <c:pt idx="140">
                  <c:v>5.8809432340000001</c:v>
                </c:pt>
                <c:pt idx="141">
                  <c:v>5.797240832</c:v>
                </c:pt>
                <c:pt idx="142">
                  <c:v>5.7111964830000002</c:v>
                </c:pt>
                <c:pt idx="143">
                  <c:v>5.6224358519999997</c:v>
                </c:pt>
                <c:pt idx="144">
                  <c:v>5.5309865260000004</c:v>
                </c:pt>
                <c:pt idx="145">
                  <c:v>5.4377212190000002</c:v>
                </c:pt>
                <c:pt idx="146">
                  <c:v>5.3428046279999997</c:v>
                </c:pt>
                <c:pt idx="147">
                  <c:v>5.246281067</c:v>
                </c:pt>
                <c:pt idx="148">
                  <c:v>5.1484282950000004</c:v>
                </c:pt>
                <c:pt idx="149">
                  <c:v>5.0495132399999996</c:v>
                </c:pt>
                <c:pt idx="150">
                  <c:v>4.9490249119999996</c:v>
                </c:pt>
                <c:pt idx="151">
                  <c:v>4.8475632690000001</c:v>
                </c:pt>
                <c:pt idx="152">
                  <c:v>4.7455252640000003</c:v>
                </c:pt>
                <c:pt idx="153">
                  <c:v>4.6434599299999997</c:v>
                </c:pt>
                <c:pt idx="154">
                  <c:v>4.5416204450000004</c:v>
                </c:pt>
                <c:pt idx="155">
                  <c:v>4.4404015240000003</c:v>
                </c:pt>
                <c:pt idx="156">
                  <c:v>4.3397031049999999</c:v>
                </c:pt>
                <c:pt idx="157">
                  <c:v>4.2392555359999999</c:v>
                </c:pt>
                <c:pt idx="158">
                  <c:v>4.1398611599999997</c:v>
                </c:pt>
                <c:pt idx="159">
                  <c:v>4.0419349740000001</c:v>
                </c:pt>
                <c:pt idx="160">
                  <c:v>3.9456500000000001</c:v>
                </c:pt>
                <c:pt idx="161">
                  <c:v>3.8509776800000002</c:v>
                </c:pt>
                <c:pt idx="162">
                  <c:v>3.75898471</c:v>
                </c:pt>
                <c:pt idx="163">
                  <c:v>3.6693184529999998</c:v>
                </c:pt>
                <c:pt idx="164">
                  <c:v>3.5821339189999999</c:v>
                </c:pt>
                <c:pt idx="165">
                  <c:v>3.4970648889999998</c:v>
                </c:pt>
                <c:pt idx="166">
                  <c:v>3.413062214</c:v>
                </c:pt>
                <c:pt idx="167">
                  <c:v>3.3301799650000001</c:v>
                </c:pt>
                <c:pt idx="168">
                  <c:v>3.2492649469999999</c:v>
                </c:pt>
                <c:pt idx="169">
                  <c:v>3.1709584070000001</c:v>
                </c:pt>
                <c:pt idx="170">
                  <c:v>3.0951944899999999</c:v>
                </c:pt>
                <c:pt idx="171">
                  <c:v>3.0208440539999999</c:v>
                </c:pt>
                <c:pt idx="172">
                  <c:v>2.9477005269999998</c:v>
                </c:pt>
                <c:pt idx="173">
                  <c:v>2.8763382179999999</c:v>
                </c:pt>
                <c:pt idx="174">
                  <c:v>2.8055613940000002</c:v>
                </c:pt>
                <c:pt idx="175">
                  <c:v>2.7357549240000001</c:v>
                </c:pt>
                <c:pt idx="176">
                  <c:v>2.667766667</c:v>
                </c:pt>
                <c:pt idx="177">
                  <c:v>2.6016483300000002</c:v>
                </c:pt>
                <c:pt idx="178">
                  <c:v>2.537019871</c:v>
                </c:pt>
                <c:pt idx="179">
                  <c:v>2.473530346</c:v>
                </c:pt>
                <c:pt idx="180">
                  <c:v>2.4105660809999998</c:v>
                </c:pt>
                <c:pt idx="181">
                  <c:v>2.3479377270000001</c:v>
                </c:pt>
                <c:pt idx="182">
                  <c:v>2.2863653780000002</c:v>
                </c:pt>
                <c:pt idx="183">
                  <c:v>2.225319695</c:v>
                </c:pt>
                <c:pt idx="184">
                  <c:v>2.1654712950000001</c:v>
                </c:pt>
                <c:pt idx="185">
                  <c:v>2.1068233740000002</c:v>
                </c:pt>
                <c:pt idx="186">
                  <c:v>2.0494160610000001</c:v>
                </c:pt>
                <c:pt idx="187">
                  <c:v>1.9917544819999999</c:v>
                </c:pt>
                <c:pt idx="188">
                  <c:v>1.933741149</c:v>
                </c:pt>
                <c:pt idx="189">
                  <c:v>1.875227768</c:v>
                </c:pt>
                <c:pt idx="190">
                  <c:v>1.816790744</c:v>
                </c:pt>
                <c:pt idx="191">
                  <c:v>1.7591984169999999</c:v>
                </c:pt>
                <c:pt idx="192">
                  <c:v>1.7029000000000001</c:v>
                </c:pt>
                <c:pt idx="193">
                  <c:v>1.6463844080000001</c:v>
                </c:pt>
                <c:pt idx="194">
                  <c:v>1.5888124189999999</c:v>
                </c:pt>
                <c:pt idx="195">
                  <c:v>1.53052068</c:v>
                </c:pt>
                <c:pt idx="196">
                  <c:v>1.4710650059999999</c:v>
                </c:pt>
                <c:pt idx="197">
                  <c:v>1.4114423549999999</c:v>
                </c:pt>
                <c:pt idx="198">
                  <c:v>1.3528621919999999</c:v>
                </c:pt>
                <c:pt idx="199">
                  <c:v>1.294776626</c:v>
                </c:pt>
                <c:pt idx="200">
                  <c:v>1.2365786169999999</c:v>
                </c:pt>
                <c:pt idx="201">
                  <c:v>1.178902227</c:v>
                </c:pt>
                <c:pt idx="202">
                  <c:v>1.1212629169999999</c:v>
                </c:pt>
                <c:pt idx="203">
                  <c:v>1.0632336259999999</c:v>
                </c:pt>
                <c:pt idx="204">
                  <c:v>1.0049034560000001</c:v>
                </c:pt>
                <c:pt idx="205">
                  <c:v>0.94709443500000001</c:v>
                </c:pt>
                <c:pt idx="206">
                  <c:v>0.88996113700000001</c:v>
                </c:pt>
                <c:pt idx="207">
                  <c:v>0.83457117800000002</c:v>
                </c:pt>
                <c:pt idx="208">
                  <c:v>0.78050673699999995</c:v>
                </c:pt>
                <c:pt idx="209">
                  <c:v>0.72649396200000005</c:v>
                </c:pt>
                <c:pt idx="210">
                  <c:v>0.67213210300000004</c:v>
                </c:pt>
                <c:pt idx="211">
                  <c:v>0.61765890999999995</c:v>
                </c:pt>
                <c:pt idx="212">
                  <c:v>0.56380123000000004</c:v>
                </c:pt>
                <c:pt idx="213">
                  <c:v>0.51056162900000002</c:v>
                </c:pt>
                <c:pt idx="214">
                  <c:v>0.45789507600000001</c:v>
                </c:pt>
                <c:pt idx="215">
                  <c:v>0.40587615700000002</c:v>
                </c:pt>
                <c:pt idx="216">
                  <c:v>0.35458136000000001</c:v>
                </c:pt>
                <c:pt idx="217">
                  <c:v>0.30403637999999999</c:v>
                </c:pt>
                <c:pt idx="218">
                  <c:v>0.25475694199999999</c:v>
                </c:pt>
                <c:pt idx="219">
                  <c:v>0.20575551</c:v>
                </c:pt>
                <c:pt idx="220">
                  <c:v>0.156573462</c:v>
                </c:pt>
                <c:pt idx="221">
                  <c:v>0.107856415</c:v>
                </c:pt>
                <c:pt idx="222">
                  <c:v>6.0768541000000002E-2</c:v>
                </c:pt>
                <c:pt idx="223">
                  <c:v>1.5233685E-2</c:v>
                </c:pt>
                <c:pt idx="224">
                  <c:v>-2.9000000000000001E-2</c:v>
                </c:pt>
                <c:pt idx="225">
                  <c:v>-7.2897715000000002E-2</c:v>
                </c:pt>
                <c:pt idx="226">
                  <c:v>-0.116918805</c:v>
                </c:pt>
                <c:pt idx="227">
                  <c:v>-0.16088681899999999</c:v>
                </c:pt>
                <c:pt idx="228">
                  <c:v>-0.204111189</c:v>
                </c:pt>
                <c:pt idx="229">
                  <c:v>-0.245848066</c:v>
                </c:pt>
                <c:pt idx="230">
                  <c:v>-0.28678441700000001</c:v>
                </c:pt>
                <c:pt idx="231">
                  <c:v>-0.32690158200000002</c:v>
                </c:pt>
                <c:pt idx="232">
                  <c:v>-0.36675498200000001</c:v>
                </c:pt>
                <c:pt idx="233">
                  <c:v>-0.40593251299999999</c:v>
                </c:pt>
                <c:pt idx="234">
                  <c:v>-0.44424953099999998</c:v>
                </c:pt>
                <c:pt idx="235">
                  <c:v>-0.48234288199999997</c:v>
                </c:pt>
                <c:pt idx="236">
                  <c:v>-0.51927785599999998</c:v>
                </c:pt>
                <c:pt idx="237">
                  <c:v>-0.55446676399999995</c:v>
                </c:pt>
                <c:pt idx="238">
                  <c:v>-0.58849115399999996</c:v>
                </c:pt>
                <c:pt idx="239">
                  <c:v>-0.62224525200000003</c:v>
                </c:pt>
                <c:pt idx="240">
                  <c:v>-0.65580410099999997</c:v>
                </c:pt>
                <c:pt idx="241">
                  <c:v>-0.68861019300000004</c:v>
                </c:pt>
                <c:pt idx="242">
                  <c:v>-0.72136664699999997</c:v>
                </c:pt>
                <c:pt idx="243">
                  <c:v>-0.75352624499999998</c:v>
                </c:pt>
                <c:pt idx="244">
                  <c:v>-0.78483263000000003</c:v>
                </c:pt>
                <c:pt idx="245">
                  <c:v>-0.81437299399999996</c:v>
                </c:pt>
                <c:pt idx="246">
                  <c:v>-0.842792443</c:v>
                </c:pt>
                <c:pt idx="247">
                  <c:v>-0.87032145400000005</c:v>
                </c:pt>
                <c:pt idx="248">
                  <c:v>-0.89715166999999996</c:v>
                </c:pt>
                <c:pt idx="249">
                  <c:v>-0.92330749899999998</c:v>
                </c:pt>
                <c:pt idx="250">
                  <c:v>-0.94853516999999998</c:v>
                </c:pt>
                <c:pt idx="251">
                  <c:v>-0.97249947299999995</c:v>
                </c:pt>
                <c:pt idx="252">
                  <c:v>-0.99474865199999996</c:v>
                </c:pt>
                <c:pt idx="253">
                  <c:v>-1.016265905</c:v>
                </c:pt>
                <c:pt idx="254">
                  <c:v>-1.0375101929999999</c:v>
                </c:pt>
                <c:pt idx="255">
                  <c:v>-1.058028781</c:v>
                </c:pt>
                <c:pt idx="256">
                  <c:v>-1.0773999999999999</c:v>
                </c:pt>
                <c:pt idx="257">
                  <c:v>-1.096465123</c:v>
                </c:pt>
                <c:pt idx="258">
                  <c:v>-1.115233275</c:v>
                </c:pt>
                <c:pt idx="259">
                  <c:v>-1.133693732</c:v>
                </c:pt>
                <c:pt idx="260">
                  <c:v>-1.1519573860000001</c:v>
                </c:pt>
                <c:pt idx="261">
                  <c:v>-1.1694332160000001</c:v>
                </c:pt>
                <c:pt idx="262">
                  <c:v>-1.185085229</c:v>
                </c:pt>
                <c:pt idx="263">
                  <c:v>-1.199580023</c:v>
                </c:pt>
                <c:pt idx="264">
                  <c:v>-1.213761629</c:v>
                </c:pt>
                <c:pt idx="265">
                  <c:v>-1.227598652</c:v>
                </c:pt>
                <c:pt idx="266">
                  <c:v>-1.2411662569999999</c:v>
                </c:pt>
                <c:pt idx="267">
                  <c:v>-1.254462097</c:v>
                </c:pt>
                <c:pt idx="268">
                  <c:v>-1.266695489</c:v>
                </c:pt>
                <c:pt idx="269">
                  <c:v>-1.2776386639999999</c:v>
                </c:pt>
                <c:pt idx="270">
                  <c:v>-1.287224736</c:v>
                </c:pt>
                <c:pt idx="271">
                  <c:v>-1.2951427069999999</c:v>
                </c:pt>
                <c:pt idx="272">
                  <c:v>-1.301849209</c:v>
                </c:pt>
                <c:pt idx="273">
                  <c:v>-1.307349179</c:v>
                </c:pt>
                <c:pt idx="274">
                  <c:v>-1.312274927</c:v>
                </c:pt>
                <c:pt idx="275">
                  <c:v>-1.3170152399999999</c:v>
                </c:pt>
                <c:pt idx="276">
                  <c:v>-1.3221130050000001</c:v>
                </c:pt>
                <c:pt idx="277">
                  <c:v>-1.327319801</c:v>
                </c:pt>
                <c:pt idx="278">
                  <c:v>-1.3316566240000001</c:v>
                </c:pt>
                <c:pt idx="279">
                  <c:v>-1.3347828349999999</c:v>
                </c:pt>
                <c:pt idx="280">
                  <c:v>-1.3373372219999999</c:v>
                </c:pt>
                <c:pt idx="281">
                  <c:v>-1.33947522</c:v>
                </c:pt>
                <c:pt idx="282">
                  <c:v>-1.341537317</c:v>
                </c:pt>
                <c:pt idx="283">
                  <c:v>-1.3444579720000001</c:v>
                </c:pt>
                <c:pt idx="284">
                  <c:v>-1.348100117</c:v>
                </c:pt>
                <c:pt idx="285">
                  <c:v>-1.3510620390000001</c:v>
                </c:pt>
                <c:pt idx="286">
                  <c:v>-1.352687698</c:v>
                </c:pt>
                <c:pt idx="287">
                  <c:v>-1.353798418</c:v>
                </c:pt>
                <c:pt idx="288">
                  <c:v>-1.3536999999999999</c:v>
                </c:pt>
                <c:pt idx="289">
                  <c:v>-1.3531984180000001</c:v>
                </c:pt>
                <c:pt idx="290">
                  <c:v>-1.3531</c:v>
                </c:pt>
                <c:pt idx="291">
                  <c:v>-1.353401582</c:v>
                </c:pt>
                <c:pt idx="292">
                  <c:v>-1.353350029</c:v>
                </c:pt>
                <c:pt idx="293">
                  <c:v>-1.3520891559999999</c:v>
                </c:pt>
                <c:pt idx="294">
                  <c:v>-1.3496185119999999</c:v>
                </c:pt>
                <c:pt idx="295">
                  <c:v>-1.346361336</c:v>
                </c:pt>
                <c:pt idx="296">
                  <c:v>-1.3426995310000001</c:v>
                </c:pt>
                <c:pt idx="297">
                  <c:v>-1.3385219100000001</c:v>
                </c:pt>
                <c:pt idx="298">
                  <c:v>-1.334003576</c:v>
                </c:pt>
                <c:pt idx="299">
                  <c:v>-1.32884628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6C-482D-9D42-8CC5C30ABE1A}"/>
            </c:ext>
          </c:extLst>
        </c:ser>
        <c:ser>
          <c:idx val="2"/>
          <c:order val="2"/>
          <c:tx>
            <c:strRef>
              <c:f>VW!$F$79</c:f>
              <c:strCache>
                <c:ptCount val="1"/>
                <c:pt idx="0">
                  <c:v>D3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VW!$F$80:$F$379</c:f>
              <c:numCache>
                <c:formatCode>0.00</c:formatCode>
                <c:ptCount val="300"/>
                <c:pt idx="0">
                  <c:v>0</c:v>
                </c:pt>
                <c:pt idx="1">
                  <c:v>1.185873E-3</c:v>
                </c:pt>
                <c:pt idx="2">
                  <c:v>1.7719389999999999E-3</c:v>
                </c:pt>
                <c:pt idx="3">
                  <c:v>2.3062099999999999E-3</c:v>
                </c:pt>
                <c:pt idx="4">
                  <c:v>3.2563309999999999E-3</c:v>
                </c:pt>
                <c:pt idx="5">
                  <c:v>5.5766260000000003E-3</c:v>
                </c:pt>
                <c:pt idx="6">
                  <c:v>8.8714540000000008E-3</c:v>
                </c:pt>
                <c:pt idx="7">
                  <c:v>1.1587873E-2</c:v>
                </c:pt>
                <c:pt idx="8">
                  <c:v>1.4362332E-2</c:v>
                </c:pt>
                <c:pt idx="9">
                  <c:v>1.6729719000000001E-2</c:v>
                </c:pt>
                <c:pt idx="10">
                  <c:v>1.8290685000000001E-2</c:v>
                </c:pt>
                <c:pt idx="11">
                  <c:v>1.9579495999999998E-2</c:v>
                </c:pt>
                <c:pt idx="12">
                  <c:v>2.0868951E-2</c:v>
                </c:pt>
                <c:pt idx="13">
                  <c:v>2.2438956999999999E-2</c:v>
                </c:pt>
                <c:pt idx="14">
                  <c:v>2.5418639999999999E-2</c:v>
                </c:pt>
                <c:pt idx="15">
                  <c:v>2.8876801000000001E-2</c:v>
                </c:pt>
                <c:pt idx="16">
                  <c:v>3.2349560999999999E-2</c:v>
                </c:pt>
                <c:pt idx="17">
                  <c:v>3.5312896000000003E-2</c:v>
                </c:pt>
                <c:pt idx="18">
                  <c:v>3.6646866E-2</c:v>
                </c:pt>
                <c:pt idx="19">
                  <c:v>3.7232767E-2</c:v>
                </c:pt>
                <c:pt idx="20">
                  <c:v>3.7818804999999997E-2</c:v>
                </c:pt>
                <c:pt idx="21">
                  <c:v>3.8770182E-2</c:v>
                </c:pt>
                <c:pt idx="22">
                  <c:v>4.0528311999999997E-2</c:v>
                </c:pt>
                <c:pt idx="23">
                  <c:v>4.2520328000000003E-2</c:v>
                </c:pt>
                <c:pt idx="24">
                  <c:v>4.4587162999999999E-2</c:v>
                </c:pt>
                <c:pt idx="25">
                  <c:v>4.7491037E-2</c:v>
                </c:pt>
                <c:pt idx="26">
                  <c:v>5.0959110000000002E-2</c:v>
                </c:pt>
                <c:pt idx="27">
                  <c:v>5.4806448000000001E-2</c:v>
                </c:pt>
                <c:pt idx="28">
                  <c:v>6.0081428999999999E-2</c:v>
                </c:pt>
                <c:pt idx="29">
                  <c:v>6.7692443000000005E-2</c:v>
                </c:pt>
                <c:pt idx="30">
                  <c:v>8.0740069999999997E-2</c:v>
                </c:pt>
                <c:pt idx="31">
                  <c:v>0.10069086100000001</c:v>
                </c:pt>
                <c:pt idx="32">
                  <c:v>0.12790000000000001</c:v>
                </c:pt>
                <c:pt idx="33">
                  <c:v>0.162567663</c:v>
                </c:pt>
                <c:pt idx="34">
                  <c:v>0.20438137100000001</c:v>
                </c:pt>
                <c:pt idx="35">
                  <c:v>0.25479718800000001</c:v>
                </c:pt>
                <c:pt idx="36">
                  <c:v>0.31502917400000002</c:v>
                </c:pt>
                <c:pt idx="37">
                  <c:v>0.38370123099999998</c:v>
                </c:pt>
                <c:pt idx="38">
                  <c:v>0.46145957799999998</c:v>
                </c:pt>
                <c:pt idx="39">
                  <c:v>0.54940333900000005</c:v>
                </c:pt>
                <c:pt idx="40">
                  <c:v>0.64716248499999995</c:v>
                </c:pt>
                <c:pt idx="41">
                  <c:v>0.75616156999999995</c:v>
                </c:pt>
                <c:pt idx="42">
                  <c:v>0.87680990599999997</c:v>
                </c:pt>
                <c:pt idx="43">
                  <c:v>1.007382601</c:v>
                </c:pt>
                <c:pt idx="44">
                  <c:v>1.1469115990000001</c:v>
                </c:pt>
                <c:pt idx="45">
                  <c:v>1.2928427899999999</c:v>
                </c:pt>
                <c:pt idx="46">
                  <c:v>1.4423023429999999</c:v>
                </c:pt>
                <c:pt idx="47">
                  <c:v>1.593056858</c:v>
                </c:pt>
                <c:pt idx="48">
                  <c:v>1.7443189219999999</c:v>
                </c:pt>
                <c:pt idx="49">
                  <c:v>1.895737786</c:v>
                </c:pt>
                <c:pt idx="50">
                  <c:v>2.0473953690000002</c:v>
                </c:pt>
                <c:pt idx="51">
                  <c:v>2.1992309309999998</c:v>
                </c:pt>
                <c:pt idx="52">
                  <c:v>2.3517323960000001</c:v>
                </c:pt>
                <c:pt idx="53">
                  <c:v>2.5053728180000001</c:v>
                </c:pt>
                <c:pt idx="54">
                  <c:v>2.658924077</c:v>
                </c:pt>
                <c:pt idx="55">
                  <c:v>2.8112054510000002</c:v>
                </c:pt>
                <c:pt idx="56">
                  <c:v>2.9607092559999999</c:v>
                </c:pt>
                <c:pt idx="57">
                  <c:v>3.1063355010000002</c:v>
                </c:pt>
                <c:pt idx="58">
                  <c:v>3.2471875149999998</c:v>
                </c:pt>
                <c:pt idx="59">
                  <c:v>3.3829875220000001</c:v>
                </c:pt>
                <c:pt idx="60">
                  <c:v>3.5143419699999998</c:v>
                </c:pt>
                <c:pt idx="61">
                  <c:v>3.6417811360000001</c:v>
                </c:pt>
                <c:pt idx="62">
                  <c:v>3.7666833039999998</c:v>
                </c:pt>
                <c:pt idx="63">
                  <c:v>3.889983763</c:v>
                </c:pt>
                <c:pt idx="64">
                  <c:v>4.0125000000000002</c:v>
                </c:pt>
                <c:pt idx="65">
                  <c:v>4.1336040450000002</c:v>
                </c:pt>
                <c:pt idx="66">
                  <c:v>4.2533692439999999</c:v>
                </c:pt>
                <c:pt idx="67">
                  <c:v>4.370627592</c:v>
                </c:pt>
                <c:pt idx="68">
                  <c:v>4.4830006449999997</c:v>
                </c:pt>
                <c:pt idx="69">
                  <c:v>4.5896602809999996</c:v>
                </c:pt>
                <c:pt idx="70">
                  <c:v>4.6903381590000004</c:v>
                </c:pt>
                <c:pt idx="71">
                  <c:v>4.7857014649999998</c:v>
                </c:pt>
                <c:pt idx="72">
                  <c:v>4.8787817220000003</c:v>
                </c:pt>
                <c:pt idx="73">
                  <c:v>4.9714686400000003</c:v>
                </c:pt>
                <c:pt idx="74">
                  <c:v>5.065623199</c:v>
                </c:pt>
                <c:pt idx="75">
                  <c:v>5.1619512600000004</c:v>
                </c:pt>
                <c:pt idx="76">
                  <c:v>5.2607531339999998</c:v>
                </c:pt>
                <c:pt idx="77">
                  <c:v>5.3609523140000004</c:v>
                </c:pt>
                <c:pt idx="78">
                  <c:v>5.4616531070000001</c:v>
                </c:pt>
                <c:pt idx="79">
                  <c:v>5.5617476269999999</c:v>
                </c:pt>
                <c:pt idx="80">
                  <c:v>5.6607376680000003</c:v>
                </c:pt>
                <c:pt idx="81">
                  <c:v>5.758237104</c:v>
                </c:pt>
                <c:pt idx="82">
                  <c:v>5.8520642059999997</c:v>
                </c:pt>
                <c:pt idx="83">
                  <c:v>5.9422946659999996</c:v>
                </c:pt>
                <c:pt idx="84">
                  <c:v>6.0293267139999998</c:v>
                </c:pt>
                <c:pt idx="85">
                  <c:v>6.1125651440000004</c:v>
                </c:pt>
                <c:pt idx="86">
                  <c:v>6.1924636580000003</c:v>
                </c:pt>
                <c:pt idx="87">
                  <c:v>6.2693443469999997</c:v>
                </c:pt>
                <c:pt idx="88">
                  <c:v>6.3427536340000001</c:v>
                </c:pt>
                <c:pt idx="89">
                  <c:v>6.4128079089999996</c:v>
                </c:pt>
                <c:pt idx="90">
                  <c:v>6.4785138250000003</c:v>
                </c:pt>
                <c:pt idx="91">
                  <c:v>6.5392621340000003</c:v>
                </c:pt>
                <c:pt idx="92">
                  <c:v>6.5945141769999998</c:v>
                </c:pt>
                <c:pt idx="93">
                  <c:v>6.6438451670000003</c:v>
                </c:pt>
                <c:pt idx="94">
                  <c:v>6.6873493850000001</c:v>
                </c:pt>
                <c:pt idx="95">
                  <c:v>6.7267635620000004</c:v>
                </c:pt>
                <c:pt idx="96">
                  <c:v>6.7633999999999999</c:v>
                </c:pt>
                <c:pt idx="97">
                  <c:v>6.7971471000000001</c:v>
                </c:pt>
                <c:pt idx="98">
                  <c:v>6.8285706499999996</c:v>
                </c:pt>
                <c:pt idx="99">
                  <c:v>6.8572479790000003</c:v>
                </c:pt>
                <c:pt idx="100">
                  <c:v>6.8827242530000001</c:v>
                </c:pt>
                <c:pt idx="101">
                  <c:v>6.9060552169999996</c:v>
                </c:pt>
                <c:pt idx="102">
                  <c:v>6.9271859400000002</c:v>
                </c:pt>
                <c:pt idx="103">
                  <c:v>6.9460963089999996</c:v>
                </c:pt>
                <c:pt idx="104">
                  <c:v>6.962777022</c:v>
                </c:pt>
                <c:pt idx="105">
                  <c:v>6.9764311660000002</c:v>
                </c:pt>
                <c:pt idx="106">
                  <c:v>6.9866867529999999</c:v>
                </c:pt>
                <c:pt idx="107">
                  <c:v>6.9935239019999997</c:v>
                </c:pt>
                <c:pt idx="108">
                  <c:v>6.9963499120000003</c:v>
                </c:pt>
                <c:pt idx="109">
                  <c:v>6.9950841739999996</c:v>
                </c:pt>
                <c:pt idx="110">
                  <c:v>6.9896061510000003</c:v>
                </c:pt>
                <c:pt idx="111">
                  <c:v>6.9804892150000004</c:v>
                </c:pt>
                <c:pt idx="112">
                  <c:v>6.9674980079999997</c:v>
                </c:pt>
                <c:pt idx="113">
                  <c:v>6.9502560630000003</c:v>
                </c:pt>
                <c:pt idx="114">
                  <c:v>6.9287242669999998</c:v>
                </c:pt>
                <c:pt idx="115">
                  <c:v>6.9032958410000003</c:v>
                </c:pt>
                <c:pt idx="116">
                  <c:v>6.8748482720000004</c:v>
                </c:pt>
                <c:pt idx="117">
                  <c:v>6.8441421790000003</c:v>
                </c:pt>
                <c:pt idx="118">
                  <c:v>6.8122827770000001</c:v>
                </c:pt>
                <c:pt idx="119">
                  <c:v>6.7790239740000002</c:v>
                </c:pt>
                <c:pt idx="120">
                  <c:v>6.7433727010000002</c:v>
                </c:pt>
                <c:pt idx="121">
                  <c:v>6.7049895719999997</c:v>
                </c:pt>
                <c:pt idx="122">
                  <c:v>6.6630277260000002</c:v>
                </c:pt>
                <c:pt idx="123">
                  <c:v>6.6171214410000001</c:v>
                </c:pt>
                <c:pt idx="124">
                  <c:v>6.5682406799999997</c:v>
                </c:pt>
                <c:pt idx="125">
                  <c:v>6.5166470419999998</c:v>
                </c:pt>
                <c:pt idx="126">
                  <c:v>6.4633183949999999</c:v>
                </c:pt>
                <c:pt idx="127">
                  <c:v>6.4081579719999997</c:v>
                </c:pt>
                <c:pt idx="128">
                  <c:v>6.3509000000000002</c:v>
                </c:pt>
                <c:pt idx="129">
                  <c:v>6.2920237400000003</c:v>
                </c:pt>
                <c:pt idx="130">
                  <c:v>6.2317839480000004</c:v>
                </c:pt>
                <c:pt idx="131">
                  <c:v>6.1702256589999998</c:v>
                </c:pt>
                <c:pt idx="132">
                  <c:v>6.1077148299999999</c:v>
                </c:pt>
                <c:pt idx="133">
                  <c:v>6.0442485059999997</c:v>
                </c:pt>
                <c:pt idx="134">
                  <c:v>5.9786888039999999</c:v>
                </c:pt>
                <c:pt idx="135">
                  <c:v>5.9096372580000001</c:v>
                </c:pt>
                <c:pt idx="136">
                  <c:v>5.8361422379999999</c:v>
                </c:pt>
                <c:pt idx="137">
                  <c:v>5.7590581480000003</c:v>
                </c:pt>
                <c:pt idx="138">
                  <c:v>5.6792462209999997</c:v>
                </c:pt>
                <c:pt idx="139">
                  <c:v>5.5977465139999998</c:v>
                </c:pt>
                <c:pt idx="140">
                  <c:v>5.5154059169999998</c:v>
                </c:pt>
                <c:pt idx="141">
                  <c:v>5.4329923259999999</c:v>
                </c:pt>
                <c:pt idx="142">
                  <c:v>5.348787046</c:v>
                </c:pt>
                <c:pt idx="143">
                  <c:v>5.2623079089999996</c:v>
                </c:pt>
                <c:pt idx="144">
                  <c:v>5.1731362619999999</c:v>
                </c:pt>
                <c:pt idx="145">
                  <c:v>5.0807822390000004</c:v>
                </c:pt>
                <c:pt idx="146">
                  <c:v>4.9850734040000004</c:v>
                </c:pt>
                <c:pt idx="147">
                  <c:v>4.8869358729999997</c:v>
                </c:pt>
                <c:pt idx="148">
                  <c:v>4.7875594020000003</c:v>
                </c:pt>
                <c:pt idx="149">
                  <c:v>4.6878523139999997</c:v>
                </c:pt>
                <c:pt idx="150">
                  <c:v>4.5877155920000003</c:v>
                </c:pt>
                <c:pt idx="151">
                  <c:v>4.487030463</c:v>
                </c:pt>
                <c:pt idx="152">
                  <c:v>4.3862126610000001</c:v>
                </c:pt>
                <c:pt idx="153">
                  <c:v>4.2847599299999999</c:v>
                </c:pt>
                <c:pt idx="154">
                  <c:v>4.183248506</c:v>
                </c:pt>
                <c:pt idx="155">
                  <c:v>4.0827859320000002</c:v>
                </c:pt>
                <c:pt idx="156">
                  <c:v>3.9829531340000002</c:v>
                </c:pt>
                <c:pt idx="157">
                  <c:v>3.8833444639999999</c:v>
                </c:pt>
                <c:pt idx="158">
                  <c:v>3.7841768010000001</c:v>
                </c:pt>
                <c:pt idx="159">
                  <c:v>3.6865974220000002</c:v>
                </c:pt>
                <c:pt idx="160">
                  <c:v>3.5916000000000001</c:v>
                </c:pt>
                <c:pt idx="161">
                  <c:v>3.4986183949999998</c:v>
                </c:pt>
                <c:pt idx="162">
                  <c:v>3.4083500880000002</c:v>
                </c:pt>
                <c:pt idx="163">
                  <c:v>3.3205437610000001</c:v>
                </c:pt>
                <c:pt idx="164">
                  <c:v>3.2350838899999999</c:v>
                </c:pt>
                <c:pt idx="165">
                  <c:v>3.150593025</c:v>
                </c:pt>
                <c:pt idx="166">
                  <c:v>3.066302812</c:v>
                </c:pt>
                <c:pt idx="167">
                  <c:v>2.9831393670000002</c:v>
                </c:pt>
                <c:pt idx="168">
                  <c:v>2.9015523449999998</c:v>
                </c:pt>
                <c:pt idx="169">
                  <c:v>2.8222771529999999</c:v>
                </c:pt>
                <c:pt idx="170">
                  <c:v>2.747244314</c:v>
                </c:pt>
                <c:pt idx="171">
                  <c:v>2.6750427650000002</c:v>
                </c:pt>
                <c:pt idx="172">
                  <c:v>2.604256591</c:v>
                </c:pt>
                <c:pt idx="173">
                  <c:v>2.5340054510000001</c:v>
                </c:pt>
                <c:pt idx="174">
                  <c:v>2.463905155</c:v>
                </c:pt>
                <c:pt idx="175">
                  <c:v>2.3931600230000001</c:v>
                </c:pt>
                <c:pt idx="176">
                  <c:v>2.3220411830000001</c:v>
                </c:pt>
                <c:pt idx="177">
                  <c:v>2.2523938490000002</c:v>
                </c:pt>
                <c:pt idx="178">
                  <c:v>2.1851322980000001</c:v>
                </c:pt>
                <c:pt idx="179">
                  <c:v>2.1192224369999999</c:v>
                </c:pt>
                <c:pt idx="180">
                  <c:v>2.0550162269999999</c:v>
                </c:pt>
                <c:pt idx="181">
                  <c:v>1.9927158169999999</c:v>
                </c:pt>
                <c:pt idx="182">
                  <c:v>1.9309091389999999</c:v>
                </c:pt>
                <c:pt idx="183">
                  <c:v>1.869402521</c:v>
                </c:pt>
                <c:pt idx="184">
                  <c:v>1.8074835970000001</c:v>
                </c:pt>
                <c:pt idx="185">
                  <c:v>1.7447161689999999</c:v>
                </c:pt>
                <c:pt idx="186">
                  <c:v>1.6827372220000001</c:v>
                </c:pt>
                <c:pt idx="187">
                  <c:v>1.6220295250000001</c:v>
                </c:pt>
                <c:pt idx="188">
                  <c:v>1.5625474210000001</c:v>
                </c:pt>
                <c:pt idx="189">
                  <c:v>1.5043122440000001</c:v>
                </c:pt>
                <c:pt idx="190">
                  <c:v>1.447374927</c:v>
                </c:pt>
                <c:pt idx="191">
                  <c:v>1.3911266710000001</c:v>
                </c:pt>
                <c:pt idx="192">
                  <c:v>1.3354999999999999</c:v>
                </c:pt>
                <c:pt idx="193">
                  <c:v>1.2791470110000001</c:v>
                </c:pt>
                <c:pt idx="194">
                  <c:v>1.220224663</c:v>
                </c:pt>
                <c:pt idx="195">
                  <c:v>1.159898946</c:v>
                </c:pt>
                <c:pt idx="196">
                  <c:v>1.0995587339999999</c:v>
                </c:pt>
                <c:pt idx="197">
                  <c:v>1.0396704750000001</c:v>
                </c:pt>
                <c:pt idx="198">
                  <c:v>0.98101189899999997</c:v>
                </c:pt>
                <c:pt idx="199">
                  <c:v>0.92520843600000002</c:v>
                </c:pt>
                <c:pt idx="200">
                  <c:v>0.87122835399999998</c:v>
                </c:pt>
                <c:pt idx="201">
                  <c:v>0.817442907</c:v>
                </c:pt>
                <c:pt idx="202">
                  <c:v>0.76295992999999995</c:v>
                </c:pt>
                <c:pt idx="203">
                  <c:v>0.70679121300000003</c:v>
                </c:pt>
                <c:pt idx="204">
                  <c:v>0.64852823699999995</c:v>
                </c:pt>
                <c:pt idx="205">
                  <c:v>0.58933667300000003</c:v>
                </c:pt>
                <c:pt idx="206">
                  <c:v>0.53115802999999995</c:v>
                </c:pt>
                <c:pt idx="207">
                  <c:v>0.475124253</c:v>
                </c:pt>
                <c:pt idx="208">
                  <c:v>0.42088172200000001</c:v>
                </c:pt>
                <c:pt idx="209">
                  <c:v>0.36800041</c:v>
                </c:pt>
                <c:pt idx="210">
                  <c:v>0.31591956599999999</c:v>
                </c:pt>
                <c:pt idx="211">
                  <c:v>0.26363065699999999</c:v>
                </c:pt>
                <c:pt idx="212">
                  <c:v>0.211151318</c:v>
                </c:pt>
                <c:pt idx="213">
                  <c:v>0.15842255399999999</c:v>
                </c:pt>
                <c:pt idx="214">
                  <c:v>0.105951348</c:v>
                </c:pt>
                <c:pt idx="215">
                  <c:v>5.4738663999999999E-2</c:v>
                </c:pt>
                <c:pt idx="216">
                  <c:v>5.2435520000000003E-3</c:v>
                </c:pt>
                <c:pt idx="217">
                  <c:v>-4.3018102000000003E-2</c:v>
                </c:pt>
                <c:pt idx="218">
                  <c:v>-9.054007E-2</c:v>
                </c:pt>
                <c:pt idx="219">
                  <c:v>-0.13733499399999999</c:v>
                </c:pt>
                <c:pt idx="220">
                  <c:v>-0.18385770400000001</c:v>
                </c:pt>
                <c:pt idx="221">
                  <c:v>-0.230568893</c:v>
                </c:pt>
                <c:pt idx="222">
                  <c:v>-0.27735659099999999</c:v>
                </c:pt>
                <c:pt idx="223">
                  <c:v>-0.32425524300000003</c:v>
                </c:pt>
                <c:pt idx="224">
                  <c:v>-0.37130000000000002</c:v>
                </c:pt>
                <c:pt idx="225">
                  <c:v>-0.418411951</c:v>
                </c:pt>
                <c:pt idx="226">
                  <c:v>-0.46509033399999999</c:v>
                </c:pt>
                <c:pt idx="227">
                  <c:v>-0.50977100200000003</c:v>
                </c:pt>
                <c:pt idx="228">
                  <c:v>-0.55184247200000003</c:v>
                </c:pt>
                <c:pt idx="229">
                  <c:v>-0.59227315400000002</c:v>
                </c:pt>
                <c:pt idx="230">
                  <c:v>-0.63133427099999995</c:v>
                </c:pt>
                <c:pt idx="231">
                  <c:v>-0.67049068499999998</c:v>
                </c:pt>
                <c:pt idx="232">
                  <c:v>-0.71095509999999995</c:v>
                </c:pt>
                <c:pt idx="233">
                  <c:v>-0.75246373799999999</c:v>
                </c:pt>
                <c:pt idx="234">
                  <c:v>-0.79377749099999995</c:v>
                </c:pt>
                <c:pt idx="235">
                  <c:v>-0.83319918000000004</c:v>
                </c:pt>
                <c:pt idx="236">
                  <c:v>-0.87015290000000001</c:v>
                </c:pt>
                <c:pt idx="237">
                  <c:v>-0.90406506399999997</c:v>
                </c:pt>
                <c:pt idx="238">
                  <c:v>-0.93451921500000001</c:v>
                </c:pt>
                <c:pt idx="239">
                  <c:v>-0.963564596</c:v>
                </c:pt>
                <c:pt idx="240">
                  <c:v>-0.99307867599999999</c:v>
                </c:pt>
                <c:pt idx="241">
                  <c:v>-1.022697891</c:v>
                </c:pt>
                <c:pt idx="242">
                  <c:v>-1.05305721</c:v>
                </c:pt>
                <c:pt idx="243">
                  <c:v>-1.082612068</c:v>
                </c:pt>
                <c:pt idx="244">
                  <c:v>-1.1097708260000001</c:v>
                </c:pt>
                <c:pt idx="245">
                  <c:v>-1.1341595200000001</c:v>
                </c:pt>
                <c:pt idx="246">
                  <c:v>-1.1557646749999999</c:v>
                </c:pt>
                <c:pt idx="247">
                  <c:v>-1.175721571</c:v>
                </c:pt>
                <c:pt idx="248">
                  <c:v>-1.195363738</c:v>
                </c:pt>
                <c:pt idx="249">
                  <c:v>-1.215562917</c:v>
                </c:pt>
                <c:pt idx="250">
                  <c:v>-1.2363470110000001</c:v>
                </c:pt>
                <c:pt idx="251">
                  <c:v>-1.257829174</c:v>
                </c:pt>
                <c:pt idx="252">
                  <c:v>-1.279679894</c:v>
                </c:pt>
                <c:pt idx="253">
                  <c:v>-1.30097522</c:v>
                </c:pt>
                <c:pt idx="254">
                  <c:v>-1.3216477449999999</c:v>
                </c:pt>
                <c:pt idx="255">
                  <c:v>-1.341531829</c:v>
                </c:pt>
                <c:pt idx="256">
                  <c:v>-1.3596999999999999</c:v>
                </c:pt>
                <c:pt idx="257">
                  <c:v>-1.3766559789999999</c:v>
                </c:pt>
                <c:pt idx="258">
                  <c:v>-1.3933486820000001</c:v>
                </c:pt>
                <c:pt idx="259">
                  <c:v>-1.4097657880000001</c:v>
                </c:pt>
                <c:pt idx="260">
                  <c:v>-1.4262635400000001</c:v>
                </c:pt>
                <c:pt idx="261">
                  <c:v>-1.4433332160000001</c:v>
                </c:pt>
                <c:pt idx="262">
                  <c:v>-1.4603256149999999</c:v>
                </c:pt>
                <c:pt idx="263">
                  <c:v>-1.4761003509999999</c:v>
                </c:pt>
                <c:pt idx="264">
                  <c:v>-1.4899117159999999</c:v>
                </c:pt>
                <c:pt idx="265">
                  <c:v>-1.5013579720000001</c:v>
                </c:pt>
                <c:pt idx="266">
                  <c:v>-1.510906678</c:v>
                </c:pt>
                <c:pt idx="267">
                  <c:v>-1.519867428</c:v>
                </c:pt>
                <c:pt idx="268">
                  <c:v>-1.5291516110000001</c:v>
                </c:pt>
                <c:pt idx="269">
                  <c:v>-1.5395792619999999</c:v>
                </c:pt>
                <c:pt idx="270">
                  <c:v>-1.5503559200000001</c:v>
                </c:pt>
                <c:pt idx="271">
                  <c:v>-1.5600365549999999</c:v>
                </c:pt>
                <c:pt idx="272">
                  <c:v>-1.567774107</c:v>
                </c:pt>
                <c:pt idx="273">
                  <c:v>-1.5728959549999999</c:v>
                </c:pt>
                <c:pt idx="274">
                  <c:v>-1.574262507</c:v>
                </c:pt>
                <c:pt idx="275">
                  <c:v>-1.573687573</c:v>
                </c:pt>
                <c:pt idx="276">
                  <c:v>-1.5731437610000001</c:v>
                </c:pt>
                <c:pt idx="277">
                  <c:v>-1.574235735</c:v>
                </c:pt>
                <c:pt idx="278">
                  <c:v>-1.577400352</c:v>
                </c:pt>
                <c:pt idx="279">
                  <c:v>-1.582103163</c:v>
                </c:pt>
                <c:pt idx="280">
                  <c:v>-1.585824736</c:v>
                </c:pt>
                <c:pt idx="281">
                  <c:v>-1.5874594019999999</c:v>
                </c:pt>
                <c:pt idx="282">
                  <c:v>-1.586990744</c:v>
                </c:pt>
                <c:pt idx="283">
                  <c:v>-1.5848905040000001</c:v>
                </c:pt>
                <c:pt idx="284">
                  <c:v>-1.5820686580000001</c:v>
                </c:pt>
                <c:pt idx="285">
                  <c:v>-1.57933638</c:v>
                </c:pt>
                <c:pt idx="286">
                  <c:v>-1.5778374340000001</c:v>
                </c:pt>
                <c:pt idx="287">
                  <c:v>-1.5774999999999999</c:v>
                </c:pt>
                <c:pt idx="288">
                  <c:v>-1.5772999999999999</c:v>
                </c:pt>
                <c:pt idx="289">
                  <c:v>-1.576226479</c:v>
                </c:pt>
                <c:pt idx="290">
                  <c:v>-1.573944112</c:v>
                </c:pt>
                <c:pt idx="291">
                  <c:v>-1.570436731</c:v>
                </c:pt>
                <c:pt idx="292">
                  <c:v>-1.5655814290000001</c:v>
                </c:pt>
                <c:pt idx="293">
                  <c:v>-1.5594800120000001</c:v>
                </c:pt>
                <c:pt idx="294">
                  <c:v>-1.552352548</c:v>
                </c:pt>
                <c:pt idx="295">
                  <c:v>-1.5452523730000001</c:v>
                </c:pt>
                <c:pt idx="296">
                  <c:v>-1.5385116649999999</c:v>
                </c:pt>
                <c:pt idx="297">
                  <c:v>-1.5316047450000001</c:v>
                </c:pt>
                <c:pt idx="298">
                  <c:v>-1.5241569749999999</c:v>
                </c:pt>
                <c:pt idx="299">
                  <c:v>-1.5163038659999999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6C-482D-9D42-8CC5C30ABE1A}"/>
            </c:ext>
          </c:extLst>
        </c:ser>
        <c:ser>
          <c:idx val="3"/>
          <c:order val="3"/>
          <c:tx>
            <c:strRef>
              <c:f>VW!$F$79</c:f>
              <c:strCache>
                <c:ptCount val="1"/>
                <c:pt idx="0">
                  <c:v>D3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VW!$F$80:$F$379</c:f>
              <c:numCache>
                <c:formatCode>0.00</c:formatCode>
                <c:ptCount val="300"/>
                <c:pt idx="0">
                  <c:v>0</c:v>
                </c:pt>
                <c:pt idx="1">
                  <c:v>1.185873E-3</c:v>
                </c:pt>
                <c:pt idx="2">
                  <c:v>1.7719389999999999E-3</c:v>
                </c:pt>
                <c:pt idx="3">
                  <c:v>2.3062099999999999E-3</c:v>
                </c:pt>
                <c:pt idx="4">
                  <c:v>3.2563309999999999E-3</c:v>
                </c:pt>
                <c:pt idx="5">
                  <c:v>5.5766260000000003E-3</c:v>
                </c:pt>
                <c:pt idx="6">
                  <c:v>8.8714540000000008E-3</c:v>
                </c:pt>
                <c:pt idx="7">
                  <c:v>1.1587873E-2</c:v>
                </c:pt>
                <c:pt idx="8">
                  <c:v>1.4362332E-2</c:v>
                </c:pt>
                <c:pt idx="9">
                  <c:v>1.6729719000000001E-2</c:v>
                </c:pt>
                <c:pt idx="10">
                  <c:v>1.8290685000000001E-2</c:v>
                </c:pt>
                <c:pt idx="11">
                  <c:v>1.9579495999999998E-2</c:v>
                </c:pt>
                <c:pt idx="12">
                  <c:v>2.0868951E-2</c:v>
                </c:pt>
                <c:pt idx="13">
                  <c:v>2.2438956999999999E-2</c:v>
                </c:pt>
                <c:pt idx="14">
                  <c:v>2.5418639999999999E-2</c:v>
                </c:pt>
                <c:pt idx="15">
                  <c:v>2.8876801000000001E-2</c:v>
                </c:pt>
                <c:pt idx="16">
                  <c:v>3.2349560999999999E-2</c:v>
                </c:pt>
                <c:pt idx="17">
                  <c:v>3.5312896000000003E-2</c:v>
                </c:pt>
                <c:pt idx="18">
                  <c:v>3.6646866E-2</c:v>
                </c:pt>
                <c:pt idx="19">
                  <c:v>3.7232767E-2</c:v>
                </c:pt>
                <c:pt idx="20">
                  <c:v>3.7818804999999997E-2</c:v>
                </c:pt>
                <c:pt idx="21">
                  <c:v>3.8770182E-2</c:v>
                </c:pt>
                <c:pt idx="22">
                  <c:v>4.0528311999999997E-2</c:v>
                </c:pt>
                <c:pt idx="23">
                  <c:v>4.2520328000000003E-2</c:v>
                </c:pt>
                <c:pt idx="24">
                  <c:v>4.4587162999999999E-2</c:v>
                </c:pt>
                <c:pt idx="25">
                  <c:v>4.7491037E-2</c:v>
                </c:pt>
                <c:pt idx="26">
                  <c:v>5.0959110000000002E-2</c:v>
                </c:pt>
                <c:pt idx="27">
                  <c:v>5.4806448000000001E-2</c:v>
                </c:pt>
                <c:pt idx="28">
                  <c:v>6.0081428999999999E-2</c:v>
                </c:pt>
                <c:pt idx="29">
                  <c:v>6.7692443000000005E-2</c:v>
                </c:pt>
                <c:pt idx="30">
                  <c:v>8.0740069999999997E-2</c:v>
                </c:pt>
                <c:pt idx="31">
                  <c:v>0.10069086100000001</c:v>
                </c:pt>
                <c:pt idx="32">
                  <c:v>0.12790000000000001</c:v>
                </c:pt>
                <c:pt idx="33">
                  <c:v>0.162567663</c:v>
                </c:pt>
                <c:pt idx="34">
                  <c:v>0.20438137100000001</c:v>
                </c:pt>
                <c:pt idx="35">
                  <c:v>0.25479718800000001</c:v>
                </c:pt>
                <c:pt idx="36">
                  <c:v>0.31502917400000002</c:v>
                </c:pt>
                <c:pt idx="37">
                  <c:v>0.38370123099999998</c:v>
                </c:pt>
                <c:pt idx="38">
                  <c:v>0.46145957799999998</c:v>
                </c:pt>
                <c:pt idx="39">
                  <c:v>0.54940333900000005</c:v>
                </c:pt>
                <c:pt idx="40">
                  <c:v>0.64716248499999995</c:v>
                </c:pt>
                <c:pt idx="41">
                  <c:v>0.75616156999999995</c:v>
                </c:pt>
                <c:pt idx="42">
                  <c:v>0.87680990599999997</c:v>
                </c:pt>
                <c:pt idx="43">
                  <c:v>1.007382601</c:v>
                </c:pt>
                <c:pt idx="44">
                  <c:v>1.1469115990000001</c:v>
                </c:pt>
                <c:pt idx="45">
                  <c:v>1.2928427899999999</c:v>
                </c:pt>
                <c:pt idx="46">
                  <c:v>1.4423023429999999</c:v>
                </c:pt>
                <c:pt idx="47">
                  <c:v>1.593056858</c:v>
                </c:pt>
                <c:pt idx="48">
                  <c:v>1.7443189219999999</c:v>
                </c:pt>
                <c:pt idx="49">
                  <c:v>1.895737786</c:v>
                </c:pt>
                <c:pt idx="50">
                  <c:v>2.0473953690000002</c:v>
                </c:pt>
                <c:pt idx="51">
                  <c:v>2.1992309309999998</c:v>
                </c:pt>
                <c:pt idx="52">
                  <c:v>2.3517323960000001</c:v>
                </c:pt>
                <c:pt idx="53">
                  <c:v>2.5053728180000001</c:v>
                </c:pt>
                <c:pt idx="54">
                  <c:v>2.658924077</c:v>
                </c:pt>
                <c:pt idx="55">
                  <c:v>2.8112054510000002</c:v>
                </c:pt>
                <c:pt idx="56">
                  <c:v>2.9607092559999999</c:v>
                </c:pt>
                <c:pt idx="57">
                  <c:v>3.1063355010000002</c:v>
                </c:pt>
                <c:pt idx="58">
                  <c:v>3.2471875149999998</c:v>
                </c:pt>
                <c:pt idx="59">
                  <c:v>3.3829875220000001</c:v>
                </c:pt>
                <c:pt idx="60">
                  <c:v>3.5143419699999998</c:v>
                </c:pt>
                <c:pt idx="61">
                  <c:v>3.6417811360000001</c:v>
                </c:pt>
                <c:pt idx="62">
                  <c:v>3.7666833039999998</c:v>
                </c:pt>
                <c:pt idx="63">
                  <c:v>3.889983763</c:v>
                </c:pt>
                <c:pt idx="64">
                  <c:v>4.0125000000000002</c:v>
                </c:pt>
                <c:pt idx="65">
                  <c:v>4.1336040450000002</c:v>
                </c:pt>
                <c:pt idx="66">
                  <c:v>4.2533692439999999</c:v>
                </c:pt>
                <c:pt idx="67">
                  <c:v>4.370627592</c:v>
                </c:pt>
                <c:pt idx="68">
                  <c:v>4.4830006449999997</c:v>
                </c:pt>
                <c:pt idx="69">
                  <c:v>4.5896602809999996</c:v>
                </c:pt>
                <c:pt idx="70">
                  <c:v>4.6903381590000004</c:v>
                </c:pt>
                <c:pt idx="71">
                  <c:v>4.7857014649999998</c:v>
                </c:pt>
                <c:pt idx="72">
                  <c:v>4.8787817220000003</c:v>
                </c:pt>
                <c:pt idx="73">
                  <c:v>4.9714686400000003</c:v>
                </c:pt>
                <c:pt idx="74">
                  <c:v>5.065623199</c:v>
                </c:pt>
                <c:pt idx="75">
                  <c:v>5.1619512600000004</c:v>
                </c:pt>
                <c:pt idx="76">
                  <c:v>5.2607531339999998</c:v>
                </c:pt>
                <c:pt idx="77">
                  <c:v>5.3609523140000004</c:v>
                </c:pt>
                <c:pt idx="78">
                  <c:v>5.4616531070000001</c:v>
                </c:pt>
                <c:pt idx="79">
                  <c:v>5.5617476269999999</c:v>
                </c:pt>
                <c:pt idx="80">
                  <c:v>5.6607376680000003</c:v>
                </c:pt>
                <c:pt idx="81">
                  <c:v>5.758237104</c:v>
                </c:pt>
                <c:pt idx="82">
                  <c:v>5.8520642059999997</c:v>
                </c:pt>
                <c:pt idx="83">
                  <c:v>5.9422946659999996</c:v>
                </c:pt>
                <c:pt idx="84">
                  <c:v>6.0293267139999998</c:v>
                </c:pt>
                <c:pt idx="85">
                  <c:v>6.1125651440000004</c:v>
                </c:pt>
                <c:pt idx="86">
                  <c:v>6.1924636580000003</c:v>
                </c:pt>
                <c:pt idx="87">
                  <c:v>6.2693443469999997</c:v>
                </c:pt>
                <c:pt idx="88">
                  <c:v>6.3427536340000001</c:v>
                </c:pt>
                <c:pt idx="89">
                  <c:v>6.4128079089999996</c:v>
                </c:pt>
                <c:pt idx="90">
                  <c:v>6.4785138250000003</c:v>
                </c:pt>
                <c:pt idx="91">
                  <c:v>6.5392621340000003</c:v>
                </c:pt>
                <c:pt idx="92">
                  <c:v>6.5945141769999998</c:v>
                </c:pt>
                <c:pt idx="93">
                  <c:v>6.6438451670000003</c:v>
                </c:pt>
                <c:pt idx="94">
                  <c:v>6.6873493850000001</c:v>
                </c:pt>
                <c:pt idx="95">
                  <c:v>6.7267635620000004</c:v>
                </c:pt>
                <c:pt idx="96">
                  <c:v>6.7633999999999999</c:v>
                </c:pt>
                <c:pt idx="97">
                  <c:v>6.7971471000000001</c:v>
                </c:pt>
                <c:pt idx="98">
                  <c:v>6.8285706499999996</c:v>
                </c:pt>
                <c:pt idx="99">
                  <c:v>6.8572479790000003</c:v>
                </c:pt>
                <c:pt idx="100">
                  <c:v>6.8827242530000001</c:v>
                </c:pt>
                <c:pt idx="101">
                  <c:v>6.9060552169999996</c:v>
                </c:pt>
                <c:pt idx="102">
                  <c:v>6.9271859400000002</c:v>
                </c:pt>
                <c:pt idx="103">
                  <c:v>6.9460963089999996</c:v>
                </c:pt>
                <c:pt idx="104">
                  <c:v>6.962777022</c:v>
                </c:pt>
                <c:pt idx="105">
                  <c:v>6.9764311660000002</c:v>
                </c:pt>
                <c:pt idx="106">
                  <c:v>6.9866867529999999</c:v>
                </c:pt>
                <c:pt idx="107">
                  <c:v>6.9935239019999997</c:v>
                </c:pt>
                <c:pt idx="108">
                  <c:v>6.9963499120000003</c:v>
                </c:pt>
                <c:pt idx="109">
                  <c:v>6.9950841739999996</c:v>
                </c:pt>
                <c:pt idx="110">
                  <c:v>6.9896061510000003</c:v>
                </c:pt>
                <c:pt idx="111">
                  <c:v>6.9804892150000004</c:v>
                </c:pt>
                <c:pt idx="112">
                  <c:v>6.9674980079999997</c:v>
                </c:pt>
                <c:pt idx="113">
                  <c:v>6.9502560630000003</c:v>
                </c:pt>
                <c:pt idx="114">
                  <c:v>6.9287242669999998</c:v>
                </c:pt>
                <c:pt idx="115">
                  <c:v>6.9032958410000003</c:v>
                </c:pt>
                <c:pt idx="116">
                  <c:v>6.8748482720000004</c:v>
                </c:pt>
                <c:pt idx="117">
                  <c:v>6.8441421790000003</c:v>
                </c:pt>
                <c:pt idx="118">
                  <c:v>6.8122827770000001</c:v>
                </c:pt>
                <c:pt idx="119">
                  <c:v>6.7790239740000002</c:v>
                </c:pt>
                <c:pt idx="120">
                  <c:v>6.7433727010000002</c:v>
                </c:pt>
                <c:pt idx="121">
                  <c:v>6.7049895719999997</c:v>
                </c:pt>
                <c:pt idx="122">
                  <c:v>6.6630277260000002</c:v>
                </c:pt>
                <c:pt idx="123">
                  <c:v>6.6171214410000001</c:v>
                </c:pt>
                <c:pt idx="124">
                  <c:v>6.5682406799999997</c:v>
                </c:pt>
                <c:pt idx="125">
                  <c:v>6.5166470419999998</c:v>
                </c:pt>
                <c:pt idx="126">
                  <c:v>6.4633183949999999</c:v>
                </c:pt>
                <c:pt idx="127">
                  <c:v>6.4081579719999997</c:v>
                </c:pt>
                <c:pt idx="128">
                  <c:v>6.3509000000000002</c:v>
                </c:pt>
                <c:pt idx="129">
                  <c:v>6.2920237400000003</c:v>
                </c:pt>
                <c:pt idx="130">
                  <c:v>6.2317839480000004</c:v>
                </c:pt>
                <c:pt idx="131">
                  <c:v>6.1702256589999998</c:v>
                </c:pt>
                <c:pt idx="132">
                  <c:v>6.1077148299999999</c:v>
                </c:pt>
                <c:pt idx="133">
                  <c:v>6.0442485059999997</c:v>
                </c:pt>
                <c:pt idx="134">
                  <c:v>5.9786888039999999</c:v>
                </c:pt>
                <c:pt idx="135">
                  <c:v>5.9096372580000001</c:v>
                </c:pt>
                <c:pt idx="136">
                  <c:v>5.8361422379999999</c:v>
                </c:pt>
                <c:pt idx="137">
                  <c:v>5.7590581480000003</c:v>
                </c:pt>
                <c:pt idx="138">
                  <c:v>5.6792462209999997</c:v>
                </c:pt>
                <c:pt idx="139">
                  <c:v>5.5977465139999998</c:v>
                </c:pt>
                <c:pt idx="140">
                  <c:v>5.5154059169999998</c:v>
                </c:pt>
                <c:pt idx="141">
                  <c:v>5.4329923259999999</c:v>
                </c:pt>
                <c:pt idx="142">
                  <c:v>5.348787046</c:v>
                </c:pt>
                <c:pt idx="143">
                  <c:v>5.2623079089999996</c:v>
                </c:pt>
                <c:pt idx="144">
                  <c:v>5.1731362619999999</c:v>
                </c:pt>
                <c:pt idx="145">
                  <c:v>5.0807822390000004</c:v>
                </c:pt>
                <c:pt idx="146">
                  <c:v>4.9850734040000004</c:v>
                </c:pt>
                <c:pt idx="147">
                  <c:v>4.8869358729999997</c:v>
                </c:pt>
                <c:pt idx="148">
                  <c:v>4.7875594020000003</c:v>
                </c:pt>
                <c:pt idx="149">
                  <c:v>4.6878523139999997</c:v>
                </c:pt>
                <c:pt idx="150">
                  <c:v>4.5877155920000003</c:v>
                </c:pt>
                <c:pt idx="151">
                  <c:v>4.487030463</c:v>
                </c:pt>
                <c:pt idx="152">
                  <c:v>4.3862126610000001</c:v>
                </c:pt>
                <c:pt idx="153">
                  <c:v>4.2847599299999999</c:v>
                </c:pt>
                <c:pt idx="154">
                  <c:v>4.183248506</c:v>
                </c:pt>
                <c:pt idx="155">
                  <c:v>4.0827859320000002</c:v>
                </c:pt>
                <c:pt idx="156">
                  <c:v>3.9829531340000002</c:v>
                </c:pt>
                <c:pt idx="157">
                  <c:v>3.8833444639999999</c:v>
                </c:pt>
                <c:pt idx="158">
                  <c:v>3.7841768010000001</c:v>
                </c:pt>
                <c:pt idx="159">
                  <c:v>3.6865974220000002</c:v>
                </c:pt>
                <c:pt idx="160">
                  <c:v>3.5916000000000001</c:v>
                </c:pt>
                <c:pt idx="161">
                  <c:v>3.4986183949999998</c:v>
                </c:pt>
                <c:pt idx="162">
                  <c:v>3.4083500880000002</c:v>
                </c:pt>
                <c:pt idx="163">
                  <c:v>3.3205437610000001</c:v>
                </c:pt>
                <c:pt idx="164">
                  <c:v>3.2350838899999999</c:v>
                </c:pt>
                <c:pt idx="165">
                  <c:v>3.150593025</c:v>
                </c:pt>
                <c:pt idx="166">
                  <c:v>3.066302812</c:v>
                </c:pt>
                <c:pt idx="167">
                  <c:v>2.9831393670000002</c:v>
                </c:pt>
                <c:pt idx="168">
                  <c:v>2.9015523449999998</c:v>
                </c:pt>
                <c:pt idx="169">
                  <c:v>2.8222771529999999</c:v>
                </c:pt>
                <c:pt idx="170">
                  <c:v>2.747244314</c:v>
                </c:pt>
                <c:pt idx="171">
                  <c:v>2.6750427650000002</c:v>
                </c:pt>
                <c:pt idx="172">
                  <c:v>2.604256591</c:v>
                </c:pt>
                <c:pt idx="173">
                  <c:v>2.5340054510000001</c:v>
                </c:pt>
                <c:pt idx="174">
                  <c:v>2.463905155</c:v>
                </c:pt>
                <c:pt idx="175">
                  <c:v>2.3931600230000001</c:v>
                </c:pt>
                <c:pt idx="176">
                  <c:v>2.3220411830000001</c:v>
                </c:pt>
                <c:pt idx="177">
                  <c:v>2.2523938490000002</c:v>
                </c:pt>
                <c:pt idx="178">
                  <c:v>2.1851322980000001</c:v>
                </c:pt>
                <c:pt idx="179">
                  <c:v>2.1192224369999999</c:v>
                </c:pt>
                <c:pt idx="180">
                  <c:v>2.0550162269999999</c:v>
                </c:pt>
                <c:pt idx="181">
                  <c:v>1.9927158169999999</c:v>
                </c:pt>
                <c:pt idx="182">
                  <c:v>1.9309091389999999</c:v>
                </c:pt>
                <c:pt idx="183">
                  <c:v>1.869402521</c:v>
                </c:pt>
                <c:pt idx="184">
                  <c:v>1.8074835970000001</c:v>
                </c:pt>
                <c:pt idx="185">
                  <c:v>1.7447161689999999</c:v>
                </c:pt>
                <c:pt idx="186">
                  <c:v>1.6827372220000001</c:v>
                </c:pt>
                <c:pt idx="187">
                  <c:v>1.6220295250000001</c:v>
                </c:pt>
                <c:pt idx="188">
                  <c:v>1.5625474210000001</c:v>
                </c:pt>
                <c:pt idx="189">
                  <c:v>1.5043122440000001</c:v>
                </c:pt>
                <c:pt idx="190">
                  <c:v>1.447374927</c:v>
                </c:pt>
                <c:pt idx="191">
                  <c:v>1.3911266710000001</c:v>
                </c:pt>
                <c:pt idx="192">
                  <c:v>1.3354999999999999</c:v>
                </c:pt>
                <c:pt idx="193">
                  <c:v>1.2791470110000001</c:v>
                </c:pt>
                <c:pt idx="194">
                  <c:v>1.220224663</c:v>
                </c:pt>
                <c:pt idx="195">
                  <c:v>1.159898946</c:v>
                </c:pt>
                <c:pt idx="196">
                  <c:v>1.0995587339999999</c:v>
                </c:pt>
                <c:pt idx="197">
                  <c:v>1.0396704750000001</c:v>
                </c:pt>
                <c:pt idx="198">
                  <c:v>0.98101189899999997</c:v>
                </c:pt>
                <c:pt idx="199">
                  <c:v>0.92520843600000002</c:v>
                </c:pt>
                <c:pt idx="200">
                  <c:v>0.87122835399999998</c:v>
                </c:pt>
                <c:pt idx="201">
                  <c:v>0.817442907</c:v>
                </c:pt>
                <c:pt idx="202">
                  <c:v>0.76295992999999995</c:v>
                </c:pt>
                <c:pt idx="203">
                  <c:v>0.70679121300000003</c:v>
                </c:pt>
                <c:pt idx="204">
                  <c:v>0.64852823699999995</c:v>
                </c:pt>
                <c:pt idx="205">
                  <c:v>0.58933667300000003</c:v>
                </c:pt>
                <c:pt idx="206">
                  <c:v>0.53115802999999995</c:v>
                </c:pt>
                <c:pt idx="207">
                  <c:v>0.475124253</c:v>
                </c:pt>
                <c:pt idx="208">
                  <c:v>0.42088172200000001</c:v>
                </c:pt>
                <c:pt idx="209">
                  <c:v>0.36800041</c:v>
                </c:pt>
                <c:pt idx="210">
                  <c:v>0.31591956599999999</c:v>
                </c:pt>
                <c:pt idx="211">
                  <c:v>0.26363065699999999</c:v>
                </c:pt>
                <c:pt idx="212">
                  <c:v>0.211151318</c:v>
                </c:pt>
                <c:pt idx="213">
                  <c:v>0.15842255399999999</c:v>
                </c:pt>
                <c:pt idx="214">
                  <c:v>0.105951348</c:v>
                </c:pt>
                <c:pt idx="215">
                  <c:v>5.4738663999999999E-2</c:v>
                </c:pt>
                <c:pt idx="216">
                  <c:v>5.2435520000000003E-3</c:v>
                </c:pt>
                <c:pt idx="217">
                  <c:v>-4.3018102000000003E-2</c:v>
                </c:pt>
                <c:pt idx="218">
                  <c:v>-9.054007E-2</c:v>
                </c:pt>
                <c:pt idx="219">
                  <c:v>-0.13733499399999999</c:v>
                </c:pt>
                <c:pt idx="220">
                  <c:v>-0.18385770400000001</c:v>
                </c:pt>
                <c:pt idx="221">
                  <c:v>-0.230568893</c:v>
                </c:pt>
                <c:pt idx="222">
                  <c:v>-0.27735659099999999</c:v>
                </c:pt>
                <c:pt idx="223">
                  <c:v>-0.32425524300000003</c:v>
                </c:pt>
                <c:pt idx="224">
                  <c:v>-0.37130000000000002</c:v>
                </c:pt>
                <c:pt idx="225">
                  <c:v>-0.418411951</c:v>
                </c:pt>
                <c:pt idx="226">
                  <c:v>-0.46509033399999999</c:v>
                </c:pt>
                <c:pt idx="227">
                  <c:v>-0.50977100200000003</c:v>
                </c:pt>
                <c:pt idx="228">
                  <c:v>-0.55184247200000003</c:v>
                </c:pt>
                <c:pt idx="229">
                  <c:v>-0.59227315400000002</c:v>
                </c:pt>
                <c:pt idx="230">
                  <c:v>-0.63133427099999995</c:v>
                </c:pt>
                <c:pt idx="231">
                  <c:v>-0.67049068499999998</c:v>
                </c:pt>
                <c:pt idx="232">
                  <c:v>-0.71095509999999995</c:v>
                </c:pt>
                <c:pt idx="233">
                  <c:v>-0.75246373799999999</c:v>
                </c:pt>
                <c:pt idx="234">
                  <c:v>-0.79377749099999995</c:v>
                </c:pt>
                <c:pt idx="235">
                  <c:v>-0.83319918000000004</c:v>
                </c:pt>
                <c:pt idx="236">
                  <c:v>-0.87015290000000001</c:v>
                </c:pt>
                <c:pt idx="237">
                  <c:v>-0.90406506399999997</c:v>
                </c:pt>
                <c:pt idx="238">
                  <c:v>-0.93451921500000001</c:v>
                </c:pt>
                <c:pt idx="239">
                  <c:v>-0.963564596</c:v>
                </c:pt>
                <c:pt idx="240">
                  <c:v>-0.99307867599999999</c:v>
                </c:pt>
                <c:pt idx="241">
                  <c:v>-1.022697891</c:v>
                </c:pt>
                <c:pt idx="242">
                  <c:v>-1.05305721</c:v>
                </c:pt>
                <c:pt idx="243">
                  <c:v>-1.082612068</c:v>
                </c:pt>
                <c:pt idx="244">
                  <c:v>-1.1097708260000001</c:v>
                </c:pt>
                <c:pt idx="245">
                  <c:v>-1.1341595200000001</c:v>
                </c:pt>
                <c:pt idx="246">
                  <c:v>-1.1557646749999999</c:v>
                </c:pt>
                <c:pt idx="247">
                  <c:v>-1.175721571</c:v>
                </c:pt>
                <c:pt idx="248">
                  <c:v>-1.195363738</c:v>
                </c:pt>
                <c:pt idx="249">
                  <c:v>-1.215562917</c:v>
                </c:pt>
                <c:pt idx="250">
                  <c:v>-1.2363470110000001</c:v>
                </c:pt>
                <c:pt idx="251">
                  <c:v>-1.257829174</c:v>
                </c:pt>
                <c:pt idx="252">
                  <c:v>-1.279679894</c:v>
                </c:pt>
                <c:pt idx="253">
                  <c:v>-1.30097522</c:v>
                </c:pt>
                <c:pt idx="254">
                  <c:v>-1.3216477449999999</c:v>
                </c:pt>
                <c:pt idx="255">
                  <c:v>-1.341531829</c:v>
                </c:pt>
                <c:pt idx="256">
                  <c:v>-1.3596999999999999</c:v>
                </c:pt>
                <c:pt idx="257">
                  <c:v>-1.3766559789999999</c:v>
                </c:pt>
                <c:pt idx="258">
                  <c:v>-1.3933486820000001</c:v>
                </c:pt>
                <c:pt idx="259">
                  <c:v>-1.4097657880000001</c:v>
                </c:pt>
                <c:pt idx="260">
                  <c:v>-1.4262635400000001</c:v>
                </c:pt>
                <c:pt idx="261">
                  <c:v>-1.4433332160000001</c:v>
                </c:pt>
                <c:pt idx="262">
                  <c:v>-1.4603256149999999</c:v>
                </c:pt>
                <c:pt idx="263">
                  <c:v>-1.4761003509999999</c:v>
                </c:pt>
                <c:pt idx="264">
                  <c:v>-1.4899117159999999</c:v>
                </c:pt>
                <c:pt idx="265">
                  <c:v>-1.5013579720000001</c:v>
                </c:pt>
                <c:pt idx="266">
                  <c:v>-1.510906678</c:v>
                </c:pt>
                <c:pt idx="267">
                  <c:v>-1.519867428</c:v>
                </c:pt>
                <c:pt idx="268">
                  <c:v>-1.5291516110000001</c:v>
                </c:pt>
                <c:pt idx="269">
                  <c:v>-1.5395792619999999</c:v>
                </c:pt>
                <c:pt idx="270">
                  <c:v>-1.5503559200000001</c:v>
                </c:pt>
                <c:pt idx="271">
                  <c:v>-1.5600365549999999</c:v>
                </c:pt>
                <c:pt idx="272">
                  <c:v>-1.567774107</c:v>
                </c:pt>
                <c:pt idx="273">
                  <c:v>-1.5728959549999999</c:v>
                </c:pt>
                <c:pt idx="274">
                  <c:v>-1.574262507</c:v>
                </c:pt>
                <c:pt idx="275">
                  <c:v>-1.573687573</c:v>
                </c:pt>
                <c:pt idx="276">
                  <c:v>-1.5731437610000001</c:v>
                </c:pt>
                <c:pt idx="277">
                  <c:v>-1.574235735</c:v>
                </c:pt>
                <c:pt idx="278">
                  <c:v>-1.577400352</c:v>
                </c:pt>
                <c:pt idx="279">
                  <c:v>-1.582103163</c:v>
                </c:pt>
                <c:pt idx="280">
                  <c:v>-1.585824736</c:v>
                </c:pt>
                <c:pt idx="281">
                  <c:v>-1.5874594019999999</c:v>
                </c:pt>
                <c:pt idx="282">
                  <c:v>-1.586990744</c:v>
                </c:pt>
                <c:pt idx="283">
                  <c:v>-1.5848905040000001</c:v>
                </c:pt>
                <c:pt idx="284">
                  <c:v>-1.5820686580000001</c:v>
                </c:pt>
                <c:pt idx="285">
                  <c:v>-1.57933638</c:v>
                </c:pt>
                <c:pt idx="286">
                  <c:v>-1.5778374340000001</c:v>
                </c:pt>
                <c:pt idx="287">
                  <c:v>-1.5774999999999999</c:v>
                </c:pt>
                <c:pt idx="288">
                  <c:v>-1.5772999999999999</c:v>
                </c:pt>
                <c:pt idx="289">
                  <c:v>-1.576226479</c:v>
                </c:pt>
                <c:pt idx="290">
                  <c:v>-1.573944112</c:v>
                </c:pt>
                <c:pt idx="291">
                  <c:v>-1.570436731</c:v>
                </c:pt>
                <c:pt idx="292">
                  <c:v>-1.5655814290000001</c:v>
                </c:pt>
                <c:pt idx="293">
                  <c:v>-1.5594800120000001</c:v>
                </c:pt>
                <c:pt idx="294">
                  <c:v>-1.552352548</c:v>
                </c:pt>
                <c:pt idx="295">
                  <c:v>-1.5452523730000001</c:v>
                </c:pt>
                <c:pt idx="296">
                  <c:v>-1.5385116649999999</c:v>
                </c:pt>
                <c:pt idx="297">
                  <c:v>-1.5316047450000001</c:v>
                </c:pt>
                <c:pt idx="298">
                  <c:v>-1.5241569749999999</c:v>
                </c:pt>
                <c:pt idx="299">
                  <c:v>-1.5163038659999999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6C-482D-9D42-8CC5C30ABE1A}"/>
            </c:ext>
          </c:extLst>
        </c:ser>
        <c:ser>
          <c:idx val="4"/>
          <c:order val="4"/>
          <c:tx>
            <c:strRef>
              <c:f>VW!$H$79</c:f>
              <c:strCache>
                <c:ptCount val="1"/>
                <c:pt idx="0">
                  <c:v>D5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VW!$H$80:$H$379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7.6250700000000005E-4</c:v>
                </c:pt>
                <c:pt idx="24">
                  <c:v>9.2497100000000002E-4</c:v>
                </c:pt>
                <c:pt idx="25">
                  <c:v>1.3079089999999999E-3</c:v>
                </c:pt>
                <c:pt idx="26">
                  <c:v>2.4561219999999998E-3</c:v>
                </c:pt>
                <c:pt idx="27">
                  <c:v>4.0328839999999996E-3</c:v>
                </c:pt>
                <c:pt idx="28">
                  <c:v>6.125073E-3</c:v>
                </c:pt>
                <c:pt idx="29">
                  <c:v>9.6493849999999999E-3</c:v>
                </c:pt>
                <c:pt idx="30">
                  <c:v>1.5185413E-2</c:v>
                </c:pt>
                <c:pt idx="31">
                  <c:v>2.3222906000000001E-2</c:v>
                </c:pt>
                <c:pt idx="32">
                  <c:v>3.4250000000000003E-2</c:v>
                </c:pt>
                <c:pt idx="33">
                  <c:v>4.9510310000000002E-2</c:v>
                </c:pt>
                <c:pt idx="34">
                  <c:v>6.9990684999999997E-2</c:v>
                </c:pt>
                <c:pt idx="35">
                  <c:v>9.6427065000000006E-2</c:v>
                </c:pt>
                <c:pt idx="36">
                  <c:v>0.12896133600000001</c:v>
                </c:pt>
                <c:pt idx="37">
                  <c:v>0.16809484199999999</c:v>
                </c:pt>
                <c:pt idx="38">
                  <c:v>0.21401007599999999</c:v>
                </c:pt>
                <c:pt idx="39">
                  <c:v>0.26678101900000001</c:v>
                </c:pt>
                <c:pt idx="40">
                  <c:v>0.32692022300000001</c:v>
                </c:pt>
                <c:pt idx="41">
                  <c:v>0.39479472799999998</c:v>
                </c:pt>
                <c:pt idx="42">
                  <c:v>0.47091735099999998</c:v>
                </c:pt>
                <c:pt idx="43">
                  <c:v>0.55499654399999998</c:v>
                </c:pt>
                <c:pt idx="44">
                  <c:v>0.64730351500000005</c:v>
                </c:pt>
                <c:pt idx="45">
                  <c:v>0.74663135999999997</c:v>
                </c:pt>
                <c:pt idx="46">
                  <c:v>0.85216104299999995</c:v>
                </c:pt>
                <c:pt idx="47">
                  <c:v>0.96296213399999997</c:v>
                </c:pt>
                <c:pt idx="48">
                  <c:v>1.076914353</c:v>
                </c:pt>
                <c:pt idx="49">
                  <c:v>1.191735677</c:v>
                </c:pt>
                <c:pt idx="50">
                  <c:v>1.3071848770000001</c:v>
                </c:pt>
                <c:pt idx="51">
                  <c:v>1.4240436439999999</c:v>
                </c:pt>
                <c:pt idx="52">
                  <c:v>1.5422627419999999</c:v>
                </c:pt>
                <c:pt idx="53">
                  <c:v>1.6620849440000001</c:v>
                </c:pt>
                <c:pt idx="54">
                  <c:v>1.781822496</c:v>
                </c:pt>
                <c:pt idx="55">
                  <c:v>1.9018981239999999</c:v>
                </c:pt>
                <c:pt idx="56">
                  <c:v>2.0209698889999999</c:v>
                </c:pt>
                <c:pt idx="57">
                  <c:v>2.1380735789999998</c:v>
                </c:pt>
                <c:pt idx="58">
                  <c:v>2.253158558</c:v>
                </c:pt>
                <c:pt idx="59">
                  <c:v>2.3660427070000001</c:v>
                </c:pt>
                <c:pt idx="60">
                  <c:v>2.476561958</c:v>
                </c:pt>
                <c:pt idx="61">
                  <c:v>2.5841450500000001</c:v>
                </c:pt>
                <c:pt idx="62">
                  <c:v>2.6886699470000002</c:v>
                </c:pt>
                <c:pt idx="63">
                  <c:v>2.790643904</c:v>
                </c:pt>
                <c:pt idx="64">
                  <c:v>2.8908</c:v>
                </c:pt>
                <c:pt idx="65">
                  <c:v>2.989372157</c:v>
                </c:pt>
                <c:pt idx="66">
                  <c:v>3.0863636200000002</c:v>
                </c:pt>
                <c:pt idx="67">
                  <c:v>3.1820121270000001</c:v>
                </c:pt>
                <c:pt idx="68">
                  <c:v>3.276474619</c:v>
                </c:pt>
                <c:pt idx="69">
                  <c:v>3.3687052720000001</c:v>
                </c:pt>
                <c:pt idx="70">
                  <c:v>3.4583927320000001</c:v>
                </c:pt>
                <c:pt idx="71">
                  <c:v>3.5443735790000002</c:v>
                </c:pt>
                <c:pt idx="72">
                  <c:v>3.6270449330000001</c:v>
                </c:pt>
                <c:pt idx="73">
                  <c:v>3.7073793670000001</c:v>
                </c:pt>
                <c:pt idx="74">
                  <c:v>3.7862599299999999</c:v>
                </c:pt>
                <c:pt idx="75">
                  <c:v>3.864493087</c:v>
                </c:pt>
                <c:pt idx="76">
                  <c:v>3.9432311069999999</c:v>
                </c:pt>
                <c:pt idx="77">
                  <c:v>4.0224343879999997</c:v>
                </c:pt>
                <c:pt idx="78">
                  <c:v>4.1024881009999996</c:v>
                </c:pt>
                <c:pt idx="79">
                  <c:v>4.1838745169999996</c:v>
                </c:pt>
                <c:pt idx="80">
                  <c:v>4.26618969</c:v>
                </c:pt>
                <c:pt idx="81">
                  <c:v>4.3490804220000001</c:v>
                </c:pt>
                <c:pt idx="82">
                  <c:v>4.4316768599999996</c:v>
                </c:pt>
                <c:pt idx="83">
                  <c:v>4.5120907389999996</c:v>
                </c:pt>
                <c:pt idx="84">
                  <c:v>4.5897446400000002</c:v>
                </c:pt>
                <c:pt idx="85">
                  <c:v>4.6648659050000001</c:v>
                </c:pt>
                <c:pt idx="86">
                  <c:v>4.7378880419999998</c:v>
                </c:pt>
                <c:pt idx="87">
                  <c:v>4.8083021090000004</c:v>
                </c:pt>
                <c:pt idx="88">
                  <c:v>4.8762041619999996</c:v>
                </c:pt>
                <c:pt idx="89">
                  <c:v>4.9424544819999996</c:v>
                </c:pt>
                <c:pt idx="90">
                  <c:v>5.0062388990000004</c:v>
                </c:pt>
                <c:pt idx="91">
                  <c:v>5.0668824739999998</c:v>
                </c:pt>
                <c:pt idx="92">
                  <c:v>5.1238579959999999</c:v>
                </c:pt>
                <c:pt idx="93">
                  <c:v>5.1767929700000002</c:v>
                </c:pt>
                <c:pt idx="94">
                  <c:v>5.2259158169999997</c:v>
                </c:pt>
                <c:pt idx="95">
                  <c:v>5.2707429990000003</c:v>
                </c:pt>
                <c:pt idx="96">
                  <c:v>5.31175</c:v>
                </c:pt>
                <c:pt idx="97">
                  <c:v>5.3492629169999999</c:v>
                </c:pt>
                <c:pt idx="98">
                  <c:v>5.383273462</c:v>
                </c:pt>
                <c:pt idx="99">
                  <c:v>5.4143922670000002</c:v>
                </c:pt>
                <c:pt idx="100">
                  <c:v>5.4433178680000003</c:v>
                </c:pt>
                <c:pt idx="101">
                  <c:v>5.4712002929999999</c:v>
                </c:pt>
                <c:pt idx="102">
                  <c:v>5.4979020500000004</c:v>
                </c:pt>
                <c:pt idx="103">
                  <c:v>5.5234439369999997</c:v>
                </c:pt>
                <c:pt idx="104">
                  <c:v>5.5473029309999999</c:v>
                </c:pt>
                <c:pt idx="105">
                  <c:v>5.5684076740000004</c:v>
                </c:pt>
                <c:pt idx="106">
                  <c:v>5.5855111370000001</c:v>
                </c:pt>
                <c:pt idx="107">
                  <c:v>5.5991465140000001</c:v>
                </c:pt>
                <c:pt idx="108">
                  <c:v>5.6104739889999999</c:v>
                </c:pt>
                <c:pt idx="109">
                  <c:v>5.6200084989999999</c:v>
                </c:pt>
                <c:pt idx="110">
                  <c:v>5.6273469829999998</c:v>
                </c:pt>
                <c:pt idx="111">
                  <c:v>5.6330494719999997</c:v>
                </c:pt>
                <c:pt idx="112">
                  <c:v>5.6362251319999999</c:v>
                </c:pt>
                <c:pt idx="113">
                  <c:v>5.6357611600000004</c:v>
                </c:pt>
                <c:pt idx="114">
                  <c:v>5.6305185230000001</c:v>
                </c:pt>
                <c:pt idx="115">
                  <c:v>5.6204964259999999</c:v>
                </c:pt>
                <c:pt idx="116">
                  <c:v>5.6061086119999999</c:v>
                </c:pt>
                <c:pt idx="117">
                  <c:v>5.5887472169999999</c:v>
                </c:pt>
                <c:pt idx="118">
                  <c:v>5.5700008790000002</c:v>
                </c:pt>
                <c:pt idx="119">
                  <c:v>5.5512049819999998</c:v>
                </c:pt>
                <c:pt idx="120">
                  <c:v>5.5316487399999996</c:v>
                </c:pt>
                <c:pt idx="121">
                  <c:v>5.5099029880000003</c:v>
                </c:pt>
                <c:pt idx="122">
                  <c:v>5.4850710429999996</c:v>
                </c:pt>
                <c:pt idx="123">
                  <c:v>5.4556632690000004</c:v>
                </c:pt>
                <c:pt idx="124">
                  <c:v>5.421852286</c:v>
                </c:pt>
                <c:pt idx="125">
                  <c:v>5.3843154069999999</c:v>
                </c:pt>
                <c:pt idx="126">
                  <c:v>5.3449574689999997</c:v>
                </c:pt>
                <c:pt idx="127">
                  <c:v>5.3049737400000003</c:v>
                </c:pt>
                <c:pt idx="128">
                  <c:v>5.2655000000000003</c:v>
                </c:pt>
                <c:pt idx="129">
                  <c:v>5.2255716879999996</c:v>
                </c:pt>
                <c:pt idx="130">
                  <c:v>5.1837077330000003</c:v>
                </c:pt>
                <c:pt idx="131">
                  <c:v>5.1390398949999998</c:v>
                </c:pt>
                <c:pt idx="132">
                  <c:v>5.0916719810000002</c:v>
                </c:pt>
                <c:pt idx="133">
                  <c:v>5.0415878730000001</c:v>
                </c:pt>
                <c:pt idx="134">
                  <c:v>4.989383353</c:v>
                </c:pt>
                <c:pt idx="135">
                  <c:v>4.9358897480000001</c:v>
                </c:pt>
                <c:pt idx="136">
                  <c:v>4.8819284119999997</c:v>
                </c:pt>
                <c:pt idx="137">
                  <c:v>4.8264944310000004</c:v>
                </c:pt>
                <c:pt idx="138">
                  <c:v>4.7686159930000001</c:v>
                </c:pt>
                <c:pt idx="139">
                  <c:v>4.7073951379999999</c:v>
                </c:pt>
                <c:pt idx="140">
                  <c:v>4.6430584069999998</c:v>
                </c:pt>
                <c:pt idx="141">
                  <c:v>4.5765089049999998</c:v>
                </c:pt>
                <c:pt idx="142">
                  <c:v>4.5078896830000001</c:v>
                </c:pt>
                <c:pt idx="143">
                  <c:v>4.4379231990000001</c:v>
                </c:pt>
                <c:pt idx="144">
                  <c:v>4.3675588169999999</c:v>
                </c:pt>
                <c:pt idx="145">
                  <c:v>4.296163365</c:v>
                </c:pt>
                <c:pt idx="146">
                  <c:v>4.223504277</c:v>
                </c:pt>
                <c:pt idx="147">
                  <c:v>4.149558968</c:v>
                </c:pt>
                <c:pt idx="148">
                  <c:v>4.0740803159999999</c:v>
                </c:pt>
                <c:pt idx="149">
                  <c:v>3.99617522</c:v>
                </c:pt>
                <c:pt idx="150">
                  <c:v>3.9158861659999999</c:v>
                </c:pt>
                <c:pt idx="151">
                  <c:v>3.8340806089999999</c:v>
                </c:pt>
                <c:pt idx="152">
                  <c:v>3.7501356389999998</c:v>
                </c:pt>
                <c:pt idx="153">
                  <c:v>3.6651557119999998</c:v>
                </c:pt>
                <c:pt idx="154">
                  <c:v>3.5806565909999999</c:v>
                </c:pt>
                <c:pt idx="155">
                  <c:v>3.4969117230000002</c:v>
                </c:pt>
                <c:pt idx="156">
                  <c:v>3.4144411830000001</c:v>
                </c:pt>
                <c:pt idx="157">
                  <c:v>3.3327024600000001</c:v>
                </c:pt>
                <c:pt idx="158">
                  <c:v>3.2505258349999999</c:v>
                </c:pt>
                <c:pt idx="159">
                  <c:v>3.1674748680000002</c:v>
                </c:pt>
                <c:pt idx="160">
                  <c:v>3.08405</c:v>
                </c:pt>
                <c:pt idx="161">
                  <c:v>3.0003563560000002</c:v>
                </c:pt>
                <c:pt idx="162">
                  <c:v>2.9174272409999999</c:v>
                </c:pt>
                <c:pt idx="163">
                  <c:v>2.8370576449999998</c:v>
                </c:pt>
                <c:pt idx="164">
                  <c:v>2.7601648509999999</c:v>
                </c:pt>
                <c:pt idx="165">
                  <c:v>2.6853269050000002</c:v>
                </c:pt>
                <c:pt idx="166">
                  <c:v>2.6117442880000001</c:v>
                </c:pt>
                <c:pt idx="167">
                  <c:v>2.5389147630000002</c:v>
                </c:pt>
                <c:pt idx="168">
                  <c:v>2.4668535170000001</c:v>
                </c:pt>
                <c:pt idx="169">
                  <c:v>2.3956786760000002</c:v>
                </c:pt>
                <c:pt idx="170">
                  <c:v>2.325443962</c:v>
                </c:pt>
                <c:pt idx="171">
                  <c:v>2.2569931460000001</c:v>
                </c:pt>
                <c:pt idx="172">
                  <c:v>2.1898437610000001</c:v>
                </c:pt>
                <c:pt idx="173">
                  <c:v>2.1240636579999999</c:v>
                </c:pt>
                <c:pt idx="174">
                  <c:v>2.0600896309999999</c:v>
                </c:pt>
                <c:pt idx="175">
                  <c:v>1.996682356</c:v>
                </c:pt>
                <c:pt idx="176">
                  <c:v>1.9334671939999999</c:v>
                </c:pt>
                <c:pt idx="177">
                  <c:v>1.8713558880000001</c:v>
                </c:pt>
                <c:pt idx="178">
                  <c:v>1.8106575030000001</c:v>
                </c:pt>
                <c:pt idx="179">
                  <c:v>1.751846163</c:v>
                </c:pt>
                <c:pt idx="180">
                  <c:v>1.694458934</c:v>
                </c:pt>
                <c:pt idx="181">
                  <c:v>1.637397832</c:v>
                </c:pt>
                <c:pt idx="182">
                  <c:v>1.580774517</c:v>
                </c:pt>
                <c:pt idx="183">
                  <c:v>1.5242243259999999</c:v>
                </c:pt>
                <c:pt idx="184">
                  <c:v>1.4671339189999999</c:v>
                </c:pt>
                <c:pt idx="185">
                  <c:v>1.4100794379999999</c:v>
                </c:pt>
                <c:pt idx="186">
                  <c:v>1.353884994</c:v>
                </c:pt>
                <c:pt idx="187">
                  <c:v>1.2999152899999999</c:v>
                </c:pt>
                <c:pt idx="188">
                  <c:v>1.2478157089999999</c:v>
                </c:pt>
                <c:pt idx="189">
                  <c:v>1.196334622</c:v>
                </c:pt>
                <c:pt idx="190">
                  <c:v>1.144140129</c:v>
                </c:pt>
                <c:pt idx="191">
                  <c:v>1.0906831770000001</c:v>
                </c:pt>
                <c:pt idx="192">
                  <c:v>1.036</c:v>
                </c:pt>
                <c:pt idx="193">
                  <c:v>0.98106529899999995</c:v>
                </c:pt>
                <c:pt idx="194">
                  <c:v>0.92766936099999997</c:v>
                </c:pt>
                <c:pt idx="195">
                  <c:v>0.87699332200000002</c:v>
                </c:pt>
                <c:pt idx="196">
                  <c:v>0.82803446700000005</c:v>
                </c:pt>
                <c:pt idx="197">
                  <c:v>0.77986449899999999</c:v>
                </c:pt>
                <c:pt idx="198">
                  <c:v>0.73095480700000004</c:v>
                </c:pt>
                <c:pt idx="199">
                  <c:v>0.679913357</c:v>
                </c:pt>
                <c:pt idx="200">
                  <c:v>0.62697838299999997</c:v>
                </c:pt>
                <c:pt idx="201">
                  <c:v>0.57299759699999997</c:v>
                </c:pt>
                <c:pt idx="202">
                  <c:v>0.52035694200000004</c:v>
                </c:pt>
                <c:pt idx="203">
                  <c:v>0.46934346799999999</c:v>
                </c:pt>
                <c:pt idx="204">
                  <c:v>0.42044879899999998</c:v>
                </c:pt>
                <c:pt idx="205">
                  <c:v>0.37259877000000002</c:v>
                </c:pt>
                <c:pt idx="206">
                  <c:v>0.32375779599999999</c:v>
                </c:pt>
                <c:pt idx="207">
                  <c:v>0.27383708299999998</c:v>
                </c:pt>
                <c:pt idx="208">
                  <c:v>0.222781429</c:v>
                </c:pt>
                <c:pt idx="209">
                  <c:v>0.17169126600000001</c:v>
                </c:pt>
                <c:pt idx="210">
                  <c:v>0.12130703</c:v>
                </c:pt>
                <c:pt idx="211">
                  <c:v>7.1653809999999998E-2</c:v>
                </c:pt>
                <c:pt idx="212">
                  <c:v>2.3333039999999999E-2</c:v>
                </c:pt>
                <c:pt idx="213">
                  <c:v>-2.3870240000000001E-2</c:v>
                </c:pt>
                <c:pt idx="214">
                  <c:v>-7.0910667999999996E-2</c:v>
                </c:pt>
                <c:pt idx="215">
                  <c:v>-0.11820662</c:v>
                </c:pt>
                <c:pt idx="216">
                  <c:v>-0.16560662400000001</c:v>
                </c:pt>
                <c:pt idx="217">
                  <c:v>-0.21228348</c:v>
                </c:pt>
                <c:pt idx="218">
                  <c:v>-0.25769648499999998</c:v>
                </c:pt>
                <c:pt idx="219">
                  <c:v>-0.30244583800000002</c:v>
                </c:pt>
                <c:pt idx="220">
                  <c:v>-0.34608260099999999</c:v>
                </c:pt>
                <c:pt idx="221">
                  <c:v>-0.38872583500000002</c:v>
                </c:pt>
                <c:pt idx="222">
                  <c:v>-0.43142478000000001</c:v>
                </c:pt>
                <c:pt idx="223">
                  <c:v>-0.47407738700000002</c:v>
                </c:pt>
                <c:pt idx="224">
                  <c:v>-0.51595000000000002</c:v>
                </c:pt>
                <c:pt idx="225">
                  <c:v>-0.55715067399999996</c:v>
                </c:pt>
                <c:pt idx="226">
                  <c:v>-0.59761933199999995</c:v>
                </c:pt>
                <c:pt idx="227">
                  <c:v>-0.63731564100000004</c:v>
                </c:pt>
                <c:pt idx="228">
                  <c:v>-0.67539882799999995</c:v>
                </c:pt>
                <c:pt idx="229">
                  <c:v>-0.712682649</c:v>
                </c:pt>
                <c:pt idx="230">
                  <c:v>-0.74884651400000002</c:v>
                </c:pt>
                <c:pt idx="231">
                  <c:v>-0.78430052699999997</c:v>
                </c:pt>
                <c:pt idx="232">
                  <c:v>-0.82025451299999996</c:v>
                </c:pt>
                <c:pt idx="233">
                  <c:v>-0.85641534900000005</c:v>
                </c:pt>
                <c:pt idx="234">
                  <c:v>-0.89154056299999995</c:v>
                </c:pt>
                <c:pt idx="235">
                  <c:v>-0.92506268300000005</c:v>
                </c:pt>
                <c:pt idx="236">
                  <c:v>-0.95690333900000002</c:v>
                </c:pt>
                <c:pt idx="237">
                  <c:v>-0.98700855799999998</c:v>
                </c:pt>
                <c:pt idx="238">
                  <c:v>-1.015903574</c:v>
                </c:pt>
                <c:pt idx="239">
                  <c:v>-1.044649004</c:v>
                </c:pt>
                <c:pt idx="240">
                  <c:v>-1.0742538370000001</c:v>
                </c:pt>
                <c:pt idx="241">
                  <c:v>-1.105204042</c:v>
                </c:pt>
                <c:pt idx="242">
                  <c:v>-1.1358415589999999</c:v>
                </c:pt>
                <c:pt idx="243">
                  <c:v>-1.1642698300000001</c:v>
                </c:pt>
                <c:pt idx="244">
                  <c:v>-1.190046046</c:v>
                </c:pt>
                <c:pt idx="245">
                  <c:v>-1.2123075569999999</c:v>
                </c:pt>
                <c:pt idx="246">
                  <c:v>-1.2312460460000001</c:v>
                </c:pt>
                <c:pt idx="247">
                  <c:v>-1.2488512899999999</c:v>
                </c:pt>
                <c:pt idx="248">
                  <c:v>-1.2670011720000001</c:v>
                </c:pt>
                <c:pt idx="249">
                  <c:v>-1.2875002929999999</c:v>
                </c:pt>
                <c:pt idx="250">
                  <c:v>-1.3105786639999999</c:v>
                </c:pt>
                <c:pt idx="251">
                  <c:v>-1.334483831</c:v>
                </c:pt>
                <c:pt idx="252">
                  <c:v>-1.3568737399999999</c:v>
                </c:pt>
                <c:pt idx="253">
                  <c:v>-1.375434212</c:v>
                </c:pt>
                <c:pt idx="254">
                  <c:v>-1.3900141770000001</c:v>
                </c:pt>
                <c:pt idx="255">
                  <c:v>-1.4016027550000001</c:v>
                </c:pt>
                <c:pt idx="256">
                  <c:v>-1.4121999999999999</c:v>
                </c:pt>
                <c:pt idx="257">
                  <c:v>-1.425118581</c:v>
                </c:pt>
                <c:pt idx="258">
                  <c:v>-1.441733275</c:v>
                </c:pt>
                <c:pt idx="259">
                  <c:v>-1.4605030459999999</c:v>
                </c:pt>
                <c:pt idx="260">
                  <c:v>-1.479057386</c:v>
                </c:pt>
                <c:pt idx="261">
                  <c:v>-1.4955019329999999</c:v>
                </c:pt>
                <c:pt idx="262">
                  <c:v>-1.507917468</c:v>
                </c:pt>
                <c:pt idx="263">
                  <c:v>-1.5158180429999999</c:v>
                </c:pt>
                <c:pt idx="264">
                  <c:v>-1.522374575</c:v>
                </c:pt>
                <c:pt idx="265">
                  <c:v>-1.5301016999999999</c:v>
                </c:pt>
                <c:pt idx="266">
                  <c:v>-1.5404724080000001</c:v>
                </c:pt>
                <c:pt idx="267">
                  <c:v>-1.553262097</c:v>
                </c:pt>
                <c:pt idx="268">
                  <c:v>-1.566308026</c:v>
                </c:pt>
                <c:pt idx="269">
                  <c:v>-1.577204335</c:v>
                </c:pt>
                <c:pt idx="270">
                  <c:v>-1.5851310670000001</c:v>
                </c:pt>
                <c:pt idx="271">
                  <c:v>-1.5898346219999999</c:v>
                </c:pt>
                <c:pt idx="272">
                  <c:v>-1.5921497950000001</c:v>
                </c:pt>
                <c:pt idx="273">
                  <c:v>-1.5929610199999999</c:v>
                </c:pt>
                <c:pt idx="274">
                  <c:v>-1.5946249560000001</c:v>
                </c:pt>
                <c:pt idx="275">
                  <c:v>-1.597543494</c:v>
                </c:pt>
                <c:pt idx="276">
                  <c:v>-1.6009565910000001</c:v>
                </c:pt>
                <c:pt idx="277">
                  <c:v>-1.60367481</c:v>
                </c:pt>
                <c:pt idx="278">
                  <c:v>-1.6039093200000001</c:v>
                </c:pt>
                <c:pt idx="279">
                  <c:v>-1.601893732</c:v>
                </c:pt>
                <c:pt idx="280">
                  <c:v>-1.5984879839999999</c:v>
                </c:pt>
                <c:pt idx="281">
                  <c:v>-1.5947386640000001</c:v>
                </c:pt>
                <c:pt idx="282">
                  <c:v>-1.591762683</c:v>
                </c:pt>
                <c:pt idx="283">
                  <c:v>-1.589995252</c:v>
                </c:pt>
                <c:pt idx="284">
                  <c:v>-1.5884624490000001</c:v>
                </c:pt>
                <c:pt idx="285">
                  <c:v>-1.586034798</c:v>
                </c:pt>
                <c:pt idx="286">
                  <c:v>-1.582258699</c:v>
                </c:pt>
                <c:pt idx="287">
                  <c:v>-1.5773893379999999</c:v>
                </c:pt>
                <c:pt idx="288">
                  <c:v>-1.5724499999999999</c:v>
                </c:pt>
                <c:pt idx="289">
                  <c:v>-1.5683169889999999</c:v>
                </c:pt>
                <c:pt idx="290">
                  <c:v>-1.5655284709999999</c:v>
                </c:pt>
                <c:pt idx="291">
                  <c:v>-1.564087346</c:v>
                </c:pt>
                <c:pt idx="292">
                  <c:v>-1.5631125370000001</c:v>
                </c:pt>
                <c:pt idx="293">
                  <c:v>-1.561617292</c:v>
                </c:pt>
                <c:pt idx="294">
                  <c:v>-1.558274634</c:v>
                </c:pt>
                <c:pt idx="295">
                  <c:v>-1.552111775</c:v>
                </c:pt>
                <c:pt idx="296">
                  <c:v>-1.544173974</c:v>
                </c:pt>
                <c:pt idx="297">
                  <c:v>-1.5350438200000001</c:v>
                </c:pt>
                <c:pt idx="298">
                  <c:v>-1.5264662950000001</c:v>
                </c:pt>
                <c:pt idx="299">
                  <c:v>-1.5197072060000001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6C-482D-9D42-8CC5C30ABE1A}"/>
            </c:ext>
          </c:extLst>
        </c:ser>
        <c:ser>
          <c:idx val="5"/>
          <c:order val="5"/>
          <c:tx>
            <c:strRef>
              <c:f>VW!$I$79</c:f>
              <c:strCache>
                <c:ptCount val="1"/>
                <c:pt idx="0">
                  <c:v>D6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VW!$I$80:$I$379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1.3500000000000001E-3</c:v>
                </c:pt>
                <c:pt idx="33">
                  <c:v>5.320562E-3</c:v>
                </c:pt>
                <c:pt idx="34">
                  <c:v>1.1577153E-2</c:v>
                </c:pt>
                <c:pt idx="35">
                  <c:v>2.0372408000000002E-2</c:v>
                </c:pt>
                <c:pt idx="36">
                  <c:v>3.3630755999999998E-2</c:v>
                </c:pt>
                <c:pt idx="37">
                  <c:v>5.0385052999999999E-2</c:v>
                </c:pt>
                <c:pt idx="38">
                  <c:v>7.0954892000000006E-2</c:v>
                </c:pt>
                <c:pt idx="39">
                  <c:v>9.5957820999999999E-2</c:v>
                </c:pt>
                <c:pt idx="40">
                  <c:v>0.12545381</c:v>
                </c:pt>
                <c:pt idx="41">
                  <c:v>0.159665319</c:v>
                </c:pt>
                <c:pt idx="42">
                  <c:v>0.19969900400000001</c:v>
                </c:pt>
                <c:pt idx="43">
                  <c:v>0.24525495</c:v>
                </c:pt>
                <c:pt idx="44">
                  <c:v>0.296413708</c:v>
                </c:pt>
                <c:pt idx="45">
                  <c:v>0.35322332899999997</c:v>
                </c:pt>
                <c:pt idx="46">
                  <c:v>0.41516660799999999</c:v>
                </c:pt>
                <c:pt idx="47">
                  <c:v>0.48237116099999999</c:v>
                </c:pt>
                <c:pt idx="48">
                  <c:v>0.55488441700000002</c:v>
                </c:pt>
                <c:pt idx="49">
                  <c:v>0.63131792600000003</c:v>
                </c:pt>
                <c:pt idx="50">
                  <c:v>0.71091189899999996</c:v>
                </c:pt>
                <c:pt idx="51">
                  <c:v>0.79265008800000003</c:v>
                </c:pt>
                <c:pt idx="52">
                  <c:v>0.87574323399999998</c:v>
                </c:pt>
                <c:pt idx="53">
                  <c:v>0.96061898099999998</c:v>
                </c:pt>
                <c:pt idx="54">
                  <c:v>1.0464397190000001</c:v>
                </c:pt>
                <c:pt idx="55">
                  <c:v>1.132820516</c:v>
                </c:pt>
                <c:pt idx="56">
                  <c:v>1.219905448</c:v>
                </c:pt>
                <c:pt idx="57">
                  <c:v>1.306677563</c:v>
                </c:pt>
                <c:pt idx="58">
                  <c:v>1.393401055</c:v>
                </c:pt>
                <c:pt idx="59">
                  <c:v>1.4801776799999999</c:v>
                </c:pt>
                <c:pt idx="60">
                  <c:v>1.565463482</c:v>
                </c:pt>
                <c:pt idx="61">
                  <c:v>1.6494915640000001</c:v>
                </c:pt>
                <c:pt idx="62">
                  <c:v>1.732425366</c:v>
                </c:pt>
                <c:pt idx="63">
                  <c:v>1.8132525209999999</c:v>
                </c:pt>
                <c:pt idx="64">
                  <c:v>1.8922000000000001</c:v>
                </c:pt>
                <c:pt idx="65">
                  <c:v>1.9694150640000001</c:v>
                </c:pt>
                <c:pt idx="66">
                  <c:v>2.0459552429999999</c:v>
                </c:pt>
                <c:pt idx="67">
                  <c:v>2.1221028710000001</c:v>
                </c:pt>
                <c:pt idx="68">
                  <c:v>2.1974046889999999</c:v>
                </c:pt>
                <c:pt idx="69">
                  <c:v>2.272229877</c:v>
                </c:pt>
                <c:pt idx="70">
                  <c:v>2.3462012900000002</c:v>
                </c:pt>
                <c:pt idx="71">
                  <c:v>2.4176561799999998</c:v>
                </c:pt>
                <c:pt idx="72">
                  <c:v>2.4871957230000001</c:v>
                </c:pt>
                <c:pt idx="73">
                  <c:v>2.5545447829999999</c:v>
                </c:pt>
                <c:pt idx="74">
                  <c:v>2.61956239</c:v>
                </c:pt>
                <c:pt idx="75">
                  <c:v>2.683084359</c:v>
                </c:pt>
                <c:pt idx="76">
                  <c:v>2.746253544</c:v>
                </c:pt>
                <c:pt idx="77">
                  <c:v>2.8088897479999999</c:v>
                </c:pt>
                <c:pt idx="78">
                  <c:v>2.8714730359999998</c:v>
                </c:pt>
                <c:pt idx="79">
                  <c:v>2.9344653780000001</c:v>
                </c:pt>
                <c:pt idx="80">
                  <c:v>2.9979170470000001</c:v>
                </c:pt>
                <c:pt idx="81">
                  <c:v>3.0618433760000001</c:v>
                </c:pt>
                <c:pt idx="82">
                  <c:v>3.1262833630000002</c:v>
                </c:pt>
                <c:pt idx="83">
                  <c:v>3.1911636579999998</c:v>
                </c:pt>
                <c:pt idx="84">
                  <c:v>3.256243585</c:v>
                </c:pt>
                <c:pt idx="85">
                  <c:v>3.3205435269999999</c:v>
                </c:pt>
                <c:pt idx="86">
                  <c:v>3.383680891</c:v>
                </c:pt>
                <c:pt idx="87">
                  <c:v>3.4455348560000001</c:v>
                </c:pt>
                <c:pt idx="88">
                  <c:v>3.5059300699999998</c:v>
                </c:pt>
                <c:pt idx="89">
                  <c:v>3.5650615110000001</c:v>
                </c:pt>
                <c:pt idx="90">
                  <c:v>3.622823667</c:v>
                </c:pt>
                <c:pt idx="91">
                  <c:v>3.6793245020000001</c:v>
                </c:pt>
                <c:pt idx="92">
                  <c:v>3.7338766840000002</c:v>
                </c:pt>
                <c:pt idx="93">
                  <c:v>3.7856072059999999</c:v>
                </c:pt>
                <c:pt idx="94">
                  <c:v>3.8347191559999998</c:v>
                </c:pt>
                <c:pt idx="95">
                  <c:v>3.8814631519999998</c:v>
                </c:pt>
                <c:pt idx="96">
                  <c:v>3.9258000000000002</c:v>
                </c:pt>
                <c:pt idx="97">
                  <c:v>3.9677850619999999</c:v>
                </c:pt>
                <c:pt idx="98">
                  <c:v>4.0073913880000003</c:v>
                </c:pt>
                <c:pt idx="99">
                  <c:v>4.0444666079999996</c:v>
                </c:pt>
                <c:pt idx="100">
                  <c:v>4.0786927359999998</c:v>
                </c:pt>
                <c:pt idx="101">
                  <c:v>4.1106860489999999</c:v>
                </c:pt>
                <c:pt idx="102">
                  <c:v>4.1408835379999998</c:v>
                </c:pt>
                <c:pt idx="103">
                  <c:v>4.1693311069999996</c:v>
                </c:pt>
                <c:pt idx="104">
                  <c:v>4.1965283700000002</c:v>
                </c:pt>
                <c:pt idx="105">
                  <c:v>4.223335735</c:v>
                </c:pt>
                <c:pt idx="106">
                  <c:v>4.2489477139999998</c:v>
                </c:pt>
                <c:pt idx="107">
                  <c:v>4.2728195080000004</c:v>
                </c:pt>
                <c:pt idx="108">
                  <c:v>4.2948230230000002</c:v>
                </c:pt>
                <c:pt idx="109">
                  <c:v>4.3149655920000001</c:v>
                </c:pt>
                <c:pt idx="110">
                  <c:v>4.3331752779999997</c:v>
                </c:pt>
                <c:pt idx="111">
                  <c:v>4.3493589100000003</c:v>
                </c:pt>
                <c:pt idx="112">
                  <c:v>4.363426596</c:v>
                </c:pt>
                <c:pt idx="113">
                  <c:v>4.3755226709999997</c:v>
                </c:pt>
                <c:pt idx="114">
                  <c:v>4.3852346420000003</c:v>
                </c:pt>
                <c:pt idx="115">
                  <c:v>4.3916455179999998</c:v>
                </c:pt>
                <c:pt idx="116">
                  <c:v>4.3949495609999998</c:v>
                </c:pt>
                <c:pt idx="117">
                  <c:v>4.3949699469999999</c:v>
                </c:pt>
                <c:pt idx="118">
                  <c:v>4.3920595779999996</c:v>
                </c:pt>
                <c:pt idx="119">
                  <c:v>4.386998535</c:v>
                </c:pt>
                <c:pt idx="120">
                  <c:v>4.380474575</c:v>
                </c:pt>
                <c:pt idx="121">
                  <c:v>4.3733603399999996</c:v>
                </c:pt>
                <c:pt idx="122">
                  <c:v>4.3644454279999998</c:v>
                </c:pt>
                <c:pt idx="123">
                  <c:v>4.3531112480000003</c:v>
                </c:pt>
                <c:pt idx="124">
                  <c:v>4.3393696950000002</c:v>
                </c:pt>
                <c:pt idx="125">
                  <c:v>4.3230875219999998</c:v>
                </c:pt>
                <c:pt idx="126">
                  <c:v>4.3040459289999999</c:v>
                </c:pt>
                <c:pt idx="127">
                  <c:v>4.2831257909999998</c:v>
                </c:pt>
                <c:pt idx="128">
                  <c:v>4.2606999999999999</c:v>
                </c:pt>
                <c:pt idx="129">
                  <c:v>4.2363700470000003</c:v>
                </c:pt>
                <c:pt idx="130">
                  <c:v>4.2098188639999998</c:v>
                </c:pt>
                <c:pt idx="131">
                  <c:v>4.181975864</c:v>
                </c:pt>
                <c:pt idx="132">
                  <c:v>4.1529043960000003</c:v>
                </c:pt>
                <c:pt idx="133">
                  <c:v>4.1217961340000002</c:v>
                </c:pt>
                <c:pt idx="134">
                  <c:v>4.0894394490000003</c:v>
                </c:pt>
                <c:pt idx="135">
                  <c:v>4.0568471590000001</c:v>
                </c:pt>
                <c:pt idx="136">
                  <c:v>4.0232396599999998</c:v>
                </c:pt>
                <c:pt idx="137">
                  <c:v>3.988010375</c:v>
                </c:pt>
                <c:pt idx="138">
                  <c:v>3.9510982430000001</c:v>
                </c:pt>
                <c:pt idx="139">
                  <c:v>3.9114684830000002</c:v>
                </c:pt>
                <c:pt idx="140">
                  <c:v>3.8689431170000002</c:v>
                </c:pt>
                <c:pt idx="141">
                  <c:v>3.824584593</c:v>
                </c:pt>
                <c:pt idx="142">
                  <c:v>3.7784702229999998</c:v>
                </c:pt>
                <c:pt idx="143">
                  <c:v>3.7306043940000002</c:v>
                </c:pt>
                <c:pt idx="144">
                  <c:v>3.6814561800000001</c:v>
                </c:pt>
                <c:pt idx="145">
                  <c:v>3.63134449</c:v>
                </c:pt>
                <c:pt idx="146">
                  <c:v>3.5794789690000002</c:v>
                </c:pt>
                <c:pt idx="147">
                  <c:v>3.5250871629999998</c:v>
                </c:pt>
                <c:pt idx="148">
                  <c:v>3.4690634450000002</c:v>
                </c:pt>
                <c:pt idx="149">
                  <c:v>3.4121073810000002</c:v>
                </c:pt>
                <c:pt idx="150">
                  <c:v>3.3546352289999999</c:v>
                </c:pt>
                <c:pt idx="151">
                  <c:v>3.2970058</c:v>
                </c:pt>
                <c:pt idx="152">
                  <c:v>3.2383824149999998</c:v>
                </c:pt>
                <c:pt idx="153">
                  <c:v>3.17865536</c:v>
                </c:pt>
                <c:pt idx="154">
                  <c:v>3.1171205039999998</c:v>
                </c:pt>
                <c:pt idx="155">
                  <c:v>3.0541392150000002</c:v>
                </c:pt>
                <c:pt idx="156">
                  <c:v>2.9901729939999999</c:v>
                </c:pt>
                <c:pt idx="157">
                  <c:v>2.9252778560000001</c:v>
                </c:pt>
                <c:pt idx="158">
                  <c:v>2.8599720560000002</c:v>
                </c:pt>
                <c:pt idx="159">
                  <c:v>2.7943645579999998</c:v>
                </c:pt>
                <c:pt idx="160">
                  <c:v>2.7277499999999999</c:v>
                </c:pt>
                <c:pt idx="161">
                  <c:v>2.660194728</c:v>
                </c:pt>
                <c:pt idx="162">
                  <c:v>2.592187698</c:v>
                </c:pt>
                <c:pt idx="163">
                  <c:v>2.5245984180000001</c:v>
                </c:pt>
                <c:pt idx="164">
                  <c:v>2.4580207970000001</c:v>
                </c:pt>
                <c:pt idx="165">
                  <c:v>2.3929451930000001</c:v>
                </c:pt>
                <c:pt idx="166">
                  <c:v>2.3291544229999999</c:v>
                </c:pt>
                <c:pt idx="167">
                  <c:v>2.2661901580000001</c:v>
                </c:pt>
                <c:pt idx="168">
                  <c:v>2.204004748</c:v>
                </c:pt>
                <c:pt idx="169">
                  <c:v>2.1426817219999998</c:v>
                </c:pt>
                <c:pt idx="170">
                  <c:v>2.0825024029999999</c:v>
                </c:pt>
                <c:pt idx="171">
                  <c:v>2.024053544</c:v>
                </c:pt>
                <c:pt idx="172">
                  <c:v>1.967036555</c:v>
                </c:pt>
                <c:pt idx="173">
                  <c:v>1.9104987099999999</c:v>
                </c:pt>
                <c:pt idx="174">
                  <c:v>1.853564733</c:v>
                </c:pt>
                <c:pt idx="175">
                  <c:v>1.796626729</c:v>
                </c:pt>
                <c:pt idx="176">
                  <c:v>1.740068014</c:v>
                </c:pt>
                <c:pt idx="177">
                  <c:v>1.684475747</c:v>
                </c:pt>
                <c:pt idx="178">
                  <c:v>1.6299264360000001</c:v>
                </c:pt>
                <c:pt idx="179">
                  <c:v>1.57689795</c:v>
                </c:pt>
                <c:pt idx="180">
                  <c:v>1.5246893969999999</c:v>
                </c:pt>
                <c:pt idx="181">
                  <c:v>1.473411306</c:v>
                </c:pt>
                <c:pt idx="182">
                  <c:v>1.4232929700000001</c:v>
                </c:pt>
                <c:pt idx="183">
                  <c:v>1.3733882770000001</c:v>
                </c:pt>
                <c:pt idx="184">
                  <c:v>1.3238844169999999</c:v>
                </c:pt>
                <c:pt idx="185">
                  <c:v>1.274717458</c:v>
                </c:pt>
                <c:pt idx="186">
                  <c:v>1.2258923799999999</c:v>
                </c:pt>
                <c:pt idx="187">
                  <c:v>1.1774370830000001</c:v>
                </c:pt>
                <c:pt idx="188">
                  <c:v>1.12850932</c:v>
                </c:pt>
                <c:pt idx="189">
                  <c:v>1.0794973640000001</c:v>
                </c:pt>
                <c:pt idx="190">
                  <c:v>1.030836555</c:v>
                </c:pt>
                <c:pt idx="191">
                  <c:v>0.98255879199999996</c:v>
                </c:pt>
                <c:pt idx="192">
                  <c:v>0.93469999999999998</c:v>
                </c:pt>
                <c:pt idx="193">
                  <c:v>0.88659273199999999</c:v>
                </c:pt>
                <c:pt idx="194">
                  <c:v>0.83911365000000004</c:v>
                </c:pt>
                <c:pt idx="195">
                  <c:v>0.79263678999999998</c:v>
                </c:pt>
                <c:pt idx="196">
                  <c:v>0.74613458399999999</c:v>
                </c:pt>
                <c:pt idx="197">
                  <c:v>0.69932390200000005</c:v>
                </c:pt>
                <c:pt idx="198">
                  <c:v>0.65277596699999996</c:v>
                </c:pt>
                <c:pt idx="199">
                  <c:v>0.60655008799999999</c:v>
                </c:pt>
                <c:pt idx="200">
                  <c:v>0.56007791399999995</c:v>
                </c:pt>
                <c:pt idx="201">
                  <c:v>0.51326957799999995</c:v>
                </c:pt>
                <c:pt idx="202">
                  <c:v>0.46656344500000002</c:v>
                </c:pt>
                <c:pt idx="203">
                  <c:v>0.42031622699999999</c:v>
                </c:pt>
                <c:pt idx="204">
                  <c:v>0.37389894600000001</c:v>
                </c:pt>
                <c:pt idx="205">
                  <c:v>0.32710339799999999</c:v>
                </c:pt>
                <c:pt idx="206">
                  <c:v>0.28002960100000002</c:v>
                </c:pt>
                <c:pt idx="207">
                  <c:v>0.23262478</c:v>
                </c:pt>
                <c:pt idx="208">
                  <c:v>0.185355888</c:v>
                </c:pt>
                <c:pt idx="209">
                  <c:v>0.13860281399999999</c:v>
                </c:pt>
                <c:pt idx="210">
                  <c:v>9.2500703000000004E-2</c:v>
                </c:pt>
                <c:pt idx="211">
                  <c:v>4.776905E-2</c:v>
                </c:pt>
                <c:pt idx="212">
                  <c:v>4.4147630000000004E-3</c:v>
                </c:pt>
                <c:pt idx="213">
                  <c:v>-3.7872291000000002E-2</c:v>
                </c:pt>
                <c:pt idx="214">
                  <c:v>-8.0028956999999998E-2</c:v>
                </c:pt>
                <c:pt idx="215">
                  <c:v>-0.12240345599999999</c:v>
                </c:pt>
                <c:pt idx="216">
                  <c:v>-0.164307327</c:v>
                </c:pt>
                <c:pt idx="217">
                  <c:v>-0.20571423599999999</c:v>
                </c:pt>
                <c:pt idx="218">
                  <c:v>-0.24728424099999999</c:v>
                </c:pt>
                <c:pt idx="219">
                  <c:v>-0.28868786600000002</c:v>
                </c:pt>
                <c:pt idx="220">
                  <c:v>-0.32941376700000002</c:v>
                </c:pt>
                <c:pt idx="221">
                  <c:v>-0.36955905100000003</c:v>
                </c:pt>
                <c:pt idx="222">
                  <c:v>-0.40907117799999998</c:v>
                </c:pt>
                <c:pt idx="223">
                  <c:v>-0.44842442900000001</c:v>
                </c:pt>
                <c:pt idx="224">
                  <c:v>-0.4869</c:v>
                </c:pt>
                <c:pt idx="225">
                  <c:v>-0.52423327500000005</c:v>
                </c:pt>
                <c:pt idx="226">
                  <c:v>-0.56083550100000001</c:v>
                </c:pt>
                <c:pt idx="227">
                  <c:v>-0.59616502599999999</c:v>
                </c:pt>
                <c:pt idx="228">
                  <c:v>-0.63061142400000003</c:v>
                </c:pt>
                <c:pt idx="229">
                  <c:v>-0.66488434900000004</c:v>
                </c:pt>
                <c:pt idx="230">
                  <c:v>-0.69843696499999997</c:v>
                </c:pt>
                <c:pt idx="231">
                  <c:v>-0.731664851</c:v>
                </c:pt>
                <c:pt idx="232">
                  <c:v>-0.76486664699999996</c:v>
                </c:pt>
                <c:pt idx="233">
                  <c:v>-0.79757475099999997</c:v>
                </c:pt>
                <c:pt idx="234">
                  <c:v>-0.82931582599999998</c:v>
                </c:pt>
                <c:pt idx="235">
                  <c:v>-0.86025934400000004</c:v>
                </c:pt>
                <c:pt idx="236">
                  <c:v>-0.89044094900000004</c:v>
                </c:pt>
                <c:pt idx="237">
                  <c:v>-0.91981477099999998</c:v>
                </c:pt>
                <c:pt idx="238">
                  <c:v>-0.94824106600000002</c:v>
                </c:pt>
                <c:pt idx="239">
                  <c:v>-0.97588528699999999</c:v>
                </c:pt>
                <c:pt idx="240">
                  <c:v>-1.0025532509999999</c:v>
                </c:pt>
                <c:pt idx="241">
                  <c:v>-1.028310721</c:v>
                </c:pt>
                <c:pt idx="242">
                  <c:v>-1.0532695190000001</c:v>
                </c:pt>
                <c:pt idx="243">
                  <c:v>-1.077802519</c:v>
                </c:pt>
                <c:pt idx="244">
                  <c:v>-1.1021961920000001</c:v>
                </c:pt>
                <c:pt idx="245">
                  <c:v>-1.1257362040000001</c:v>
                </c:pt>
                <c:pt idx="246">
                  <c:v>-1.148555185</c:v>
                </c:pt>
                <c:pt idx="247">
                  <c:v>-1.171244959</c:v>
                </c:pt>
                <c:pt idx="248">
                  <c:v>-1.193801406</c:v>
                </c:pt>
                <c:pt idx="249">
                  <c:v>-1.215818981</c:v>
                </c:pt>
                <c:pt idx="250">
                  <c:v>-1.2369439040000001</c:v>
                </c:pt>
                <c:pt idx="251">
                  <c:v>-1.256821441</c:v>
                </c:pt>
                <c:pt idx="252">
                  <c:v>-1.2751176440000001</c:v>
                </c:pt>
                <c:pt idx="253">
                  <c:v>-1.2927671350000001</c:v>
                </c:pt>
                <c:pt idx="254">
                  <c:v>-1.30981693</c:v>
                </c:pt>
                <c:pt idx="255">
                  <c:v>-1.3253844669999999</c:v>
                </c:pt>
                <c:pt idx="256">
                  <c:v>-1.3391</c:v>
                </c:pt>
                <c:pt idx="257">
                  <c:v>-1.3515174679999999</c:v>
                </c:pt>
                <c:pt idx="258">
                  <c:v>-1.3629292909999999</c:v>
                </c:pt>
                <c:pt idx="259">
                  <c:v>-1.3738490329999999</c:v>
                </c:pt>
                <c:pt idx="260">
                  <c:v>-1.3853757330000001</c:v>
                </c:pt>
                <c:pt idx="261">
                  <c:v>-1.397523726</c:v>
                </c:pt>
                <c:pt idx="262">
                  <c:v>-1.409595135</c:v>
                </c:pt>
                <c:pt idx="263">
                  <c:v>-1.420710838</c:v>
                </c:pt>
                <c:pt idx="264">
                  <c:v>-1.4316118339999999</c:v>
                </c:pt>
                <c:pt idx="265">
                  <c:v>-1.4418939040000001</c:v>
                </c:pt>
                <c:pt idx="266">
                  <c:v>-1.4516660809999999</c:v>
                </c:pt>
                <c:pt idx="267">
                  <c:v>-1.4616578790000001</c:v>
                </c:pt>
                <c:pt idx="268">
                  <c:v>-1.4709450500000001</c:v>
                </c:pt>
                <c:pt idx="269">
                  <c:v>-1.4790528409999999</c:v>
                </c:pt>
                <c:pt idx="270">
                  <c:v>-1.486034174</c:v>
                </c:pt>
                <c:pt idx="271">
                  <c:v>-1.492017575</c:v>
                </c:pt>
                <c:pt idx="272">
                  <c:v>-1.4968494429999999</c:v>
                </c:pt>
                <c:pt idx="273">
                  <c:v>-1.50056612</c:v>
                </c:pt>
                <c:pt idx="274">
                  <c:v>-1.503799941</c:v>
                </c:pt>
                <c:pt idx="275">
                  <c:v>-1.507470047</c:v>
                </c:pt>
                <c:pt idx="276">
                  <c:v>-1.5105189809999999</c:v>
                </c:pt>
                <c:pt idx="277">
                  <c:v>-1.5124311070000001</c:v>
                </c:pt>
                <c:pt idx="278">
                  <c:v>-1.5136813600000001</c:v>
                </c:pt>
                <c:pt idx="279">
                  <c:v>-1.5146625069999999</c:v>
                </c:pt>
                <c:pt idx="280">
                  <c:v>-1.5153374559999999</c:v>
                </c:pt>
                <c:pt idx="281">
                  <c:v>-1.5156000000000001</c:v>
                </c:pt>
                <c:pt idx="282">
                  <c:v>-1.5155531339999999</c:v>
                </c:pt>
                <c:pt idx="283">
                  <c:v>-1.51517966</c:v>
                </c:pt>
                <c:pt idx="284">
                  <c:v>-1.5140249560000001</c:v>
                </c:pt>
                <c:pt idx="285">
                  <c:v>-1.5117332160000001</c:v>
                </c:pt>
                <c:pt idx="286">
                  <c:v>-1.508893322</c:v>
                </c:pt>
                <c:pt idx="287">
                  <c:v>-1.5057486229999999</c:v>
                </c:pt>
                <c:pt idx="288">
                  <c:v>-1.5022500000000001</c:v>
                </c:pt>
                <c:pt idx="289">
                  <c:v>-1.4988185709999999</c:v>
                </c:pt>
                <c:pt idx="290">
                  <c:v>-1.4958753950000001</c:v>
                </c:pt>
                <c:pt idx="291">
                  <c:v>-1.4927557119999999</c:v>
                </c:pt>
                <c:pt idx="292">
                  <c:v>-1.489400117</c:v>
                </c:pt>
                <c:pt idx="293">
                  <c:v>-1.485614244</c:v>
                </c:pt>
                <c:pt idx="294">
                  <c:v>-1.4815871700000001</c:v>
                </c:pt>
                <c:pt idx="295">
                  <c:v>-1.476736555</c:v>
                </c:pt>
                <c:pt idx="296">
                  <c:v>-1.4707617230000001</c:v>
                </c:pt>
                <c:pt idx="297">
                  <c:v>-1.4642281779999999</c:v>
                </c:pt>
                <c:pt idx="298">
                  <c:v>-1.4573662949999999</c:v>
                </c:pt>
                <c:pt idx="299">
                  <c:v>-1.4499038660000001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6C-482D-9D42-8CC5C30ABE1A}"/>
            </c:ext>
          </c:extLst>
        </c:ser>
        <c:ser>
          <c:idx val="6"/>
          <c:order val="6"/>
          <c:tx>
            <c:strRef>
              <c:f>VW!$J$79</c:f>
              <c:strCache>
                <c:ptCount val="1"/>
                <c:pt idx="0">
                  <c:v>D7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VW!$J$80:$J$379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5.0615100000000003E-5</c:v>
                </c:pt>
                <c:pt idx="36">
                  <c:v>4.0435849999999997E-3</c:v>
                </c:pt>
                <c:pt idx="37">
                  <c:v>9.5325319999999998E-3</c:v>
                </c:pt>
                <c:pt idx="38">
                  <c:v>1.5881781000000001E-2</c:v>
                </c:pt>
                <c:pt idx="39">
                  <c:v>2.3942707000000001E-2</c:v>
                </c:pt>
                <c:pt idx="40">
                  <c:v>3.5214008999999998E-2</c:v>
                </c:pt>
                <c:pt idx="41">
                  <c:v>4.9360807999999999E-2</c:v>
                </c:pt>
                <c:pt idx="42">
                  <c:v>6.634197E-2</c:v>
                </c:pt>
                <c:pt idx="43">
                  <c:v>8.6345986999999999E-2</c:v>
                </c:pt>
                <c:pt idx="44">
                  <c:v>0.110228822</c:v>
                </c:pt>
                <c:pt idx="45">
                  <c:v>0.138188218</c:v>
                </c:pt>
                <c:pt idx="46">
                  <c:v>0.16981300499999999</c:v>
                </c:pt>
                <c:pt idx="47">
                  <c:v>0.20528827699999999</c:v>
                </c:pt>
                <c:pt idx="48">
                  <c:v>0.24505536</c:v>
                </c:pt>
                <c:pt idx="49">
                  <c:v>0.28916080799999999</c:v>
                </c:pt>
                <c:pt idx="50">
                  <c:v>0.336820281</c:v>
                </c:pt>
                <c:pt idx="51">
                  <c:v>0.38764264799999998</c:v>
                </c:pt>
                <c:pt idx="52">
                  <c:v>0.441022847</c:v>
                </c:pt>
                <c:pt idx="53">
                  <c:v>0.49683503200000001</c:v>
                </c:pt>
                <c:pt idx="54">
                  <c:v>0.55425975400000005</c:v>
                </c:pt>
                <c:pt idx="55">
                  <c:v>0.61330844100000004</c:v>
                </c:pt>
                <c:pt idx="56">
                  <c:v>0.67351628600000002</c:v>
                </c:pt>
                <c:pt idx="57">
                  <c:v>0.73401072099999998</c:v>
                </c:pt>
                <c:pt idx="58">
                  <c:v>0.79498141899999997</c:v>
                </c:pt>
                <c:pt idx="59">
                  <c:v>0.85669543100000001</c:v>
                </c:pt>
                <c:pt idx="60">
                  <c:v>0.91852110200000003</c:v>
                </c:pt>
                <c:pt idx="61">
                  <c:v>0.98082565899999996</c:v>
                </c:pt>
                <c:pt idx="62">
                  <c:v>1.042580785</c:v>
                </c:pt>
                <c:pt idx="63">
                  <c:v>1.1033378659999999</c:v>
                </c:pt>
                <c:pt idx="64">
                  <c:v>1.1632</c:v>
                </c:pt>
                <c:pt idx="65">
                  <c:v>1.221901465</c:v>
                </c:pt>
                <c:pt idx="66">
                  <c:v>1.2798531929999999</c:v>
                </c:pt>
                <c:pt idx="67">
                  <c:v>1.337512244</c:v>
                </c:pt>
                <c:pt idx="68">
                  <c:v>1.39</c:v>
                </c:pt>
                <c:pt idx="69">
                  <c:v>1.4505216169999999</c:v>
                </c:pt>
                <c:pt idx="70">
                  <c:v>1.5060632469999999</c:v>
                </c:pt>
                <c:pt idx="71">
                  <c:v>1.561111892</c:v>
                </c:pt>
                <c:pt idx="72">
                  <c:v>1.615284124</c:v>
                </c:pt>
                <c:pt idx="73">
                  <c:v>1.6691477139999999</c:v>
                </c:pt>
                <c:pt idx="74">
                  <c:v>1.7218149380000001</c:v>
                </c:pt>
                <c:pt idx="75">
                  <c:v>1.772945577</c:v>
                </c:pt>
                <c:pt idx="76">
                  <c:v>1.8235514939999999</c:v>
                </c:pt>
                <c:pt idx="77">
                  <c:v>1.8728777969999999</c:v>
                </c:pt>
                <c:pt idx="78">
                  <c:v>1.921154748</c:v>
                </c:pt>
                <c:pt idx="79">
                  <c:v>1.9693799649999999</c:v>
                </c:pt>
                <c:pt idx="80">
                  <c:v>2.017543995</c:v>
                </c:pt>
                <c:pt idx="81">
                  <c:v>2.065234818</c:v>
                </c:pt>
                <c:pt idx="82">
                  <c:v>2.113930463</c:v>
                </c:pt>
                <c:pt idx="83">
                  <c:v>2.1645569170000001</c:v>
                </c:pt>
                <c:pt idx="84">
                  <c:v>2.2161861159999998</c:v>
                </c:pt>
                <c:pt idx="85">
                  <c:v>2.2682118920000001</c:v>
                </c:pt>
                <c:pt idx="86">
                  <c:v>2.320604924</c:v>
                </c:pt>
                <c:pt idx="87">
                  <c:v>2.3728144699999998</c:v>
                </c:pt>
                <c:pt idx="88">
                  <c:v>2.4238187569999998</c:v>
                </c:pt>
                <c:pt idx="89">
                  <c:v>2.47366362</c:v>
                </c:pt>
                <c:pt idx="90">
                  <c:v>2.5230367899999999</c:v>
                </c:pt>
                <c:pt idx="91">
                  <c:v>2.5715038099999998</c:v>
                </c:pt>
                <c:pt idx="92">
                  <c:v>2.6191077329999999</c:v>
                </c:pt>
                <c:pt idx="93">
                  <c:v>2.6661657289999998</c:v>
                </c:pt>
                <c:pt idx="94">
                  <c:v>2.711859402</c:v>
                </c:pt>
                <c:pt idx="95">
                  <c:v>2.7561710599999998</c:v>
                </c:pt>
                <c:pt idx="96">
                  <c:v>2.7987500000000001</c:v>
                </c:pt>
                <c:pt idx="97">
                  <c:v>2.8390443470000002</c:v>
                </c:pt>
                <c:pt idx="98">
                  <c:v>2.8770103690000002</c:v>
                </c:pt>
                <c:pt idx="99">
                  <c:v>2.9126681900000002</c:v>
                </c:pt>
                <c:pt idx="100">
                  <c:v>2.9471427069999998</c:v>
                </c:pt>
                <c:pt idx="101">
                  <c:v>2.9801094369999999</c:v>
                </c:pt>
                <c:pt idx="102">
                  <c:v>3.0117868190000001</c:v>
                </c:pt>
                <c:pt idx="103">
                  <c:v>3.0426479789999998</c:v>
                </c:pt>
                <c:pt idx="104">
                  <c:v>3.0727162369999999</c:v>
                </c:pt>
                <c:pt idx="105">
                  <c:v>3.1006544819999999</c:v>
                </c:pt>
                <c:pt idx="106">
                  <c:v>3.1268663540000001</c:v>
                </c:pt>
                <c:pt idx="107">
                  <c:v>3.151910252</c:v>
                </c:pt>
                <c:pt idx="108">
                  <c:v>3.1752541299999999</c:v>
                </c:pt>
                <c:pt idx="109">
                  <c:v>3.1972876320000001</c:v>
                </c:pt>
                <c:pt idx="110">
                  <c:v>3.2189659640000001</c:v>
                </c:pt>
                <c:pt idx="111">
                  <c:v>3.2405798940000001</c:v>
                </c:pt>
                <c:pt idx="112">
                  <c:v>3.2610024019999999</c:v>
                </c:pt>
                <c:pt idx="113">
                  <c:v>3.2796690690000001</c:v>
                </c:pt>
                <c:pt idx="114">
                  <c:v>3.296534877</c:v>
                </c:pt>
                <c:pt idx="115">
                  <c:v>3.311594318</c:v>
                </c:pt>
                <c:pt idx="116">
                  <c:v>3.3248104860000001</c:v>
                </c:pt>
                <c:pt idx="117">
                  <c:v>3.3359983010000001</c:v>
                </c:pt>
                <c:pt idx="118">
                  <c:v>3.3451840069999998</c:v>
                </c:pt>
                <c:pt idx="119">
                  <c:v>3.3524014649999998</c:v>
                </c:pt>
                <c:pt idx="120">
                  <c:v>3.3577377859999999</c:v>
                </c:pt>
                <c:pt idx="121">
                  <c:v>3.3615901579999998</c:v>
                </c:pt>
                <c:pt idx="122">
                  <c:v>3.36423476</c:v>
                </c:pt>
                <c:pt idx="123">
                  <c:v>3.364957821</c:v>
                </c:pt>
                <c:pt idx="124">
                  <c:v>3.3643563310000002</c:v>
                </c:pt>
                <c:pt idx="125">
                  <c:v>3.3622919160000002</c:v>
                </c:pt>
                <c:pt idx="126">
                  <c:v>3.3581442880000001</c:v>
                </c:pt>
                <c:pt idx="127">
                  <c:v>3.351978957</c:v>
                </c:pt>
                <c:pt idx="128">
                  <c:v>3.3435999999999999</c:v>
                </c:pt>
                <c:pt idx="129">
                  <c:v>3.33371993</c:v>
                </c:pt>
                <c:pt idx="130">
                  <c:v>3.322558055</c:v>
                </c:pt>
                <c:pt idx="131">
                  <c:v>3.310335442</c:v>
                </c:pt>
                <c:pt idx="132">
                  <c:v>3.2971553930000002</c:v>
                </c:pt>
                <c:pt idx="133">
                  <c:v>3.2821558880000001</c:v>
                </c:pt>
                <c:pt idx="134">
                  <c:v>3.264884291</c:v>
                </c:pt>
                <c:pt idx="135">
                  <c:v>3.2452222609999999</c:v>
                </c:pt>
                <c:pt idx="136">
                  <c:v>3.224226362</c:v>
                </c:pt>
                <c:pt idx="137">
                  <c:v>3.2021543380000002</c:v>
                </c:pt>
                <c:pt idx="138">
                  <c:v>3.1798427070000002</c:v>
                </c:pt>
                <c:pt idx="139">
                  <c:v>3.1566909779999999</c:v>
                </c:pt>
                <c:pt idx="140">
                  <c:v>3.1313770939999999</c:v>
                </c:pt>
                <c:pt idx="141">
                  <c:v>3.104358934</c:v>
                </c:pt>
                <c:pt idx="142">
                  <c:v>3.07495721</c:v>
                </c:pt>
                <c:pt idx="143">
                  <c:v>3.0435571179999998</c:v>
                </c:pt>
                <c:pt idx="144">
                  <c:v>3.0101792619999999</c:v>
                </c:pt>
                <c:pt idx="145">
                  <c:v>2.975054396</c:v>
                </c:pt>
                <c:pt idx="146">
                  <c:v>2.9390224370000002</c:v>
                </c:pt>
                <c:pt idx="147">
                  <c:v>2.9030746779999999</c:v>
                </c:pt>
                <c:pt idx="148">
                  <c:v>2.8669465729999999</c:v>
                </c:pt>
                <c:pt idx="149">
                  <c:v>2.8297210310000001</c:v>
                </c:pt>
                <c:pt idx="150">
                  <c:v>2.790533763</c:v>
                </c:pt>
                <c:pt idx="151">
                  <c:v>2.7488824840000001</c:v>
                </c:pt>
                <c:pt idx="152">
                  <c:v>2.7046556860000002</c:v>
                </c:pt>
                <c:pt idx="153">
                  <c:v>2.6587898069999998</c:v>
                </c:pt>
                <c:pt idx="154">
                  <c:v>2.6112444049999999</c:v>
                </c:pt>
                <c:pt idx="155">
                  <c:v>2.5629039859999998</c:v>
                </c:pt>
                <c:pt idx="156">
                  <c:v>2.5145422380000002</c:v>
                </c:pt>
                <c:pt idx="157">
                  <c:v>2.4661532510000002</c:v>
                </c:pt>
                <c:pt idx="158">
                  <c:v>2.417761863</c:v>
                </c:pt>
                <c:pt idx="159">
                  <c:v>2.3685902169999999</c:v>
                </c:pt>
                <c:pt idx="160">
                  <c:v>2.3183500000000001</c:v>
                </c:pt>
                <c:pt idx="161">
                  <c:v>2.2664971290000002</c:v>
                </c:pt>
                <c:pt idx="162">
                  <c:v>2.2135012299999999</c:v>
                </c:pt>
                <c:pt idx="163">
                  <c:v>2.16029297</c:v>
                </c:pt>
                <c:pt idx="164">
                  <c:v>2.1081453429999999</c:v>
                </c:pt>
                <c:pt idx="165">
                  <c:v>2.057672626</c:v>
                </c:pt>
                <c:pt idx="166">
                  <c:v>2.008330521</c:v>
                </c:pt>
                <c:pt idx="167">
                  <c:v>1.958652724</c:v>
                </c:pt>
                <c:pt idx="168">
                  <c:v>1.908281184</c:v>
                </c:pt>
                <c:pt idx="169">
                  <c:v>1.85722853</c:v>
                </c:pt>
                <c:pt idx="170">
                  <c:v>1.8053267879999999</c:v>
                </c:pt>
                <c:pt idx="171">
                  <c:v>1.753207264</c:v>
                </c:pt>
                <c:pt idx="172">
                  <c:v>1.7024421789999999</c:v>
                </c:pt>
                <c:pt idx="173">
                  <c:v>1.6530258499999999</c:v>
                </c:pt>
                <c:pt idx="174">
                  <c:v>1.6045617459999999</c:v>
                </c:pt>
                <c:pt idx="175">
                  <c:v>1.556519226</c:v>
                </c:pt>
                <c:pt idx="176">
                  <c:v>1.5088941419999999</c:v>
                </c:pt>
                <c:pt idx="177">
                  <c:v>1.462112654</c:v>
                </c:pt>
                <c:pt idx="178">
                  <c:v>1.415170399</c:v>
                </c:pt>
                <c:pt idx="179">
                  <c:v>1.3681731690000001</c:v>
                </c:pt>
                <c:pt idx="180">
                  <c:v>1.3220571759999999</c:v>
                </c:pt>
                <c:pt idx="181">
                  <c:v>1.2762837730000001</c:v>
                </c:pt>
                <c:pt idx="182">
                  <c:v>1.2301771530000001</c:v>
                </c:pt>
                <c:pt idx="183">
                  <c:v>1.18437415</c:v>
                </c:pt>
                <c:pt idx="184">
                  <c:v>1.1385346220000001</c:v>
                </c:pt>
                <c:pt idx="185">
                  <c:v>1.0926482719999999</c:v>
                </c:pt>
                <c:pt idx="186">
                  <c:v>1.0471053930000001</c:v>
                </c:pt>
                <c:pt idx="187">
                  <c:v>1.0020994729999999</c:v>
                </c:pt>
                <c:pt idx="188">
                  <c:v>0.95801524000000005</c:v>
                </c:pt>
                <c:pt idx="189">
                  <c:v>0.91437440000000003</c:v>
                </c:pt>
                <c:pt idx="190">
                  <c:v>0.87115471600000005</c:v>
                </c:pt>
                <c:pt idx="191">
                  <c:v>0.82777180500000003</c:v>
                </c:pt>
                <c:pt idx="192">
                  <c:v>0.78390000000000004</c:v>
                </c:pt>
                <c:pt idx="193">
                  <c:v>0.739776671</c:v>
                </c:pt>
                <c:pt idx="194">
                  <c:v>0.69624844799999996</c:v>
                </c:pt>
                <c:pt idx="195">
                  <c:v>0.65363802000000004</c:v>
                </c:pt>
                <c:pt idx="196">
                  <c:v>0.61148487699999998</c:v>
                </c:pt>
                <c:pt idx="197">
                  <c:v>0.56979121300000002</c:v>
                </c:pt>
                <c:pt idx="198">
                  <c:v>0.52788159400000001</c:v>
                </c:pt>
                <c:pt idx="199">
                  <c:v>0.48574288199999999</c:v>
                </c:pt>
                <c:pt idx="200">
                  <c:v>0.44406508500000003</c:v>
                </c:pt>
                <c:pt idx="201">
                  <c:v>0.40253059800000002</c:v>
                </c:pt>
                <c:pt idx="202">
                  <c:v>0.36109806700000002</c:v>
                </c:pt>
                <c:pt idx="203">
                  <c:v>0.320212302</c:v>
                </c:pt>
                <c:pt idx="204">
                  <c:v>0.27908728799999999</c:v>
                </c:pt>
                <c:pt idx="205">
                  <c:v>0.23768131200000001</c:v>
                </c:pt>
                <c:pt idx="206">
                  <c:v>0.195713834</c:v>
                </c:pt>
                <c:pt idx="207">
                  <c:v>0.15287978899999999</c:v>
                </c:pt>
                <c:pt idx="208">
                  <c:v>0.110705214</c:v>
                </c:pt>
                <c:pt idx="209">
                  <c:v>6.9805217000000003E-2</c:v>
                </c:pt>
                <c:pt idx="210">
                  <c:v>2.9731869000000001E-2</c:v>
                </c:pt>
                <c:pt idx="211">
                  <c:v>-9.7688159999999996E-3</c:v>
                </c:pt>
                <c:pt idx="212">
                  <c:v>-4.9047451999999998E-2</c:v>
                </c:pt>
                <c:pt idx="213">
                  <c:v>-8.8592852999999999E-2</c:v>
                </c:pt>
                <c:pt idx="214">
                  <c:v>-0.12828810099999999</c:v>
                </c:pt>
                <c:pt idx="215">
                  <c:v>-0.16772530799999999</c:v>
                </c:pt>
                <c:pt idx="216">
                  <c:v>-0.20580779599999999</c:v>
                </c:pt>
                <c:pt idx="217">
                  <c:v>-0.24346379600000001</c:v>
                </c:pt>
                <c:pt idx="218">
                  <c:v>-0.28100333900000002</c:v>
                </c:pt>
                <c:pt idx="219">
                  <c:v>-0.31795328299999998</c:v>
                </c:pt>
                <c:pt idx="220">
                  <c:v>-0.35471364999999999</c:v>
                </c:pt>
                <c:pt idx="221">
                  <c:v>-0.39170017600000001</c:v>
                </c:pt>
                <c:pt idx="222">
                  <c:v>-0.42810193299999999</c:v>
                </c:pt>
                <c:pt idx="223">
                  <c:v>-0.46407146999999999</c:v>
                </c:pt>
                <c:pt idx="224">
                  <c:v>-0.49985000000000002</c:v>
                </c:pt>
                <c:pt idx="225">
                  <c:v>-0.53502378399999995</c:v>
                </c:pt>
                <c:pt idx="226">
                  <c:v>-0.56951704700000005</c:v>
                </c:pt>
                <c:pt idx="227">
                  <c:v>-0.60334604599999997</c:v>
                </c:pt>
                <c:pt idx="228">
                  <c:v>-0.63631148199999998</c:v>
                </c:pt>
                <c:pt idx="229">
                  <c:v>-0.66888909699999999</c:v>
                </c:pt>
                <c:pt idx="230">
                  <c:v>-0.70115249000000002</c:v>
                </c:pt>
                <c:pt idx="231">
                  <c:v>-0.73274006999999997</c:v>
                </c:pt>
                <c:pt idx="232">
                  <c:v>-0.763628839</c:v>
                </c:pt>
                <c:pt idx="233">
                  <c:v>-0.79367633299999996</c:v>
                </c:pt>
                <c:pt idx="234">
                  <c:v>-0.82280363400000001</c:v>
                </c:pt>
                <c:pt idx="235">
                  <c:v>-0.850504335</c:v>
                </c:pt>
                <c:pt idx="236">
                  <c:v>-0.877803691</c:v>
                </c:pt>
                <c:pt idx="237">
                  <c:v>-0.90518651800000005</c:v>
                </c:pt>
                <c:pt idx="238">
                  <c:v>-0.93251605199999998</c:v>
                </c:pt>
                <c:pt idx="239">
                  <c:v>-0.95986969499999997</c:v>
                </c:pt>
                <c:pt idx="240">
                  <c:v>-0.98620316299999999</c:v>
                </c:pt>
                <c:pt idx="241">
                  <c:v>-1.0112154659999999</c:v>
                </c:pt>
                <c:pt idx="242">
                  <c:v>-1.0353538689999999</c:v>
                </c:pt>
                <c:pt idx="243">
                  <c:v>-1.0581477450000001</c:v>
                </c:pt>
                <c:pt idx="244">
                  <c:v>-1.079846632</c:v>
                </c:pt>
                <c:pt idx="245">
                  <c:v>-1.100662332</c:v>
                </c:pt>
                <c:pt idx="246">
                  <c:v>-1.1205803160000001</c:v>
                </c:pt>
                <c:pt idx="247">
                  <c:v>-1.140502814</c:v>
                </c:pt>
                <c:pt idx="248">
                  <c:v>-1.160363738</c:v>
                </c:pt>
                <c:pt idx="249">
                  <c:v>-1.1800848859999999</c:v>
                </c:pt>
                <c:pt idx="250">
                  <c:v>-1.1997780769999999</c:v>
                </c:pt>
                <c:pt idx="251">
                  <c:v>-1.219249561</c:v>
                </c:pt>
                <c:pt idx="252">
                  <c:v>-1.2378113719999999</c:v>
                </c:pt>
                <c:pt idx="253">
                  <c:v>-1.255473345</c:v>
                </c:pt>
                <c:pt idx="254">
                  <c:v>-1.2717264210000001</c:v>
                </c:pt>
                <c:pt idx="255">
                  <c:v>-1.286818816</c:v>
                </c:pt>
                <c:pt idx="256">
                  <c:v>-1.3015000000000001</c:v>
                </c:pt>
                <c:pt idx="257">
                  <c:v>-1.3160124849999999</c:v>
                </c:pt>
                <c:pt idx="258">
                  <c:v>-1.3303953129999999</c:v>
                </c:pt>
                <c:pt idx="259">
                  <c:v>-1.344637844</c:v>
                </c:pt>
                <c:pt idx="260">
                  <c:v>-1.358682122</c:v>
                </c:pt>
                <c:pt idx="261">
                  <c:v>-1.372111248</c:v>
                </c:pt>
                <c:pt idx="262">
                  <c:v>-1.3845044550000001</c:v>
                </c:pt>
                <c:pt idx="263">
                  <c:v>-1.3958295249999999</c:v>
                </c:pt>
                <c:pt idx="264">
                  <c:v>-1.406111892</c:v>
                </c:pt>
                <c:pt idx="265">
                  <c:v>-1.4154017000000001</c:v>
                </c:pt>
                <c:pt idx="266">
                  <c:v>-1.4241191559999999</c:v>
                </c:pt>
                <c:pt idx="267">
                  <c:v>-1.4326112479999999</c:v>
                </c:pt>
                <c:pt idx="268">
                  <c:v>-1.4415077329999999</c:v>
                </c:pt>
                <c:pt idx="269">
                  <c:v>-1.450974634</c:v>
                </c:pt>
                <c:pt idx="270">
                  <c:v>-1.460065358</c:v>
                </c:pt>
                <c:pt idx="271">
                  <c:v>-1.468100527</c:v>
                </c:pt>
                <c:pt idx="272">
                  <c:v>-1.4750741650000001</c:v>
                </c:pt>
                <c:pt idx="273">
                  <c:v>-1.4799115469999999</c:v>
                </c:pt>
                <c:pt idx="274">
                  <c:v>-1.4818187460000001</c:v>
                </c:pt>
                <c:pt idx="275">
                  <c:v>-1.482</c:v>
                </c:pt>
                <c:pt idx="276">
                  <c:v>-1.4823938489999999</c:v>
                </c:pt>
                <c:pt idx="277">
                  <c:v>-1.484118512</c:v>
                </c:pt>
                <c:pt idx="278">
                  <c:v>-1.486775264</c:v>
                </c:pt>
                <c:pt idx="279">
                  <c:v>-1.4893968950000001</c:v>
                </c:pt>
                <c:pt idx="280">
                  <c:v>-1.4910624269999999</c:v>
                </c:pt>
                <c:pt idx="281">
                  <c:v>-1.4912623899999999</c:v>
                </c:pt>
                <c:pt idx="282">
                  <c:v>-1.489622086</c:v>
                </c:pt>
                <c:pt idx="283">
                  <c:v>-1.4867983</c:v>
                </c:pt>
                <c:pt idx="284">
                  <c:v>-1.4841124189999999</c:v>
                </c:pt>
                <c:pt idx="285">
                  <c:v>-1.482617399</c:v>
                </c:pt>
                <c:pt idx="286">
                  <c:v>-1.482446924</c:v>
                </c:pt>
                <c:pt idx="287">
                  <c:v>-1.482732806</c:v>
                </c:pt>
                <c:pt idx="288">
                  <c:v>-1.4823999999999999</c:v>
                </c:pt>
                <c:pt idx="289">
                  <c:v>-1.480185764</c:v>
                </c:pt>
                <c:pt idx="290">
                  <c:v>-1.475166432</c:v>
                </c:pt>
                <c:pt idx="291">
                  <c:v>-1.468606678</c:v>
                </c:pt>
                <c:pt idx="292">
                  <c:v>-1.461750205</c:v>
                </c:pt>
                <c:pt idx="293">
                  <c:v>-1.455511196</c:v>
                </c:pt>
                <c:pt idx="294">
                  <c:v>-1.4505871699999999</c:v>
                </c:pt>
                <c:pt idx="295">
                  <c:v>-1.4466504389999999</c:v>
                </c:pt>
                <c:pt idx="296">
                  <c:v>-1.44324959</c:v>
                </c:pt>
                <c:pt idx="297">
                  <c:v>-1.4396891039999999</c:v>
                </c:pt>
                <c:pt idx="298">
                  <c:v>-1.4341100229999999</c:v>
                </c:pt>
                <c:pt idx="299">
                  <c:v>-1.4266084939999999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86C-482D-9D42-8CC5C30ABE1A}"/>
            </c:ext>
          </c:extLst>
        </c:ser>
        <c:ser>
          <c:idx val="7"/>
          <c:order val="7"/>
          <c:tx>
            <c:strRef>
              <c:f>VW!$K$79</c:f>
              <c:strCache>
                <c:ptCount val="1"/>
                <c:pt idx="0">
                  <c:v>D8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VW!$K$80:$K$379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-4.7035700000000002E-4</c:v>
                </c:pt>
                <c:pt idx="34">
                  <c:v>-1.374868E-3</c:v>
                </c:pt>
                <c:pt idx="35">
                  <c:v>-1.601582E-3</c:v>
                </c:pt>
                <c:pt idx="36">
                  <c:v>-1.7374929999999999E-3</c:v>
                </c:pt>
                <c:pt idx="37">
                  <c:v>-1.7562719999999999E-3</c:v>
                </c:pt>
                <c:pt idx="38">
                  <c:v>-1.2343289999999999E-3</c:v>
                </c:pt>
                <c:pt idx="39">
                  <c:v>-7.1880499999999999E-4</c:v>
                </c:pt>
                <c:pt idx="40">
                  <c:v>2.75147E-4</c:v>
                </c:pt>
                <c:pt idx="41">
                  <c:v>2.2359110000000001E-3</c:v>
                </c:pt>
                <c:pt idx="42">
                  <c:v>5.7871040000000004E-3</c:v>
                </c:pt>
                <c:pt idx="43">
                  <c:v>1.0475570999999999E-2</c:v>
                </c:pt>
                <c:pt idx="44">
                  <c:v>1.7224252999999998E-2</c:v>
                </c:pt>
                <c:pt idx="45">
                  <c:v>2.6149179000000002E-2</c:v>
                </c:pt>
                <c:pt idx="46">
                  <c:v>3.6818921999999997E-2</c:v>
                </c:pt>
                <c:pt idx="47">
                  <c:v>4.9351114000000001E-2</c:v>
                </c:pt>
                <c:pt idx="48">
                  <c:v>6.4127064999999997E-2</c:v>
                </c:pt>
                <c:pt idx="49">
                  <c:v>8.1533040000000001E-2</c:v>
                </c:pt>
                <c:pt idx="50">
                  <c:v>0.10170691699999999</c:v>
                </c:pt>
                <c:pt idx="51">
                  <c:v>0.124643117</c:v>
                </c:pt>
                <c:pt idx="52">
                  <c:v>0.15030216800000001</c:v>
                </c:pt>
                <c:pt idx="53">
                  <c:v>0.179148272</c:v>
                </c:pt>
                <c:pt idx="54">
                  <c:v>0.20989226699999999</c:v>
                </c:pt>
                <c:pt idx="55">
                  <c:v>0.241896366</c:v>
                </c:pt>
                <c:pt idx="56">
                  <c:v>0.27553966000000002</c:v>
                </c:pt>
                <c:pt idx="57">
                  <c:v>0.31082026899999998</c:v>
                </c:pt>
                <c:pt idx="58">
                  <c:v>0.34674624900000001</c:v>
                </c:pt>
                <c:pt idx="59">
                  <c:v>0.38321476300000001</c:v>
                </c:pt>
                <c:pt idx="60">
                  <c:v>0.42032262599999998</c:v>
                </c:pt>
                <c:pt idx="61">
                  <c:v>0.45873303999999998</c:v>
                </c:pt>
                <c:pt idx="62">
                  <c:v>0.49801130599999999</c:v>
                </c:pt>
                <c:pt idx="63">
                  <c:v>0.53776060999999997</c:v>
                </c:pt>
                <c:pt idx="64">
                  <c:v>0.57799999999999996</c:v>
                </c:pt>
                <c:pt idx="65">
                  <c:v>0.61800504099999998</c:v>
                </c:pt>
                <c:pt idx="66">
                  <c:v>0.65755430599999998</c:v>
                </c:pt>
                <c:pt idx="67">
                  <c:v>0.69676696000000005</c:v>
                </c:pt>
                <c:pt idx="68">
                  <c:v>0.73558991799999995</c:v>
                </c:pt>
                <c:pt idx="69">
                  <c:v>0.77400245999999995</c:v>
                </c:pt>
                <c:pt idx="70">
                  <c:v>0.81199413799999998</c:v>
                </c:pt>
                <c:pt idx="71">
                  <c:v>0.84958629200000002</c:v>
                </c:pt>
                <c:pt idx="72">
                  <c:v>0.88784756899999995</c:v>
                </c:pt>
                <c:pt idx="73">
                  <c:v>0.92697561500000003</c:v>
                </c:pt>
                <c:pt idx="74">
                  <c:v>0.966136204</c:v>
                </c:pt>
                <c:pt idx="75">
                  <c:v>1.0053301109999999</c:v>
                </c:pt>
                <c:pt idx="76">
                  <c:v>1.0442246630000001</c:v>
                </c:pt>
                <c:pt idx="77">
                  <c:v>1.081975103</c:v>
                </c:pt>
                <c:pt idx="78">
                  <c:v>1.1191957210000001</c:v>
                </c:pt>
                <c:pt idx="79">
                  <c:v>1.15594007</c:v>
                </c:pt>
                <c:pt idx="80">
                  <c:v>1.1921954889999999</c:v>
                </c:pt>
                <c:pt idx="81">
                  <c:v>1.2279300120000001</c:v>
                </c:pt>
                <c:pt idx="82">
                  <c:v>1.2638963089999999</c:v>
                </c:pt>
                <c:pt idx="83">
                  <c:v>1.300158089</c:v>
                </c:pt>
                <c:pt idx="84">
                  <c:v>1.336740949</c:v>
                </c:pt>
                <c:pt idx="85">
                  <c:v>1.374018043</c:v>
                </c:pt>
                <c:pt idx="86">
                  <c:v>1.412463013</c:v>
                </c:pt>
                <c:pt idx="87">
                  <c:v>1.4514393670000001</c:v>
                </c:pt>
                <c:pt idx="88">
                  <c:v>1.4908200469999999</c:v>
                </c:pt>
                <c:pt idx="89">
                  <c:v>1.53052812</c:v>
                </c:pt>
                <c:pt idx="90">
                  <c:v>1.5705749849999999</c:v>
                </c:pt>
                <c:pt idx="91">
                  <c:v>1.6105831180000001</c:v>
                </c:pt>
                <c:pt idx="92">
                  <c:v>1.6500199769999999</c:v>
                </c:pt>
                <c:pt idx="93">
                  <c:v>1.6889748680000001</c:v>
                </c:pt>
                <c:pt idx="94">
                  <c:v>1.7273678379999999</c:v>
                </c:pt>
                <c:pt idx="95">
                  <c:v>1.7651979499999999</c:v>
                </c:pt>
                <c:pt idx="96">
                  <c:v>1.8028</c:v>
                </c:pt>
                <c:pt idx="97">
                  <c:v>1.8402676630000001</c:v>
                </c:pt>
                <c:pt idx="98">
                  <c:v>1.8771042179999999</c:v>
                </c:pt>
                <c:pt idx="99">
                  <c:v>1.913361863</c:v>
                </c:pt>
                <c:pt idx="100">
                  <c:v>1.9474989460000001</c:v>
                </c:pt>
                <c:pt idx="101">
                  <c:v>1.9810687570000001</c:v>
                </c:pt>
                <c:pt idx="102">
                  <c:v>2.0136524900000001</c:v>
                </c:pt>
                <c:pt idx="103">
                  <c:v>2.0450994730000001</c:v>
                </c:pt>
                <c:pt idx="104">
                  <c:v>2.0754037510000001</c:v>
                </c:pt>
                <c:pt idx="105">
                  <c:v>2.1040919740000001</c:v>
                </c:pt>
                <c:pt idx="106">
                  <c:v>2.1312631299999998</c:v>
                </c:pt>
                <c:pt idx="107">
                  <c:v>2.1576354420000001</c:v>
                </c:pt>
                <c:pt idx="108">
                  <c:v>2.1835850620000001</c:v>
                </c:pt>
                <c:pt idx="109">
                  <c:v>2.209605158</c:v>
                </c:pt>
                <c:pt idx="110">
                  <c:v>2.235166022</c:v>
                </c:pt>
                <c:pt idx="111">
                  <c:v>2.2598981829999998</c:v>
                </c:pt>
                <c:pt idx="112">
                  <c:v>2.2836528409999999</c:v>
                </c:pt>
                <c:pt idx="113">
                  <c:v>2.3057922670000002</c:v>
                </c:pt>
                <c:pt idx="114">
                  <c:v>2.3269475380000002</c:v>
                </c:pt>
                <c:pt idx="115">
                  <c:v>2.3476992380000001</c:v>
                </c:pt>
                <c:pt idx="116">
                  <c:v>2.3681093149999999</c:v>
                </c:pt>
                <c:pt idx="117">
                  <c:v>2.388440422</c:v>
                </c:pt>
                <c:pt idx="118">
                  <c:v>2.4079553599999999</c:v>
                </c:pt>
                <c:pt idx="119">
                  <c:v>2.4260794259999998</c:v>
                </c:pt>
                <c:pt idx="120">
                  <c:v>2.4415884010000002</c:v>
                </c:pt>
                <c:pt idx="121">
                  <c:v>2.4549639129999998</c:v>
                </c:pt>
                <c:pt idx="122">
                  <c:v>2.4672769049999999</c:v>
                </c:pt>
                <c:pt idx="123">
                  <c:v>2.478437258</c:v>
                </c:pt>
                <c:pt idx="124">
                  <c:v>2.488561899</c:v>
                </c:pt>
                <c:pt idx="125">
                  <c:v>2.4980758060000001</c:v>
                </c:pt>
                <c:pt idx="126">
                  <c:v>2.5073833630000002</c:v>
                </c:pt>
                <c:pt idx="127">
                  <c:v>2.5154836459999999</c:v>
                </c:pt>
                <c:pt idx="128">
                  <c:v>2.5217999999999998</c:v>
                </c:pt>
                <c:pt idx="129">
                  <c:v>2.5259121919999998</c:v>
                </c:pt>
                <c:pt idx="130">
                  <c:v>2.528415817</c:v>
                </c:pt>
                <c:pt idx="131">
                  <c:v>2.5297608669999998</c:v>
                </c:pt>
                <c:pt idx="132">
                  <c:v>2.5296186989999998</c:v>
                </c:pt>
                <c:pt idx="133">
                  <c:v>2.5280249559999999</c:v>
                </c:pt>
                <c:pt idx="134">
                  <c:v>2.525200586</c:v>
                </c:pt>
                <c:pt idx="135">
                  <c:v>2.5212462210000002</c:v>
                </c:pt>
                <c:pt idx="136">
                  <c:v>2.5158004100000002</c:v>
                </c:pt>
                <c:pt idx="137">
                  <c:v>2.508690504</c:v>
                </c:pt>
                <c:pt idx="138">
                  <c:v>2.5008121270000001</c:v>
                </c:pt>
                <c:pt idx="139">
                  <c:v>2.4926668420000002</c:v>
                </c:pt>
                <c:pt idx="140">
                  <c:v>2.4833421210000002</c:v>
                </c:pt>
                <c:pt idx="141">
                  <c:v>2.4728441710000002</c:v>
                </c:pt>
                <c:pt idx="142">
                  <c:v>2.4614535169999998</c:v>
                </c:pt>
                <c:pt idx="143">
                  <c:v>2.4476411250000001</c:v>
                </c:pt>
                <c:pt idx="144">
                  <c:v>2.4318520210000001</c:v>
                </c:pt>
                <c:pt idx="145">
                  <c:v>2.4146616060000001</c:v>
                </c:pt>
                <c:pt idx="146">
                  <c:v>2.3962815470000001</c:v>
                </c:pt>
                <c:pt idx="147">
                  <c:v>2.3772186990000002</c:v>
                </c:pt>
                <c:pt idx="148">
                  <c:v>2.3577481549999999</c:v>
                </c:pt>
                <c:pt idx="149">
                  <c:v>2.337820797</c:v>
                </c:pt>
                <c:pt idx="150">
                  <c:v>2.3168792499999999</c:v>
                </c:pt>
                <c:pt idx="151">
                  <c:v>2.2945998240000001</c:v>
                </c:pt>
                <c:pt idx="152">
                  <c:v>2.2707781950000001</c:v>
                </c:pt>
                <c:pt idx="153">
                  <c:v>2.24492812</c:v>
                </c:pt>
                <c:pt idx="154">
                  <c:v>2.2180271239999998</c:v>
                </c:pt>
                <c:pt idx="155">
                  <c:v>2.1905158849999999</c:v>
                </c:pt>
                <c:pt idx="156">
                  <c:v>2.1624991210000002</c:v>
                </c:pt>
                <c:pt idx="157">
                  <c:v>2.1338875220000002</c:v>
                </c:pt>
                <c:pt idx="158">
                  <c:v>2.1039393670000002</c:v>
                </c:pt>
                <c:pt idx="159">
                  <c:v>2.0724783250000001</c:v>
                </c:pt>
                <c:pt idx="160">
                  <c:v>2.03965</c:v>
                </c:pt>
                <c:pt idx="161">
                  <c:v>2.0058137669999998</c:v>
                </c:pt>
                <c:pt idx="162">
                  <c:v>1.9713298770000001</c:v>
                </c:pt>
                <c:pt idx="163">
                  <c:v>1.9363191559999999</c:v>
                </c:pt>
                <c:pt idx="164">
                  <c:v>1.9006073809999999</c:v>
                </c:pt>
                <c:pt idx="165">
                  <c:v>1.8642892150000001</c:v>
                </c:pt>
                <c:pt idx="166">
                  <c:v>1.8277752780000001</c:v>
                </c:pt>
                <c:pt idx="167">
                  <c:v>1.7909855889999999</c:v>
                </c:pt>
                <c:pt idx="168">
                  <c:v>1.7530702229999999</c:v>
                </c:pt>
                <c:pt idx="169">
                  <c:v>1.7144581139999999</c:v>
                </c:pt>
                <c:pt idx="170">
                  <c:v>1.676081653</c:v>
                </c:pt>
                <c:pt idx="171">
                  <c:v>1.638574341</c:v>
                </c:pt>
                <c:pt idx="172">
                  <c:v>1.6010347979999999</c:v>
                </c:pt>
                <c:pt idx="173">
                  <c:v>1.5633236230000001</c:v>
                </c:pt>
                <c:pt idx="174">
                  <c:v>1.5259806680000001</c:v>
                </c:pt>
                <c:pt idx="175">
                  <c:v>1.4881584990000001</c:v>
                </c:pt>
                <c:pt idx="176">
                  <c:v>1.4499952549999999</c:v>
                </c:pt>
                <c:pt idx="177">
                  <c:v>1.4121182779999999</c:v>
                </c:pt>
                <c:pt idx="178">
                  <c:v>1.374142556</c:v>
                </c:pt>
                <c:pt idx="179">
                  <c:v>1.3360922669999999</c:v>
                </c:pt>
                <c:pt idx="180">
                  <c:v>1.299068248</c:v>
                </c:pt>
                <c:pt idx="181">
                  <c:v>1.2623492089999999</c:v>
                </c:pt>
                <c:pt idx="182">
                  <c:v>1.225301757</c:v>
                </c:pt>
                <c:pt idx="183">
                  <c:v>1.1879818289999999</c:v>
                </c:pt>
                <c:pt idx="184">
                  <c:v>1.1510727009999999</c:v>
                </c:pt>
                <c:pt idx="185">
                  <c:v>1.1140439950000001</c:v>
                </c:pt>
                <c:pt idx="186">
                  <c:v>1.0759158849999999</c:v>
                </c:pt>
                <c:pt idx="187">
                  <c:v>1.0372884010000001</c:v>
                </c:pt>
                <c:pt idx="188">
                  <c:v>0.99894613099999996</c:v>
                </c:pt>
                <c:pt idx="189">
                  <c:v>0.96133901600000005</c:v>
                </c:pt>
                <c:pt idx="190">
                  <c:v>0.92456338599999999</c:v>
                </c:pt>
                <c:pt idx="191">
                  <c:v>0.88820697500000001</c:v>
                </c:pt>
                <c:pt idx="192">
                  <c:v>0.85160000000000002</c:v>
                </c:pt>
                <c:pt idx="193">
                  <c:v>0.81402127800000001</c:v>
                </c:pt>
                <c:pt idx="194">
                  <c:v>0.77656151100000004</c:v>
                </c:pt>
                <c:pt idx="195">
                  <c:v>0.73874545999999996</c:v>
                </c:pt>
                <c:pt idx="196">
                  <c:v>0.70134144200000004</c:v>
                </c:pt>
                <c:pt idx="197">
                  <c:v>0.66468664300000002</c:v>
                </c:pt>
                <c:pt idx="198">
                  <c:v>0.62855246200000003</c:v>
                </c:pt>
                <c:pt idx="199">
                  <c:v>0.59286092599999995</c:v>
                </c:pt>
                <c:pt idx="200">
                  <c:v>0.55766467500000005</c:v>
                </c:pt>
                <c:pt idx="201">
                  <c:v>0.52231037499999999</c:v>
                </c:pt>
                <c:pt idx="202">
                  <c:v>0.48618892800000002</c:v>
                </c:pt>
                <c:pt idx="203">
                  <c:v>0.45034124199999997</c:v>
                </c:pt>
                <c:pt idx="204">
                  <c:v>0.41429443500000002</c:v>
                </c:pt>
                <c:pt idx="205">
                  <c:v>0.37877012300000001</c:v>
                </c:pt>
                <c:pt idx="206">
                  <c:v>0.34353235599999998</c:v>
                </c:pt>
                <c:pt idx="207">
                  <c:v>0.30796467500000002</c:v>
                </c:pt>
                <c:pt idx="208">
                  <c:v>0.27207949599999998</c:v>
                </c:pt>
                <c:pt idx="209">
                  <c:v>0.23581676400000001</c:v>
                </c:pt>
                <c:pt idx="210">
                  <c:v>0.200069303</c:v>
                </c:pt>
                <c:pt idx="211">
                  <c:v>0.164627784</c:v>
                </c:pt>
                <c:pt idx="212">
                  <c:v>0.12890913900000001</c:v>
                </c:pt>
                <c:pt idx="213">
                  <c:v>9.2934915000000007E-2</c:v>
                </c:pt>
                <c:pt idx="214">
                  <c:v>5.7068523000000003E-2</c:v>
                </c:pt>
                <c:pt idx="215">
                  <c:v>2.1805974999999998E-2</c:v>
                </c:pt>
                <c:pt idx="216">
                  <c:v>-1.3595545000000001E-2</c:v>
                </c:pt>
                <c:pt idx="217">
                  <c:v>-4.9288576000000001E-2</c:v>
                </c:pt>
                <c:pt idx="218">
                  <c:v>-8.4953485999999995E-2</c:v>
                </c:pt>
                <c:pt idx="219">
                  <c:v>-0.120092263</c:v>
                </c:pt>
                <c:pt idx="220">
                  <c:v>-0.15517609800000001</c:v>
                </c:pt>
                <c:pt idx="221">
                  <c:v>-0.18983339199999999</c:v>
                </c:pt>
                <c:pt idx="222">
                  <c:v>-0.223967311</c:v>
                </c:pt>
                <c:pt idx="223">
                  <c:v>-0.258080961</c:v>
                </c:pt>
                <c:pt idx="224">
                  <c:v>-0.29165000000000002</c:v>
                </c:pt>
                <c:pt idx="225">
                  <c:v>-0.32495026399999999</c:v>
                </c:pt>
                <c:pt idx="226">
                  <c:v>-0.35800474500000001</c:v>
                </c:pt>
                <c:pt idx="227">
                  <c:v>-0.39032864699999997</c:v>
                </c:pt>
                <c:pt idx="228">
                  <c:v>-0.421874048</c:v>
                </c:pt>
                <c:pt idx="229">
                  <c:v>-0.45216266100000002</c:v>
                </c:pt>
                <c:pt idx="230">
                  <c:v>-0.48210234299999999</c:v>
                </c:pt>
                <c:pt idx="231">
                  <c:v>-0.51216678400000004</c:v>
                </c:pt>
                <c:pt idx="232">
                  <c:v>-0.54185369299999997</c:v>
                </c:pt>
                <c:pt idx="233">
                  <c:v>-0.57073415299999997</c:v>
                </c:pt>
                <c:pt idx="234">
                  <c:v>-0.59895990600000004</c:v>
                </c:pt>
                <c:pt idx="235">
                  <c:v>-0.62638711199999997</c:v>
                </c:pt>
                <c:pt idx="236">
                  <c:v>-0.65305377899999995</c:v>
                </c:pt>
                <c:pt idx="237">
                  <c:v>-0.67949894499999997</c:v>
                </c:pt>
                <c:pt idx="238">
                  <c:v>-0.70598166399999995</c:v>
                </c:pt>
                <c:pt idx="239">
                  <c:v>-0.73252291899999999</c:v>
                </c:pt>
                <c:pt idx="240">
                  <c:v>-0.758303163</c:v>
                </c:pt>
                <c:pt idx="241">
                  <c:v>-0.78335764500000005</c:v>
                </c:pt>
                <c:pt idx="242">
                  <c:v>-0.80761324700000003</c:v>
                </c:pt>
                <c:pt idx="243">
                  <c:v>-0.83106028099999996</c:v>
                </c:pt>
                <c:pt idx="244">
                  <c:v>-0.85313409500000004</c:v>
                </c:pt>
                <c:pt idx="245">
                  <c:v>-0.87427188</c:v>
                </c:pt>
                <c:pt idx="246">
                  <c:v>-0.89533339199999995</c:v>
                </c:pt>
                <c:pt idx="247">
                  <c:v>-0.91635591999999999</c:v>
                </c:pt>
                <c:pt idx="248">
                  <c:v>-0.93707627400000004</c:v>
                </c:pt>
                <c:pt idx="249">
                  <c:v>-0.95690521399999995</c:v>
                </c:pt>
                <c:pt idx="250">
                  <c:v>-0.97648118399999995</c:v>
                </c:pt>
                <c:pt idx="251">
                  <c:v>-0.99518084399999995</c:v>
                </c:pt>
                <c:pt idx="252">
                  <c:v>-1.012305217</c:v>
                </c:pt>
                <c:pt idx="253">
                  <c:v>-1.028831107</c:v>
                </c:pt>
                <c:pt idx="254">
                  <c:v>-1.045285706</c:v>
                </c:pt>
                <c:pt idx="255">
                  <c:v>-1.0616955450000001</c:v>
                </c:pt>
                <c:pt idx="256">
                  <c:v>-1.0781000000000001</c:v>
                </c:pt>
                <c:pt idx="257">
                  <c:v>-1.0942872800000001</c:v>
                </c:pt>
                <c:pt idx="258">
                  <c:v>-1.1103391920000001</c:v>
                </c:pt>
                <c:pt idx="259">
                  <c:v>-1.1254440539999999</c:v>
                </c:pt>
                <c:pt idx="260">
                  <c:v>-1.139613365</c:v>
                </c:pt>
                <c:pt idx="261">
                  <c:v>-1.1528393669999999</c:v>
                </c:pt>
                <c:pt idx="262">
                  <c:v>-1.1657386279999999</c:v>
                </c:pt>
                <c:pt idx="263">
                  <c:v>-1.1785157589999999</c:v>
                </c:pt>
                <c:pt idx="264">
                  <c:v>-1.191249209</c:v>
                </c:pt>
                <c:pt idx="265">
                  <c:v>-1.2038517580000001</c:v>
                </c:pt>
                <c:pt idx="266">
                  <c:v>-1.2163193320000001</c:v>
                </c:pt>
                <c:pt idx="267">
                  <c:v>-1.228115466</c:v>
                </c:pt>
                <c:pt idx="268">
                  <c:v>-1.238932806</c:v>
                </c:pt>
                <c:pt idx="269">
                  <c:v>-1.248727768</c:v>
                </c:pt>
                <c:pt idx="270">
                  <c:v>-1.2580715710000001</c:v>
                </c:pt>
                <c:pt idx="271">
                  <c:v>-1.2676834800000001</c:v>
                </c:pt>
                <c:pt idx="272">
                  <c:v>-1.2766489160000001</c:v>
                </c:pt>
                <c:pt idx="273">
                  <c:v>-1.2853230950000001</c:v>
                </c:pt>
                <c:pt idx="274">
                  <c:v>-1.2936998829999999</c:v>
                </c:pt>
                <c:pt idx="275">
                  <c:v>-1.301040094</c:v>
                </c:pt>
                <c:pt idx="276">
                  <c:v>-1.3074442879999999</c:v>
                </c:pt>
                <c:pt idx="277">
                  <c:v>-1.3127588750000001</c:v>
                </c:pt>
                <c:pt idx="278">
                  <c:v>-1.317603576</c:v>
                </c:pt>
                <c:pt idx="279">
                  <c:v>-1.3216453429999999</c:v>
                </c:pt>
                <c:pt idx="280">
                  <c:v>-1.324599648</c:v>
                </c:pt>
                <c:pt idx="281">
                  <c:v>-1.327353427</c:v>
                </c:pt>
                <c:pt idx="282">
                  <c:v>-1.329837317</c:v>
                </c:pt>
                <c:pt idx="283">
                  <c:v>-1.3316688160000001</c:v>
                </c:pt>
                <c:pt idx="284">
                  <c:v>-1.3325062679999999</c:v>
                </c:pt>
                <c:pt idx="285">
                  <c:v>-1.3328952549999999</c:v>
                </c:pt>
                <c:pt idx="286">
                  <c:v>-1.332096661</c:v>
                </c:pt>
                <c:pt idx="287">
                  <c:v>-1.3304751029999999</c:v>
                </c:pt>
                <c:pt idx="288">
                  <c:v>-1.3288500000000001</c:v>
                </c:pt>
                <c:pt idx="289">
                  <c:v>-1.3274264790000001</c:v>
                </c:pt>
                <c:pt idx="290">
                  <c:v>-1.3258189810000001</c:v>
                </c:pt>
                <c:pt idx="291">
                  <c:v>-1.324481019</c:v>
                </c:pt>
                <c:pt idx="292">
                  <c:v>-1.3230375510000001</c:v>
                </c:pt>
                <c:pt idx="293">
                  <c:v>-1.321325088</c:v>
                </c:pt>
                <c:pt idx="294">
                  <c:v>-1.3193435849999999</c:v>
                </c:pt>
                <c:pt idx="295">
                  <c:v>-1.3166722319999999</c:v>
                </c:pt>
                <c:pt idx="296">
                  <c:v>-1.312924502</c:v>
                </c:pt>
                <c:pt idx="297">
                  <c:v>-1.30872191</c:v>
                </c:pt>
                <c:pt idx="298">
                  <c:v>-1.304378488</c:v>
                </c:pt>
                <c:pt idx="299">
                  <c:v>-1.3003933219999999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86C-482D-9D42-8CC5C30ABE1A}"/>
            </c:ext>
          </c:extLst>
        </c:ser>
        <c:ser>
          <c:idx val="9"/>
          <c:order val="8"/>
          <c:tx>
            <c:strRef>
              <c:f>VW!$AB$79</c:f>
              <c:strCache>
                <c:ptCount val="1"/>
                <c:pt idx="0">
                  <c:v>D9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VW!$R$80:$R$379</c:f>
              <c:numCache>
                <c:formatCode>General</c:formatCode>
                <c:ptCount val="300"/>
                <c:pt idx="0">
                  <c:v>1E-10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VW!$AB$80:$AB$379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58-4B7A-BEC1-ECE1F07D1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60928"/>
        <c:axId val="494961320"/>
      </c:scatterChart>
      <c:scatterChart>
        <c:scatterStyle val="smoothMarker"/>
        <c:varyColors val="0"/>
        <c:ser>
          <c:idx val="8"/>
          <c:order val="9"/>
          <c:tx>
            <c:strRef>
              <c:f>VW!$C$79</c:f>
              <c:strCache>
                <c:ptCount val="1"/>
                <c:pt idx="0">
                  <c:v>Force</c:v>
                </c:pt>
              </c:strCache>
            </c:strRef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VW!$B$80:$B$379</c:f>
              <c:numCache>
                <c:formatCode>General</c:formatCode>
                <c:ptCount val="300"/>
                <c:pt idx="0">
                  <c:v>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1.0999999999999999E-2</c:v>
                </c:pt>
                <c:pt idx="56">
                  <c:v>1.12E-2</c:v>
                </c:pt>
                <c:pt idx="57">
                  <c:v>1.14E-2</c:v>
                </c:pt>
                <c:pt idx="58">
                  <c:v>1.1599999999999999E-2</c:v>
                </c:pt>
                <c:pt idx="59">
                  <c:v>1.18E-2</c:v>
                </c:pt>
                <c:pt idx="60">
                  <c:v>1.2E-2</c:v>
                </c:pt>
                <c:pt idx="61">
                  <c:v>1.2200000000000001E-2</c:v>
                </c:pt>
                <c:pt idx="62">
                  <c:v>1.24E-2</c:v>
                </c:pt>
                <c:pt idx="63">
                  <c:v>1.26E-2</c:v>
                </c:pt>
                <c:pt idx="64">
                  <c:v>1.2800000000000001E-2</c:v>
                </c:pt>
                <c:pt idx="65">
                  <c:v>1.2999999999999999E-2</c:v>
                </c:pt>
                <c:pt idx="66">
                  <c:v>1.32E-2</c:v>
                </c:pt>
                <c:pt idx="67">
                  <c:v>1.34E-2</c:v>
                </c:pt>
                <c:pt idx="68">
                  <c:v>1.3599999999999999E-2</c:v>
                </c:pt>
                <c:pt idx="69">
                  <c:v>1.38E-2</c:v>
                </c:pt>
                <c:pt idx="70">
                  <c:v>1.4E-2</c:v>
                </c:pt>
                <c:pt idx="71">
                  <c:v>1.4200000000000001E-2</c:v>
                </c:pt>
                <c:pt idx="72">
                  <c:v>1.44E-2</c:v>
                </c:pt>
                <c:pt idx="73">
                  <c:v>1.46E-2</c:v>
                </c:pt>
                <c:pt idx="74">
                  <c:v>1.4800000000000001E-2</c:v>
                </c:pt>
                <c:pt idx="75">
                  <c:v>1.4999999999999999E-2</c:v>
                </c:pt>
                <c:pt idx="76">
                  <c:v>1.52E-2</c:v>
                </c:pt>
                <c:pt idx="77">
                  <c:v>1.54E-2</c:v>
                </c:pt>
                <c:pt idx="78">
                  <c:v>1.5599999999999999E-2</c:v>
                </c:pt>
                <c:pt idx="79">
                  <c:v>1.5800000000000002E-2</c:v>
                </c:pt>
                <c:pt idx="80">
                  <c:v>1.6E-2</c:v>
                </c:pt>
                <c:pt idx="81">
                  <c:v>1.6199999999999999E-2</c:v>
                </c:pt>
                <c:pt idx="82">
                  <c:v>1.6400000000000001E-2</c:v>
                </c:pt>
                <c:pt idx="83">
                  <c:v>1.66E-2</c:v>
                </c:pt>
                <c:pt idx="84">
                  <c:v>1.6799999999999999E-2</c:v>
                </c:pt>
                <c:pt idx="85">
                  <c:v>1.7000000000000001E-2</c:v>
                </c:pt>
                <c:pt idx="86">
                  <c:v>1.72E-2</c:v>
                </c:pt>
                <c:pt idx="87">
                  <c:v>1.7399999999999999E-2</c:v>
                </c:pt>
                <c:pt idx="88">
                  <c:v>1.7600000000000001E-2</c:v>
                </c:pt>
                <c:pt idx="89">
                  <c:v>1.78E-2</c:v>
                </c:pt>
                <c:pt idx="90">
                  <c:v>1.7999999999999999E-2</c:v>
                </c:pt>
                <c:pt idx="91">
                  <c:v>1.8200000000000001E-2</c:v>
                </c:pt>
                <c:pt idx="92">
                  <c:v>1.84E-2</c:v>
                </c:pt>
                <c:pt idx="93">
                  <c:v>1.8599999999999998E-2</c:v>
                </c:pt>
                <c:pt idx="94">
                  <c:v>1.8800000000000001E-2</c:v>
                </c:pt>
                <c:pt idx="95">
                  <c:v>1.9E-2</c:v>
                </c:pt>
                <c:pt idx="96">
                  <c:v>1.9199999999999998E-2</c:v>
                </c:pt>
                <c:pt idx="97">
                  <c:v>1.9400000000000001E-2</c:v>
                </c:pt>
                <c:pt idx="98">
                  <c:v>1.9599999999999999E-2</c:v>
                </c:pt>
                <c:pt idx="99">
                  <c:v>1.9800000000000002E-2</c:v>
                </c:pt>
                <c:pt idx="100">
                  <c:v>0.02</c:v>
                </c:pt>
                <c:pt idx="101">
                  <c:v>2.0199999999999999E-2</c:v>
                </c:pt>
                <c:pt idx="102">
                  <c:v>2.0400000000000001E-2</c:v>
                </c:pt>
                <c:pt idx="103">
                  <c:v>2.06E-2</c:v>
                </c:pt>
                <c:pt idx="104">
                  <c:v>2.0799999999999999E-2</c:v>
                </c:pt>
                <c:pt idx="105">
                  <c:v>2.1000000000000001E-2</c:v>
                </c:pt>
                <c:pt idx="106">
                  <c:v>2.12E-2</c:v>
                </c:pt>
                <c:pt idx="107">
                  <c:v>2.1399999999999999E-2</c:v>
                </c:pt>
                <c:pt idx="108">
                  <c:v>2.1600000000000001E-2</c:v>
                </c:pt>
                <c:pt idx="109">
                  <c:v>2.18E-2</c:v>
                </c:pt>
                <c:pt idx="110">
                  <c:v>2.1999999999999999E-2</c:v>
                </c:pt>
                <c:pt idx="111">
                  <c:v>2.2200000000000001E-2</c:v>
                </c:pt>
                <c:pt idx="112">
                  <c:v>2.24E-2</c:v>
                </c:pt>
                <c:pt idx="113">
                  <c:v>2.2599999999999999E-2</c:v>
                </c:pt>
                <c:pt idx="114">
                  <c:v>2.2800000000000001E-2</c:v>
                </c:pt>
                <c:pt idx="115">
                  <c:v>2.3E-2</c:v>
                </c:pt>
                <c:pt idx="116">
                  <c:v>2.3199999999999998E-2</c:v>
                </c:pt>
                <c:pt idx="117">
                  <c:v>2.3400000000000001E-2</c:v>
                </c:pt>
                <c:pt idx="118">
                  <c:v>2.3599999999999999E-2</c:v>
                </c:pt>
                <c:pt idx="119">
                  <c:v>2.3800000000000002E-2</c:v>
                </c:pt>
                <c:pt idx="120">
                  <c:v>2.4E-2</c:v>
                </c:pt>
                <c:pt idx="121">
                  <c:v>2.4199999999999999E-2</c:v>
                </c:pt>
                <c:pt idx="122">
                  <c:v>2.4400000000000002E-2</c:v>
                </c:pt>
                <c:pt idx="123">
                  <c:v>2.46E-2</c:v>
                </c:pt>
                <c:pt idx="124">
                  <c:v>2.4799999999999999E-2</c:v>
                </c:pt>
                <c:pt idx="125">
                  <c:v>2.5000000000000001E-2</c:v>
                </c:pt>
                <c:pt idx="126">
                  <c:v>2.52E-2</c:v>
                </c:pt>
                <c:pt idx="127">
                  <c:v>2.5399999999999999E-2</c:v>
                </c:pt>
                <c:pt idx="128">
                  <c:v>2.5600000000000001E-2</c:v>
                </c:pt>
                <c:pt idx="129">
                  <c:v>2.58E-2</c:v>
                </c:pt>
                <c:pt idx="130">
                  <c:v>2.5999999999999999E-2</c:v>
                </c:pt>
                <c:pt idx="131">
                  <c:v>2.6200000000000001E-2</c:v>
                </c:pt>
                <c:pt idx="132">
                  <c:v>2.64E-2</c:v>
                </c:pt>
                <c:pt idx="133">
                  <c:v>2.6599999999999999E-2</c:v>
                </c:pt>
                <c:pt idx="134">
                  <c:v>2.6800000000000001E-2</c:v>
                </c:pt>
                <c:pt idx="135">
                  <c:v>2.7E-2</c:v>
                </c:pt>
                <c:pt idx="136">
                  <c:v>2.7199999999999998E-2</c:v>
                </c:pt>
                <c:pt idx="137">
                  <c:v>2.7400000000000001E-2</c:v>
                </c:pt>
                <c:pt idx="138">
                  <c:v>2.76E-2</c:v>
                </c:pt>
                <c:pt idx="139">
                  <c:v>2.7799999999999998E-2</c:v>
                </c:pt>
                <c:pt idx="140">
                  <c:v>2.8000000000000001E-2</c:v>
                </c:pt>
                <c:pt idx="141">
                  <c:v>2.8199999999999999E-2</c:v>
                </c:pt>
                <c:pt idx="142">
                  <c:v>2.8400000000000002E-2</c:v>
                </c:pt>
                <c:pt idx="143">
                  <c:v>2.86E-2</c:v>
                </c:pt>
                <c:pt idx="144">
                  <c:v>2.8799999999999999E-2</c:v>
                </c:pt>
                <c:pt idx="145">
                  <c:v>2.9000000000000001E-2</c:v>
                </c:pt>
                <c:pt idx="146">
                  <c:v>2.92E-2</c:v>
                </c:pt>
                <c:pt idx="147">
                  <c:v>2.9399999999999999E-2</c:v>
                </c:pt>
                <c:pt idx="148">
                  <c:v>2.9600000000000001E-2</c:v>
                </c:pt>
                <c:pt idx="149">
                  <c:v>2.98E-2</c:v>
                </c:pt>
                <c:pt idx="150">
                  <c:v>0.03</c:v>
                </c:pt>
                <c:pt idx="151">
                  <c:v>3.0200000000000001E-2</c:v>
                </c:pt>
                <c:pt idx="152">
                  <c:v>3.04E-2</c:v>
                </c:pt>
                <c:pt idx="153">
                  <c:v>3.0599999999999999E-2</c:v>
                </c:pt>
                <c:pt idx="154">
                  <c:v>3.0800000000000001E-2</c:v>
                </c:pt>
                <c:pt idx="155">
                  <c:v>3.1E-2</c:v>
                </c:pt>
                <c:pt idx="156">
                  <c:v>3.1199999999999999E-2</c:v>
                </c:pt>
                <c:pt idx="157">
                  <c:v>3.1399999999999997E-2</c:v>
                </c:pt>
                <c:pt idx="158">
                  <c:v>3.1600000000000003E-2</c:v>
                </c:pt>
                <c:pt idx="159">
                  <c:v>3.1800000000000002E-2</c:v>
                </c:pt>
                <c:pt idx="160">
                  <c:v>3.2000000000000001E-2</c:v>
                </c:pt>
                <c:pt idx="161">
                  <c:v>3.2199999999999999E-2</c:v>
                </c:pt>
                <c:pt idx="162">
                  <c:v>3.2399999999999998E-2</c:v>
                </c:pt>
                <c:pt idx="163">
                  <c:v>3.2599999999999997E-2</c:v>
                </c:pt>
                <c:pt idx="164">
                  <c:v>3.2800000000000003E-2</c:v>
                </c:pt>
                <c:pt idx="165">
                  <c:v>3.3000000000000002E-2</c:v>
                </c:pt>
                <c:pt idx="166">
                  <c:v>3.32E-2</c:v>
                </c:pt>
                <c:pt idx="167">
                  <c:v>3.3399999999999999E-2</c:v>
                </c:pt>
                <c:pt idx="168">
                  <c:v>3.3599999999999998E-2</c:v>
                </c:pt>
                <c:pt idx="169">
                  <c:v>3.3799999999999997E-2</c:v>
                </c:pt>
                <c:pt idx="170">
                  <c:v>3.4000000000000002E-2</c:v>
                </c:pt>
                <c:pt idx="171">
                  <c:v>3.4200000000000001E-2</c:v>
                </c:pt>
                <c:pt idx="172">
                  <c:v>3.44E-2</c:v>
                </c:pt>
                <c:pt idx="173">
                  <c:v>3.4599999999999999E-2</c:v>
                </c:pt>
                <c:pt idx="174">
                  <c:v>3.4799999999999998E-2</c:v>
                </c:pt>
                <c:pt idx="175">
                  <c:v>3.5000000000000003E-2</c:v>
                </c:pt>
                <c:pt idx="176">
                  <c:v>3.5200000000000002E-2</c:v>
                </c:pt>
                <c:pt idx="177">
                  <c:v>3.5400000000000001E-2</c:v>
                </c:pt>
                <c:pt idx="178">
                  <c:v>3.56E-2</c:v>
                </c:pt>
                <c:pt idx="179">
                  <c:v>3.5799999999999998E-2</c:v>
                </c:pt>
                <c:pt idx="180">
                  <c:v>3.5999999999999997E-2</c:v>
                </c:pt>
                <c:pt idx="181">
                  <c:v>3.6200000000000003E-2</c:v>
                </c:pt>
                <c:pt idx="182">
                  <c:v>3.6400000000000002E-2</c:v>
                </c:pt>
                <c:pt idx="183">
                  <c:v>3.6600000000000001E-2</c:v>
                </c:pt>
                <c:pt idx="184">
                  <c:v>3.6799999999999999E-2</c:v>
                </c:pt>
                <c:pt idx="185">
                  <c:v>3.6999999999999998E-2</c:v>
                </c:pt>
                <c:pt idx="186">
                  <c:v>3.7199999999999997E-2</c:v>
                </c:pt>
                <c:pt idx="187">
                  <c:v>3.7400000000000003E-2</c:v>
                </c:pt>
                <c:pt idx="188">
                  <c:v>3.7600000000000001E-2</c:v>
                </c:pt>
                <c:pt idx="189">
                  <c:v>3.78E-2</c:v>
                </c:pt>
                <c:pt idx="190">
                  <c:v>3.7999999999999999E-2</c:v>
                </c:pt>
                <c:pt idx="191">
                  <c:v>3.8199999999999998E-2</c:v>
                </c:pt>
                <c:pt idx="192">
                  <c:v>3.8399999999999997E-2</c:v>
                </c:pt>
                <c:pt idx="193">
                  <c:v>3.8600000000000002E-2</c:v>
                </c:pt>
                <c:pt idx="194">
                  <c:v>3.8800000000000001E-2</c:v>
                </c:pt>
                <c:pt idx="195">
                  <c:v>3.9E-2</c:v>
                </c:pt>
                <c:pt idx="196">
                  <c:v>3.9199999999999999E-2</c:v>
                </c:pt>
                <c:pt idx="197">
                  <c:v>3.9399999999999998E-2</c:v>
                </c:pt>
                <c:pt idx="198">
                  <c:v>3.9600000000000003E-2</c:v>
                </c:pt>
                <c:pt idx="199">
                  <c:v>3.9800000000000002E-2</c:v>
                </c:pt>
                <c:pt idx="200">
                  <c:v>0.04</c:v>
                </c:pt>
                <c:pt idx="201">
                  <c:v>4.02E-2</c:v>
                </c:pt>
                <c:pt idx="202">
                  <c:v>4.0399999999999998E-2</c:v>
                </c:pt>
                <c:pt idx="203">
                  <c:v>4.0599999999999997E-2</c:v>
                </c:pt>
                <c:pt idx="204">
                  <c:v>4.0800000000000003E-2</c:v>
                </c:pt>
                <c:pt idx="205">
                  <c:v>4.1000000000000002E-2</c:v>
                </c:pt>
                <c:pt idx="206">
                  <c:v>4.1200000000000001E-2</c:v>
                </c:pt>
                <c:pt idx="207">
                  <c:v>4.1399999999999999E-2</c:v>
                </c:pt>
                <c:pt idx="208">
                  <c:v>4.1599999999999998E-2</c:v>
                </c:pt>
                <c:pt idx="209">
                  <c:v>4.1799999999999997E-2</c:v>
                </c:pt>
                <c:pt idx="210">
                  <c:v>4.2000000000000003E-2</c:v>
                </c:pt>
                <c:pt idx="211">
                  <c:v>4.2200000000000001E-2</c:v>
                </c:pt>
                <c:pt idx="212">
                  <c:v>4.24E-2</c:v>
                </c:pt>
                <c:pt idx="213">
                  <c:v>4.2599999999999999E-2</c:v>
                </c:pt>
                <c:pt idx="214">
                  <c:v>4.2799999999999998E-2</c:v>
                </c:pt>
                <c:pt idx="215">
                  <c:v>4.2999999999999997E-2</c:v>
                </c:pt>
                <c:pt idx="216">
                  <c:v>4.3200000000000002E-2</c:v>
                </c:pt>
                <c:pt idx="217">
                  <c:v>4.3400000000000001E-2</c:v>
                </c:pt>
                <c:pt idx="218">
                  <c:v>4.36E-2</c:v>
                </c:pt>
                <c:pt idx="219">
                  <c:v>4.3799999999999999E-2</c:v>
                </c:pt>
                <c:pt idx="220">
                  <c:v>4.3999999999999997E-2</c:v>
                </c:pt>
                <c:pt idx="221">
                  <c:v>4.4200000000000003E-2</c:v>
                </c:pt>
                <c:pt idx="222">
                  <c:v>4.4400000000000002E-2</c:v>
                </c:pt>
                <c:pt idx="223">
                  <c:v>4.4600000000000001E-2</c:v>
                </c:pt>
                <c:pt idx="224">
                  <c:v>4.48E-2</c:v>
                </c:pt>
                <c:pt idx="225">
                  <c:v>4.4999999999999998E-2</c:v>
                </c:pt>
                <c:pt idx="226">
                  <c:v>4.5199999999999997E-2</c:v>
                </c:pt>
                <c:pt idx="227">
                  <c:v>4.5400000000000003E-2</c:v>
                </c:pt>
                <c:pt idx="228">
                  <c:v>4.5600000000000002E-2</c:v>
                </c:pt>
                <c:pt idx="229">
                  <c:v>4.58E-2</c:v>
                </c:pt>
                <c:pt idx="230">
                  <c:v>4.5999999999999999E-2</c:v>
                </c:pt>
                <c:pt idx="231">
                  <c:v>4.6199999999999998E-2</c:v>
                </c:pt>
                <c:pt idx="232">
                  <c:v>4.6399999999999997E-2</c:v>
                </c:pt>
                <c:pt idx="233">
                  <c:v>4.6600000000000003E-2</c:v>
                </c:pt>
                <c:pt idx="234">
                  <c:v>4.6800000000000001E-2</c:v>
                </c:pt>
                <c:pt idx="235">
                  <c:v>4.7E-2</c:v>
                </c:pt>
                <c:pt idx="236">
                  <c:v>4.7199999999999999E-2</c:v>
                </c:pt>
                <c:pt idx="237">
                  <c:v>4.7399999999999998E-2</c:v>
                </c:pt>
                <c:pt idx="238">
                  <c:v>4.7600000000000003E-2</c:v>
                </c:pt>
                <c:pt idx="239">
                  <c:v>4.7800000000000002E-2</c:v>
                </c:pt>
                <c:pt idx="240">
                  <c:v>4.8000000000000001E-2</c:v>
                </c:pt>
                <c:pt idx="241">
                  <c:v>4.82E-2</c:v>
                </c:pt>
                <c:pt idx="242">
                  <c:v>4.8399999999999999E-2</c:v>
                </c:pt>
                <c:pt idx="243">
                  <c:v>4.8599999999999997E-2</c:v>
                </c:pt>
                <c:pt idx="244">
                  <c:v>4.8800000000000003E-2</c:v>
                </c:pt>
                <c:pt idx="245">
                  <c:v>4.9000000000000002E-2</c:v>
                </c:pt>
                <c:pt idx="246">
                  <c:v>4.9200000000000001E-2</c:v>
                </c:pt>
                <c:pt idx="247">
                  <c:v>4.9399999999999999E-2</c:v>
                </c:pt>
                <c:pt idx="248">
                  <c:v>4.9599999999999998E-2</c:v>
                </c:pt>
                <c:pt idx="249">
                  <c:v>4.9799999999999997E-2</c:v>
                </c:pt>
                <c:pt idx="250">
                  <c:v>0.05</c:v>
                </c:pt>
                <c:pt idx="251">
                  <c:v>5.0200000000000002E-2</c:v>
                </c:pt>
                <c:pt idx="252">
                  <c:v>5.04E-2</c:v>
                </c:pt>
                <c:pt idx="253">
                  <c:v>5.0599999999999999E-2</c:v>
                </c:pt>
                <c:pt idx="254">
                  <c:v>5.0799999999999998E-2</c:v>
                </c:pt>
                <c:pt idx="255">
                  <c:v>5.0999999999999997E-2</c:v>
                </c:pt>
                <c:pt idx="256">
                  <c:v>5.1200000000000002E-2</c:v>
                </c:pt>
                <c:pt idx="257">
                  <c:v>5.1400000000000001E-2</c:v>
                </c:pt>
                <c:pt idx="258">
                  <c:v>5.16E-2</c:v>
                </c:pt>
                <c:pt idx="259">
                  <c:v>5.1799999999999999E-2</c:v>
                </c:pt>
                <c:pt idx="260">
                  <c:v>5.1999999999999998E-2</c:v>
                </c:pt>
                <c:pt idx="261">
                  <c:v>5.2200000000000003E-2</c:v>
                </c:pt>
                <c:pt idx="262">
                  <c:v>5.2400000000000002E-2</c:v>
                </c:pt>
                <c:pt idx="263">
                  <c:v>5.2600000000000001E-2</c:v>
                </c:pt>
                <c:pt idx="264">
                  <c:v>5.28E-2</c:v>
                </c:pt>
                <c:pt idx="265">
                  <c:v>5.2999999999999999E-2</c:v>
                </c:pt>
                <c:pt idx="266">
                  <c:v>5.3199999999999997E-2</c:v>
                </c:pt>
                <c:pt idx="267">
                  <c:v>5.3400000000000003E-2</c:v>
                </c:pt>
                <c:pt idx="268">
                  <c:v>5.3600000000000002E-2</c:v>
                </c:pt>
                <c:pt idx="269">
                  <c:v>5.3800000000000001E-2</c:v>
                </c:pt>
                <c:pt idx="270">
                  <c:v>5.3999999999999999E-2</c:v>
                </c:pt>
                <c:pt idx="271">
                  <c:v>5.4199999999999998E-2</c:v>
                </c:pt>
                <c:pt idx="272">
                  <c:v>5.4399999999999997E-2</c:v>
                </c:pt>
                <c:pt idx="273">
                  <c:v>5.4600000000000003E-2</c:v>
                </c:pt>
                <c:pt idx="274">
                  <c:v>5.4800000000000001E-2</c:v>
                </c:pt>
                <c:pt idx="275">
                  <c:v>5.5E-2</c:v>
                </c:pt>
                <c:pt idx="276">
                  <c:v>5.5199999999999999E-2</c:v>
                </c:pt>
                <c:pt idx="277">
                  <c:v>5.5399999999999998E-2</c:v>
                </c:pt>
                <c:pt idx="278">
                  <c:v>5.5599999999999997E-2</c:v>
                </c:pt>
                <c:pt idx="279">
                  <c:v>5.5800000000000002E-2</c:v>
                </c:pt>
                <c:pt idx="280">
                  <c:v>5.6000000000000001E-2</c:v>
                </c:pt>
                <c:pt idx="281">
                  <c:v>5.62E-2</c:v>
                </c:pt>
                <c:pt idx="282">
                  <c:v>5.6399999999999999E-2</c:v>
                </c:pt>
                <c:pt idx="283">
                  <c:v>5.6599999999999998E-2</c:v>
                </c:pt>
                <c:pt idx="284">
                  <c:v>5.6800000000000003E-2</c:v>
                </c:pt>
                <c:pt idx="285">
                  <c:v>5.7000000000000002E-2</c:v>
                </c:pt>
                <c:pt idx="286">
                  <c:v>5.7200000000000001E-2</c:v>
                </c:pt>
                <c:pt idx="287">
                  <c:v>5.74E-2</c:v>
                </c:pt>
                <c:pt idx="288">
                  <c:v>5.7599999999999998E-2</c:v>
                </c:pt>
                <c:pt idx="289">
                  <c:v>5.7799999999999997E-2</c:v>
                </c:pt>
                <c:pt idx="290">
                  <c:v>5.8000000000000003E-2</c:v>
                </c:pt>
                <c:pt idx="291">
                  <c:v>5.8200000000000002E-2</c:v>
                </c:pt>
                <c:pt idx="292">
                  <c:v>5.8400000000000001E-2</c:v>
                </c:pt>
                <c:pt idx="293">
                  <c:v>5.8599999999999999E-2</c:v>
                </c:pt>
                <c:pt idx="294">
                  <c:v>5.8799999999999998E-2</c:v>
                </c:pt>
                <c:pt idx="295">
                  <c:v>5.8999999999999997E-2</c:v>
                </c:pt>
                <c:pt idx="296">
                  <c:v>5.9200000000000003E-2</c:v>
                </c:pt>
                <c:pt idx="297">
                  <c:v>5.9400000000000001E-2</c:v>
                </c:pt>
                <c:pt idx="298">
                  <c:v>5.96E-2</c:v>
                </c:pt>
                <c:pt idx="299">
                  <c:v>5.9799999999999999E-2</c:v>
                </c:pt>
              </c:numCache>
            </c:numRef>
          </c:xVal>
          <c:yVal>
            <c:numRef>
              <c:f>VW!$C$80:$C$379</c:f>
              <c:numCache>
                <c:formatCode>0.00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74.268306969999998</c:v>
                </c:pt>
                <c:pt idx="22">
                  <c:v>445.61740909999997</c:v>
                </c:pt>
                <c:pt idx="23">
                  <c:v>931.08347979999996</c:v>
                </c:pt>
                <c:pt idx="24">
                  <c:v>1413.580363</c:v>
                </c:pt>
                <c:pt idx="25">
                  <c:v>1863.387698</c:v>
                </c:pt>
                <c:pt idx="26">
                  <c:v>2211.7884009999998</c:v>
                </c:pt>
                <c:pt idx="27">
                  <c:v>2471.5337049999998</c:v>
                </c:pt>
                <c:pt idx="28">
                  <c:v>2796.7669599999999</c:v>
                </c:pt>
                <c:pt idx="29">
                  <c:v>3211.4172229999999</c:v>
                </c:pt>
                <c:pt idx="30">
                  <c:v>3515.8008789999999</c:v>
                </c:pt>
                <c:pt idx="31">
                  <c:v>3736.267194</c:v>
                </c:pt>
                <c:pt idx="32">
                  <c:v>3960.55</c:v>
                </c:pt>
                <c:pt idx="33">
                  <c:v>4201.2281199999998</c:v>
                </c:pt>
                <c:pt idx="34">
                  <c:v>4409.1156410000003</c:v>
                </c:pt>
                <c:pt idx="35">
                  <c:v>4659.0546569999997</c:v>
                </c:pt>
                <c:pt idx="36">
                  <c:v>4935.4553599999999</c:v>
                </c:pt>
                <c:pt idx="37">
                  <c:v>5163.9314770000001</c:v>
                </c:pt>
                <c:pt idx="38">
                  <c:v>5392.411599</c:v>
                </c:pt>
                <c:pt idx="39">
                  <c:v>5672.2710020000004</c:v>
                </c:pt>
                <c:pt idx="40">
                  <c:v>5943.9071510000003</c:v>
                </c:pt>
                <c:pt idx="41">
                  <c:v>6173.1517869999998</c:v>
                </c:pt>
                <c:pt idx="42">
                  <c:v>6349.8</c:v>
                </c:pt>
                <c:pt idx="43">
                  <c:v>6530.7316929999997</c:v>
                </c:pt>
                <c:pt idx="44">
                  <c:v>6673.4991209999998</c:v>
                </c:pt>
                <c:pt idx="45">
                  <c:v>6816.3314769999997</c:v>
                </c:pt>
                <c:pt idx="46">
                  <c:v>6959.1741069999998</c:v>
                </c:pt>
                <c:pt idx="47">
                  <c:v>7077.5033409999996</c:v>
                </c:pt>
                <c:pt idx="48">
                  <c:v>7214.2892789999996</c:v>
                </c:pt>
                <c:pt idx="49">
                  <c:v>7359.3578209999996</c:v>
                </c:pt>
                <c:pt idx="50">
                  <c:v>7544.8116060000002</c:v>
                </c:pt>
                <c:pt idx="51">
                  <c:v>7697.5352670000002</c:v>
                </c:pt>
                <c:pt idx="52">
                  <c:v>7817.4884009999996</c:v>
                </c:pt>
                <c:pt idx="53">
                  <c:v>7956.1700639999999</c:v>
                </c:pt>
                <c:pt idx="54">
                  <c:v>8070.3165200000003</c:v>
                </c:pt>
                <c:pt idx="55">
                  <c:v>8162.511606</c:v>
                </c:pt>
                <c:pt idx="56">
                  <c:v>8219.6410660000001</c:v>
                </c:pt>
                <c:pt idx="57">
                  <c:v>8276.7799059999998</c:v>
                </c:pt>
                <c:pt idx="58">
                  <c:v>8333.8870459999998</c:v>
                </c:pt>
                <c:pt idx="59">
                  <c:v>8422.2082599999994</c:v>
                </c:pt>
                <c:pt idx="60">
                  <c:v>8544.0848179999994</c:v>
                </c:pt>
                <c:pt idx="61">
                  <c:v>8675.1363799999999</c:v>
                </c:pt>
                <c:pt idx="62">
                  <c:v>8773.3625069999998</c:v>
                </c:pt>
                <c:pt idx="63">
                  <c:v>8838.835932</c:v>
                </c:pt>
                <c:pt idx="64">
                  <c:v>8896</c:v>
                </c:pt>
                <c:pt idx="65">
                  <c:v>8948.8906210000005</c:v>
                </c:pt>
                <c:pt idx="66">
                  <c:v>8960.7093729999997</c:v>
                </c:pt>
                <c:pt idx="67">
                  <c:v>8944.7000000000007</c:v>
                </c:pt>
                <c:pt idx="68">
                  <c:v>8927.9919699999991</c:v>
                </c:pt>
                <c:pt idx="69">
                  <c:v>8899.4305800000002</c:v>
                </c:pt>
                <c:pt idx="70">
                  <c:v>8895.2419699999991</c:v>
                </c:pt>
                <c:pt idx="71">
                  <c:v>8876.5600470000008</c:v>
                </c:pt>
                <c:pt idx="72">
                  <c:v>8896</c:v>
                </c:pt>
                <c:pt idx="73">
                  <c:v>8909.3441970000003</c:v>
                </c:pt>
                <c:pt idx="74">
                  <c:v>8920.4</c:v>
                </c:pt>
                <c:pt idx="75">
                  <c:v>8942.037961</c:v>
                </c:pt>
                <c:pt idx="76">
                  <c:v>8892.9410659999994</c:v>
                </c:pt>
                <c:pt idx="77">
                  <c:v>8830.0705330000001</c:v>
                </c:pt>
                <c:pt idx="78">
                  <c:v>8754.3174089999993</c:v>
                </c:pt>
                <c:pt idx="79">
                  <c:v>8683.1330400000006</c:v>
                </c:pt>
                <c:pt idx="80">
                  <c:v>8579.1892790000002</c:v>
                </c:pt>
                <c:pt idx="81">
                  <c:v>8464.9011140000002</c:v>
                </c:pt>
                <c:pt idx="82">
                  <c:v>8323.9834800000008</c:v>
                </c:pt>
                <c:pt idx="83">
                  <c:v>8194.1629539999994</c:v>
                </c:pt>
                <c:pt idx="84">
                  <c:v>8108.4107210000002</c:v>
                </c:pt>
                <c:pt idx="85">
                  <c:v>8007.8975399999999</c:v>
                </c:pt>
                <c:pt idx="86">
                  <c:v>7893.6174090000004</c:v>
                </c:pt>
                <c:pt idx="87">
                  <c:v>7756.2082600000003</c:v>
                </c:pt>
                <c:pt idx="88">
                  <c:v>7588.9928490000002</c:v>
                </c:pt>
                <c:pt idx="89">
                  <c:v>7446.1941999999999</c:v>
                </c:pt>
                <c:pt idx="90">
                  <c:v>7291.9821320000001</c:v>
                </c:pt>
                <c:pt idx="91">
                  <c:v>7105</c:v>
                </c:pt>
                <c:pt idx="92">
                  <c:v>6944.6517869999998</c:v>
                </c:pt>
                <c:pt idx="93">
                  <c:v>6777.9124780000002</c:v>
                </c:pt>
                <c:pt idx="94">
                  <c:v>6585.9330399999999</c:v>
                </c:pt>
                <c:pt idx="95">
                  <c:v>6435.1374930000002</c:v>
                </c:pt>
                <c:pt idx="96">
                  <c:v>6275.95</c:v>
                </c:pt>
                <c:pt idx="97">
                  <c:v>6133.0906269999996</c:v>
                </c:pt>
                <c:pt idx="98">
                  <c:v>6010.8504389999998</c:v>
                </c:pt>
                <c:pt idx="99">
                  <c:v>5847.8578209999996</c:v>
                </c:pt>
                <c:pt idx="100">
                  <c:v>5724.4928529999997</c:v>
                </c:pt>
                <c:pt idx="101">
                  <c:v>5553.1674089999997</c:v>
                </c:pt>
                <c:pt idx="102">
                  <c:v>5368.8</c:v>
                </c:pt>
                <c:pt idx="103">
                  <c:v>5220.328998</c:v>
                </c:pt>
                <c:pt idx="104">
                  <c:v>5063.3660609999997</c:v>
                </c:pt>
                <c:pt idx="105">
                  <c:v>4914.1611599999997</c:v>
                </c:pt>
                <c:pt idx="106">
                  <c:v>4701.6477729999997</c:v>
                </c:pt>
                <c:pt idx="107">
                  <c:v>4606.3999999999996</c:v>
                </c:pt>
                <c:pt idx="108">
                  <c:v>4579.0115990000004</c:v>
                </c:pt>
                <c:pt idx="109">
                  <c:v>4396.5580300000001</c:v>
                </c:pt>
                <c:pt idx="110">
                  <c:v>4095.329467</c:v>
                </c:pt>
                <c:pt idx="111">
                  <c:v>3816.9966589999999</c:v>
                </c:pt>
                <c:pt idx="112">
                  <c:v>3686.3142939999998</c:v>
                </c:pt>
                <c:pt idx="113">
                  <c:v>3590.3752199999999</c:v>
                </c:pt>
                <c:pt idx="114">
                  <c:v>3476.1058029999999</c:v>
                </c:pt>
                <c:pt idx="115">
                  <c:v>3417.8942000000002</c:v>
                </c:pt>
                <c:pt idx="116">
                  <c:v>3343.588401</c:v>
                </c:pt>
                <c:pt idx="117">
                  <c:v>3149.710955</c:v>
                </c:pt>
                <c:pt idx="118">
                  <c:v>2963.5504390000001</c:v>
                </c:pt>
                <c:pt idx="119">
                  <c:v>2776.5883939999999</c:v>
                </c:pt>
                <c:pt idx="120">
                  <c:v>2565.2142939999999</c:v>
                </c:pt>
                <c:pt idx="121">
                  <c:v>2471.520094</c:v>
                </c:pt>
                <c:pt idx="122">
                  <c:v>2367.129015</c:v>
                </c:pt>
                <c:pt idx="123">
                  <c:v>2148.63058</c:v>
                </c:pt>
                <c:pt idx="124">
                  <c:v>1954.384818</c:v>
                </c:pt>
                <c:pt idx="125">
                  <c:v>1768.184827</c:v>
                </c:pt>
                <c:pt idx="126">
                  <c:v>1730.5</c:v>
                </c:pt>
                <c:pt idx="127">
                  <c:v>1669.871864</c:v>
                </c:pt>
                <c:pt idx="128">
                  <c:v>1511.1</c:v>
                </c:pt>
                <c:pt idx="129">
                  <c:v>1388.4906209999999</c:v>
                </c:pt>
                <c:pt idx="130">
                  <c:v>1217.090627</c:v>
                </c:pt>
                <c:pt idx="131">
                  <c:v>1070.83638</c:v>
                </c:pt>
                <c:pt idx="132">
                  <c:v>939.8535756</c:v>
                </c:pt>
                <c:pt idx="133">
                  <c:v>734.21652019999999</c:v>
                </c:pt>
                <c:pt idx="134">
                  <c:v>606.27098479999995</c:v>
                </c:pt>
                <c:pt idx="135">
                  <c:v>491.98014060000003</c:v>
                </c:pt>
                <c:pt idx="136">
                  <c:v>368.63391919999998</c:v>
                </c:pt>
                <c:pt idx="137">
                  <c:v>239.17790149999999</c:v>
                </c:pt>
                <c:pt idx="138">
                  <c:v>72.371880489999995</c:v>
                </c:pt>
                <c:pt idx="139">
                  <c:v>-40.691974219999999</c:v>
                </c:pt>
                <c:pt idx="140">
                  <c:v>-73.099999999999994</c:v>
                </c:pt>
                <c:pt idx="141">
                  <c:v>-90.229466900000006</c:v>
                </c:pt>
                <c:pt idx="142">
                  <c:v>-166.02321219999999</c:v>
                </c:pt>
                <c:pt idx="143">
                  <c:v>-251.3752197</c:v>
                </c:pt>
                <c:pt idx="144">
                  <c:v>-329.01786759999999</c:v>
                </c:pt>
                <c:pt idx="145">
                  <c:v>-341.2</c:v>
                </c:pt>
                <c:pt idx="146">
                  <c:v>-341.2</c:v>
                </c:pt>
                <c:pt idx="147">
                  <c:v>-328.26852289999999</c:v>
                </c:pt>
                <c:pt idx="148">
                  <c:v>-281.82231990000002</c:v>
                </c:pt>
                <c:pt idx="149">
                  <c:v>-268.10000000000002</c:v>
                </c:pt>
                <c:pt idx="150">
                  <c:v>-287.16518170000001</c:v>
                </c:pt>
                <c:pt idx="151">
                  <c:v>-269.24352670000002</c:v>
                </c:pt>
                <c:pt idx="152">
                  <c:v>-240.66606100000001</c:v>
                </c:pt>
                <c:pt idx="153">
                  <c:v>-212.1528998</c:v>
                </c:pt>
                <c:pt idx="154">
                  <c:v>-183.56473349999999</c:v>
                </c:pt>
                <c:pt idx="155">
                  <c:v>-186.23259089999999</c:v>
                </c:pt>
                <c:pt idx="156">
                  <c:v>-175.17410659999999</c:v>
                </c:pt>
                <c:pt idx="157">
                  <c:v>-170.6</c:v>
                </c:pt>
                <c:pt idx="158">
                  <c:v>-150.0165202</c:v>
                </c:pt>
                <c:pt idx="159">
                  <c:v>-170.6</c:v>
                </c:pt>
                <c:pt idx="160">
                  <c:v>-182.8</c:v>
                </c:pt>
                <c:pt idx="161">
                  <c:v>-178.60468660000001</c:v>
                </c:pt>
                <c:pt idx="162">
                  <c:v>-191.18347979999999</c:v>
                </c:pt>
                <c:pt idx="163">
                  <c:v>-170.2140598</c:v>
                </c:pt>
                <c:pt idx="164">
                  <c:v>-146.19999999999999</c:v>
                </c:pt>
                <c:pt idx="165">
                  <c:v>-137.46852290000001</c:v>
                </c:pt>
                <c:pt idx="166">
                  <c:v>-108.9352665</c:v>
                </c:pt>
                <c:pt idx="167">
                  <c:v>-97.5</c:v>
                </c:pt>
                <c:pt idx="168">
                  <c:v>-76.146424379999999</c:v>
                </c:pt>
                <c:pt idx="169">
                  <c:v>-73.099999999999994</c:v>
                </c:pt>
                <c:pt idx="170">
                  <c:v>-78.434818289999995</c:v>
                </c:pt>
                <c:pt idx="171">
                  <c:v>-87.965846510000006</c:v>
                </c:pt>
                <c:pt idx="172">
                  <c:v>-86.822319859999993</c:v>
                </c:pt>
                <c:pt idx="173">
                  <c:v>-97.5</c:v>
                </c:pt>
                <c:pt idx="174">
                  <c:v>-97.5</c:v>
                </c:pt>
                <c:pt idx="175">
                  <c:v>-52.504454870000004</c:v>
                </c:pt>
                <c:pt idx="176">
                  <c:v>-85.292852960000005</c:v>
                </c:pt>
                <c:pt idx="177">
                  <c:v>-58.991739889999998</c:v>
                </c:pt>
                <c:pt idx="178">
                  <c:v>-58.611606100000003</c:v>
                </c:pt>
                <c:pt idx="179">
                  <c:v>-86.064733450000006</c:v>
                </c:pt>
                <c:pt idx="180">
                  <c:v>-74.629466899999997</c:v>
                </c:pt>
                <c:pt idx="181">
                  <c:v>-70.42700644</c:v>
                </c:pt>
                <c:pt idx="182">
                  <c:v>-48.7</c:v>
                </c:pt>
                <c:pt idx="183">
                  <c:v>-48.7</c:v>
                </c:pt>
                <c:pt idx="184">
                  <c:v>-48.7</c:v>
                </c:pt>
                <c:pt idx="185">
                  <c:v>-29.3397188</c:v>
                </c:pt>
                <c:pt idx="186">
                  <c:v>-24.4</c:v>
                </c:pt>
                <c:pt idx="187">
                  <c:v>-48.7</c:v>
                </c:pt>
                <c:pt idx="188">
                  <c:v>-33.48481829</c:v>
                </c:pt>
                <c:pt idx="189">
                  <c:v>-23.59396602</c:v>
                </c:pt>
                <c:pt idx="190">
                  <c:v>-64.709373170000006</c:v>
                </c:pt>
                <c:pt idx="191">
                  <c:v>-52.890621340000003</c:v>
                </c:pt>
                <c:pt idx="192">
                  <c:v>-48.7</c:v>
                </c:pt>
                <c:pt idx="193">
                  <c:v>-28.573446659999998</c:v>
                </c:pt>
                <c:pt idx="194">
                  <c:v>-57.090626829999998</c:v>
                </c:pt>
                <c:pt idx="195">
                  <c:v>-60.521206800000002</c:v>
                </c:pt>
                <c:pt idx="196">
                  <c:v>-48.7</c:v>
                </c:pt>
                <c:pt idx="197">
                  <c:v>-27.81652021</c:v>
                </c:pt>
                <c:pt idx="198">
                  <c:v>-73.099999999999994</c:v>
                </c:pt>
                <c:pt idx="199">
                  <c:v>-78.060046869999994</c:v>
                </c:pt>
                <c:pt idx="200">
                  <c:v>-88.351786759999996</c:v>
                </c:pt>
                <c:pt idx="201">
                  <c:v>-86.444196950000006</c:v>
                </c:pt>
                <c:pt idx="202">
                  <c:v>-62.422319860000002</c:v>
                </c:pt>
                <c:pt idx="203">
                  <c:v>-70.42700644</c:v>
                </c:pt>
                <c:pt idx="204">
                  <c:v>-74.629466899999997</c:v>
                </c:pt>
                <c:pt idx="205">
                  <c:v>-91.782366730000007</c:v>
                </c:pt>
                <c:pt idx="206">
                  <c:v>-63.188393900000001</c:v>
                </c:pt>
                <c:pt idx="207">
                  <c:v>-48.7</c:v>
                </c:pt>
                <c:pt idx="208">
                  <c:v>-66.996426479999997</c:v>
                </c:pt>
                <c:pt idx="209">
                  <c:v>-73.099999999999994</c:v>
                </c:pt>
                <c:pt idx="210">
                  <c:v>-119.61294669999999</c:v>
                </c:pt>
                <c:pt idx="211">
                  <c:v>-97.5</c:v>
                </c:pt>
                <c:pt idx="212">
                  <c:v>-76.144639720000001</c:v>
                </c:pt>
                <c:pt idx="213">
                  <c:v>-48.7</c:v>
                </c:pt>
                <c:pt idx="214">
                  <c:v>-67.765181709999993</c:v>
                </c:pt>
                <c:pt idx="215">
                  <c:v>-96.356473350000002</c:v>
                </c:pt>
                <c:pt idx="216">
                  <c:v>-118.8535756</c:v>
                </c:pt>
                <c:pt idx="217">
                  <c:v>-97.5</c:v>
                </c:pt>
                <c:pt idx="218">
                  <c:v>-108.9352665</c:v>
                </c:pt>
                <c:pt idx="219">
                  <c:v>-106.26740909999999</c:v>
                </c:pt>
                <c:pt idx="220">
                  <c:v>-97.5</c:v>
                </c:pt>
                <c:pt idx="221">
                  <c:v>-97.5</c:v>
                </c:pt>
                <c:pt idx="222">
                  <c:v>-97.5</c:v>
                </c:pt>
                <c:pt idx="223">
                  <c:v>-97.5</c:v>
                </c:pt>
                <c:pt idx="224">
                  <c:v>-85.3</c:v>
                </c:pt>
                <c:pt idx="225">
                  <c:v>-89.495313420000002</c:v>
                </c:pt>
                <c:pt idx="226">
                  <c:v>-76.916520210000002</c:v>
                </c:pt>
                <c:pt idx="227">
                  <c:v>-121.9</c:v>
                </c:pt>
                <c:pt idx="228">
                  <c:v>-126.4553603</c:v>
                </c:pt>
                <c:pt idx="229">
                  <c:v>-137.46852290000001</c:v>
                </c:pt>
                <c:pt idx="230">
                  <c:v>-121.9</c:v>
                </c:pt>
                <c:pt idx="231">
                  <c:v>-104.74710020000001</c:v>
                </c:pt>
                <c:pt idx="232">
                  <c:v>-97.5</c:v>
                </c:pt>
                <c:pt idx="233">
                  <c:v>-97.5</c:v>
                </c:pt>
                <c:pt idx="234">
                  <c:v>-92.165181709999999</c:v>
                </c:pt>
                <c:pt idx="235">
                  <c:v>-73.099999999999994</c:v>
                </c:pt>
                <c:pt idx="236">
                  <c:v>-73.099999999999994</c:v>
                </c:pt>
                <c:pt idx="237">
                  <c:v>-108.9419695</c:v>
                </c:pt>
                <c:pt idx="238">
                  <c:v>-77.674106620000003</c:v>
                </c:pt>
                <c:pt idx="239">
                  <c:v>-93.695545129999999</c:v>
                </c:pt>
                <c:pt idx="240">
                  <c:v>-60.907147039999998</c:v>
                </c:pt>
                <c:pt idx="241">
                  <c:v>-97.5</c:v>
                </c:pt>
                <c:pt idx="242">
                  <c:v>-111.98839390000001</c:v>
                </c:pt>
                <c:pt idx="243">
                  <c:v>-103.2176333</c:v>
                </c:pt>
                <c:pt idx="244">
                  <c:v>-97.5</c:v>
                </c:pt>
                <c:pt idx="245">
                  <c:v>-97.5</c:v>
                </c:pt>
                <c:pt idx="246">
                  <c:v>-90.638840070000001</c:v>
                </c:pt>
                <c:pt idx="247">
                  <c:v>-95.211606099999997</c:v>
                </c:pt>
                <c:pt idx="248">
                  <c:v>-106.6482132</c:v>
                </c:pt>
                <c:pt idx="249">
                  <c:v>-78.060046869999994</c:v>
                </c:pt>
                <c:pt idx="250">
                  <c:v>-49.458030479999998</c:v>
                </c:pt>
                <c:pt idx="251">
                  <c:v>-76.530579959999997</c:v>
                </c:pt>
                <c:pt idx="252">
                  <c:v>-97.5</c:v>
                </c:pt>
                <c:pt idx="253">
                  <c:v>-97.5</c:v>
                </c:pt>
                <c:pt idx="254">
                  <c:v>-97.5</c:v>
                </c:pt>
                <c:pt idx="255">
                  <c:v>-97.5</c:v>
                </c:pt>
                <c:pt idx="256">
                  <c:v>-121.9</c:v>
                </c:pt>
                <c:pt idx="257">
                  <c:v>-73.099999999999994</c:v>
                </c:pt>
                <c:pt idx="258">
                  <c:v>-73.099999999999994</c:v>
                </c:pt>
                <c:pt idx="259">
                  <c:v>-85.678793200000001</c:v>
                </c:pt>
                <c:pt idx="260">
                  <c:v>-97.5</c:v>
                </c:pt>
                <c:pt idx="261">
                  <c:v>-97.5</c:v>
                </c:pt>
                <c:pt idx="262">
                  <c:v>-73.858030479999996</c:v>
                </c:pt>
                <c:pt idx="263">
                  <c:v>-92.539953130000001</c:v>
                </c:pt>
                <c:pt idx="264">
                  <c:v>-82.248213239999998</c:v>
                </c:pt>
                <c:pt idx="265">
                  <c:v>-97.5</c:v>
                </c:pt>
                <c:pt idx="266">
                  <c:v>-115.0388401</c:v>
                </c:pt>
                <c:pt idx="267">
                  <c:v>-78.445987110000004</c:v>
                </c:pt>
                <c:pt idx="268">
                  <c:v>-95.970533099999997</c:v>
                </c:pt>
                <c:pt idx="269">
                  <c:v>-78.817633270000002</c:v>
                </c:pt>
                <c:pt idx="270">
                  <c:v>-97.5</c:v>
                </c:pt>
                <c:pt idx="271">
                  <c:v>-111.6082601</c:v>
                </c:pt>
                <c:pt idx="272">
                  <c:v>-103.6035735</c:v>
                </c:pt>
                <c:pt idx="273">
                  <c:v>-75.002227430000005</c:v>
                </c:pt>
                <c:pt idx="274">
                  <c:v>-75.387053309999999</c:v>
                </c:pt>
                <c:pt idx="275">
                  <c:v>-97.5</c:v>
                </c:pt>
                <c:pt idx="276">
                  <c:v>-97.5</c:v>
                </c:pt>
                <c:pt idx="277">
                  <c:v>-82.634153490000003</c:v>
                </c:pt>
                <c:pt idx="278">
                  <c:v>-92.165181709999999</c:v>
                </c:pt>
                <c:pt idx="279">
                  <c:v>-97.5</c:v>
                </c:pt>
                <c:pt idx="280">
                  <c:v>-97.5</c:v>
                </c:pt>
                <c:pt idx="281">
                  <c:v>-104.74710020000001</c:v>
                </c:pt>
                <c:pt idx="282">
                  <c:v>-110.46473349999999</c:v>
                </c:pt>
                <c:pt idx="283">
                  <c:v>-81.867409140000007</c:v>
                </c:pt>
                <c:pt idx="284">
                  <c:v>-73.099999999999994</c:v>
                </c:pt>
                <c:pt idx="285">
                  <c:v>-97.114059749999996</c:v>
                </c:pt>
                <c:pt idx="286">
                  <c:v>-76.916520210000002</c:v>
                </c:pt>
                <c:pt idx="287">
                  <c:v>-89.495313420000002</c:v>
                </c:pt>
                <c:pt idx="288">
                  <c:v>-85.3</c:v>
                </c:pt>
                <c:pt idx="289">
                  <c:v>-97.5</c:v>
                </c:pt>
                <c:pt idx="290">
                  <c:v>-97.5</c:v>
                </c:pt>
                <c:pt idx="291">
                  <c:v>-97.885940250000004</c:v>
                </c:pt>
                <c:pt idx="292">
                  <c:v>-121.9</c:v>
                </c:pt>
                <c:pt idx="293">
                  <c:v>-113.1325909</c:v>
                </c:pt>
                <c:pt idx="294">
                  <c:v>-97.5</c:v>
                </c:pt>
                <c:pt idx="295">
                  <c:v>-97.5</c:v>
                </c:pt>
                <c:pt idx="296">
                  <c:v>-76.146424379999999</c:v>
                </c:pt>
                <c:pt idx="297">
                  <c:v>-98.643526649999998</c:v>
                </c:pt>
                <c:pt idx="298">
                  <c:v>-111.2303634</c:v>
                </c:pt>
                <c:pt idx="299">
                  <c:v>-82.634153490000003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86C-482D-9D42-8CC5C30AB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62104"/>
        <c:axId val="494961712"/>
      </c:scatterChart>
      <c:valAx>
        <c:axId val="494960928"/>
        <c:scaling>
          <c:orientation val="minMax"/>
          <c:max val="6.0000000000000012E-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4961320"/>
        <c:crossesAt val="-2"/>
        <c:crossBetween val="midCat"/>
      </c:valAx>
      <c:valAx>
        <c:axId val="494961320"/>
        <c:scaling>
          <c:orientation val="minMax"/>
          <c:min val="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Deflections (mils)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4960928"/>
        <c:crosses val="autoZero"/>
        <c:crossBetween val="midCat"/>
      </c:valAx>
      <c:valAx>
        <c:axId val="4949617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Load (kips)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4962104"/>
        <c:crosses val="max"/>
        <c:crossBetween val="midCat"/>
      </c:valAx>
      <c:valAx>
        <c:axId val="49496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496171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tr"/>
      <c:layout>
        <c:manualLayout>
          <c:xMode val="edge"/>
          <c:yMode val="edge"/>
          <c:x val="0.6975496332189246"/>
          <c:y val="0.12785498687664043"/>
          <c:w val="0.13280991318392893"/>
          <c:h val="0.53214129483814521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Relaxation Modulus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Dynamic_Modulus_Calc!$D$50</c:f>
              <c:strCache>
                <c:ptCount val="1"/>
                <c:pt idx="0">
                  <c:v>Sigmoidal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Dynamic_Modulus_Calc!$D$52:$D$752</c:f>
              <c:numCache>
                <c:formatCode>0.00E+00</c:formatCode>
                <c:ptCount val="701"/>
                <c:pt idx="0">
                  <c:v>3222047.2974288645</c:v>
                </c:pt>
                <c:pt idx="1">
                  <c:v>3217048.7184133944</c:v>
                </c:pt>
                <c:pt idx="2">
                  <c:v>3212004.3165100026</c:v>
                </c:pt>
                <c:pt idx="3">
                  <c:v>3206913.7793253381</c:v>
                </c:pt>
                <c:pt idx="4">
                  <c:v>3201776.7947004363</c:v>
                </c:pt>
                <c:pt idx="5">
                  <c:v>3196593.0507746437</c:v>
                </c:pt>
                <c:pt idx="6">
                  <c:v>3191362.2360510649</c:v>
                </c:pt>
                <c:pt idx="7">
                  <c:v>3186084.0394633794</c:v>
                </c:pt>
                <c:pt idx="8">
                  <c:v>3180758.1504442254</c:v>
                </c:pt>
                <c:pt idx="9">
                  <c:v>3175384.258995052</c:v>
                </c:pt>
                <c:pt idx="10">
                  <c:v>3169962.0557574965</c:v>
                </c:pt>
                <c:pt idx="11">
                  <c:v>3164491.2320862985</c:v>
                </c:pt>
                <c:pt idx="12">
                  <c:v>3158971.4801238249</c:v>
                </c:pt>
                <c:pt idx="13">
                  <c:v>3153402.4928759756</c:v>
                </c:pt>
                <c:pt idx="14">
                  <c:v>3147783.9642899469</c:v>
                </c:pt>
                <c:pt idx="15">
                  <c:v>3142115.5893333596</c:v>
                </c:pt>
                <c:pt idx="16">
                  <c:v>3136397.064075043</c:v>
                </c:pt>
                <c:pt idx="17">
                  <c:v>3130628.0857675723</c:v>
                </c:pt>
                <c:pt idx="18">
                  <c:v>3124808.3529312508</c:v>
                </c:pt>
                <c:pt idx="19">
                  <c:v>3118937.5654398724</c:v>
                </c:pt>
                <c:pt idx="20">
                  <c:v>3113015.4246080588</c:v>
                </c:pt>
                <c:pt idx="21">
                  <c:v>3107041.6332803722</c:v>
                </c:pt>
                <c:pt idx="22">
                  <c:v>3101015.8959219581</c:v>
                </c:pt>
                <c:pt idx="23">
                  <c:v>3094937.9187110122</c:v>
                </c:pt>
                <c:pt idx="24">
                  <c:v>3088807.409632911</c:v>
                </c:pt>
                <c:pt idx="25">
                  <c:v>3082624.0785759748</c:v>
                </c:pt>
                <c:pt idx="26">
                  <c:v>3076387.6374291074</c:v>
                </c:pt>
                <c:pt idx="27">
                  <c:v>3070097.8001809721</c:v>
                </c:pt>
                <c:pt idx="28">
                  <c:v>3063754.2830210817</c:v>
                </c:pt>
                <c:pt idx="29">
                  <c:v>3057356.8044425035</c:v>
                </c:pt>
                <c:pt idx="30">
                  <c:v>3050905.0853463793</c:v>
                </c:pt>
                <c:pt idx="31">
                  <c:v>3044398.8491481463</c:v>
                </c:pt>
                <c:pt idx="32">
                  <c:v>3037837.8218855984</c:v>
                </c:pt>
                <c:pt idx="33">
                  <c:v>3031221.7323285849</c:v>
                </c:pt>
                <c:pt idx="34">
                  <c:v>3024550.3120905822</c:v>
                </c:pt>
                <c:pt idx="35">
                  <c:v>3017823.2957420032</c:v>
                </c:pt>
                <c:pt idx="36">
                  <c:v>3011040.4209252279</c:v>
                </c:pt>
                <c:pt idx="37">
                  <c:v>3004201.4284714432</c:v>
                </c:pt>
                <c:pt idx="38">
                  <c:v>2997306.062519216</c:v>
                </c:pt>
                <c:pt idx="39">
                  <c:v>2990354.0706348941</c:v>
                </c:pt>
                <c:pt idx="40">
                  <c:v>2983345.2039347002</c:v>
                </c:pt>
                <c:pt idx="41">
                  <c:v>2976279.2172085904</c:v>
                </c:pt>
                <c:pt idx="42">
                  <c:v>2969155.8690458774</c:v>
                </c:pt>
                <c:pt idx="43">
                  <c:v>2961974.9219626314</c:v>
                </c:pt>
                <c:pt idx="44">
                  <c:v>2954736.1425307388</c:v>
                </c:pt>
                <c:pt idx="45">
                  <c:v>2947439.301508768</c:v>
                </c:pt>
                <c:pt idx="46">
                  <c:v>2940084.1739744963</c:v>
                </c:pt>
                <c:pt idx="47">
                  <c:v>2932670.5394591601</c:v>
                </c:pt>
                <c:pt idx="48">
                  <c:v>2925198.1820834447</c:v>
                </c:pt>
                <c:pt idx="49">
                  <c:v>2917666.8906950336</c:v>
                </c:pt>
                <c:pt idx="50">
                  <c:v>2910076.4590079747</c:v>
                </c:pt>
                <c:pt idx="51">
                  <c:v>2902426.6857435727</c:v>
                </c:pt>
                <c:pt idx="52">
                  <c:v>2894717.3747729487</c:v>
                </c:pt>
                <c:pt idx="53">
                  <c:v>2886948.3352612187</c:v>
                </c:pt>
                <c:pt idx="54">
                  <c:v>2879119.3818132617</c:v>
                </c:pt>
                <c:pt idx="55">
                  <c:v>2871230.3346210211</c:v>
                </c:pt>
                <c:pt idx="56">
                  <c:v>2863281.0196123151</c:v>
                </c:pt>
                <c:pt idx="57">
                  <c:v>2855271.2686012858</c:v>
                </c:pt>
                <c:pt idx="58">
                  <c:v>2847200.9194401549</c:v>
                </c:pt>
                <c:pt idx="59">
                  <c:v>2839069.8161725667</c:v>
                </c:pt>
                <c:pt idx="60">
                  <c:v>2830877.8091882817</c:v>
                </c:pt>
                <c:pt idx="61">
                  <c:v>2822624.7553792633</c:v>
                </c:pt>
                <c:pt idx="62">
                  <c:v>2814310.5182971209</c:v>
                </c:pt>
                <c:pt idx="63">
                  <c:v>2805934.9683118733</c:v>
                </c:pt>
                <c:pt idx="64">
                  <c:v>2797497.9827719443</c:v>
                </c:pt>
                <c:pt idx="65">
                  <c:v>2788999.4461654346</c:v>
                </c:pt>
                <c:pt idx="66">
                  <c:v>2780439.2502825293</c:v>
                </c:pt>
                <c:pt idx="67">
                  <c:v>2771817.2943790825</c:v>
                </c:pt>
                <c:pt idx="68">
                  <c:v>2763133.48534125</c:v>
                </c:pt>
                <c:pt idx="69">
                  <c:v>2754387.7378511992</c:v>
                </c:pt>
                <c:pt idx="70">
                  <c:v>2745579.9745537778</c:v>
                </c:pt>
                <c:pt idx="71">
                  <c:v>2736710.1262241169</c:v>
                </c:pt>
                <c:pt idx="72">
                  <c:v>2727778.1319360952</c:v>
                </c:pt>
                <c:pt idx="73">
                  <c:v>2718783.9392316486</c:v>
                </c:pt>
                <c:pt idx="74">
                  <c:v>2709727.5042907959</c:v>
                </c:pt>
                <c:pt idx="75">
                  <c:v>2700608.792102349</c:v>
                </c:pt>
                <c:pt idx="76">
                  <c:v>2691427.7766352701</c:v>
                </c:pt>
                <c:pt idx="77">
                  <c:v>2682184.4410105208</c:v>
                </c:pt>
                <c:pt idx="78">
                  <c:v>2672878.7776734754</c:v>
                </c:pt>
                <c:pt idx="79">
                  <c:v>2663510.7885666429</c:v>
                </c:pt>
                <c:pt idx="80">
                  <c:v>2654080.4853027402</c:v>
                </c:pt>
                <c:pt idx="81">
                  <c:v>2644587.8893380589</c:v>
                </c:pt>
                <c:pt idx="82">
                  <c:v>2635033.0321459407</c:v>
                </c:pt>
                <c:pt idx="83">
                  <c:v>2625415.9553903197</c:v>
                </c:pt>
                <c:pt idx="84">
                  <c:v>2615736.7110992861</c:v>
                </c:pt>
                <c:pt idx="85">
                  <c:v>2605995.3618385596</c:v>
                </c:pt>
                <c:pt idx="86">
                  <c:v>2596191.9808846959</c:v>
                </c:pt>
                <c:pt idx="87">
                  <c:v>2586326.6523980969</c:v>
                </c:pt>
                <c:pt idx="88">
                  <c:v>2576399.4715955607</c:v>
                </c:pt>
                <c:pt idx="89">
                  <c:v>2566410.544922349</c:v>
                </c:pt>
                <c:pt idx="90">
                  <c:v>2556359.990223709</c:v>
                </c:pt>
                <c:pt idx="91">
                  <c:v>2546247.9369156403</c:v>
                </c:pt>
                <c:pt idx="92">
                  <c:v>2536074.5261548567</c:v>
                </c:pt>
                <c:pt idx="93">
                  <c:v>2525839.9110078653</c:v>
                </c:pt>
                <c:pt idx="94">
                  <c:v>2515544.2566189566</c:v>
                </c:pt>
                <c:pt idx="95">
                  <c:v>2505187.7403770559</c:v>
                </c:pt>
                <c:pt idx="96">
                  <c:v>2494770.5520813428</c:v>
                </c:pt>
                <c:pt idx="97">
                  <c:v>2484292.8941053743</c:v>
                </c:pt>
                <c:pt idx="98">
                  <c:v>2473754.9815598107</c:v>
                </c:pt>
                <c:pt idx="99">
                  <c:v>2463157.0424533547</c:v>
                </c:pt>
                <c:pt idx="100">
                  <c:v>2452499.317852011</c:v>
                </c:pt>
                <c:pt idx="101">
                  <c:v>2441782.062036403</c:v>
                </c:pt>
                <c:pt idx="102">
                  <c:v>2431005.5426569646</c:v>
                </c:pt>
                <c:pt idx="103">
                  <c:v>2420170.0408870568</c:v>
                </c:pt>
                <c:pt idx="104">
                  <c:v>2409275.8515736796</c:v>
                </c:pt>
                <c:pt idx="105">
                  <c:v>2398323.2833856968</c:v>
                </c:pt>
                <c:pt idx="106">
                  <c:v>2387312.6589595047</c:v>
                </c:pt>
                <c:pt idx="107">
                  <c:v>2376244.3150418652</c:v>
                </c:pt>
                <c:pt idx="108">
                  <c:v>2365118.602629852</c:v>
                </c:pt>
                <c:pt idx="109">
                  <c:v>2353935.8871076987</c:v>
                </c:pt>
                <c:pt idx="110">
                  <c:v>2342696.5483804662</c:v>
                </c:pt>
                <c:pt idx="111">
                  <c:v>2331400.9810043024</c:v>
                </c:pt>
                <c:pt idx="112">
                  <c:v>2320049.5943130963</c:v>
                </c:pt>
                <c:pt idx="113">
                  <c:v>2308642.8125415505</c:v>
                </c:pt>
                <c:pt idx="114">
                  <c:v>2297181.0749443085</c:v>
                </c:pt>
                <c:pt idx="115">
                  <c:v>2285664.8359110272</c:v>
                </c:pt>
                <c:pt idx="116">
                  <c:v>2274094.5650773579</c:v>
                </c:pt>
                <c:pt idx="117">
                  <c:v>2262470.7474314538</c:v>
                </c:pt>
                <c:pt idx="118">
                  <c:v>2250793.8834160236</c:v>
                </c:pt>
                <c:pt idx="119">
                  <c:v>2239064.4890256384</c:v>
                </c:pt>
                <c:pt idx="120">
                  <c:v>2227283.0958992001</c:v>
                </c:pt>
                <c:pt idx="121">
                  <c:v>2215450.2514073262</c:v>
                </c:pt>
                <c:pt idx="122">
                  <c:v>2203566.5187346037</c:v>
                </c:pt>
                <c:pt idx="123">
                  <c:v>2191632.4769563335</c:v>
                </c:pt>
                <c:pt idx="124">
                  <c:v>2179648.721109801</c:v>
                </c:pt>
                <c:pt idx="125">
                  <c:v>2167615.8622597964</c:v>
                </c:pt>
                <c:pt idx="126">
                  <c:v>2155534.5275581991</c:v>
                </c:pt>
                <c:pt idx="127">
                  <c:v>2143405.3602974783</c:v>
                </c:pt>
                <c:pt idx="128">
                  <c:v>2131229.0199579685</c:v>
                </c:pt>
                <c:pt idx="129">
                  <c:v>2119006.182248665</c:v>
                </c:pt>
                <c:pt idx="130">
                  <c:v>2106737.5391414394</c:v>
                </c:pt>
                <c:pt idx="131">
                  <c:v>2094423.7988984834</c:v>
                </c:pt>
                <c:pt idx="132">
                  <c:v>2082065.6860927369</c:v>
                </c:pt>
                <c:pt idx="133">
                  <c:v>2069663.9416212901</c:v>
                </c:pt>
                <c:pt idx="134">
                  <c:v>2057219.3227114037</c:v>
                </c:pt>
                <c:pt idx="135">
                  <c:v>2044732.6029190999</c:v>
                </c:pt>
                <c:pt idx="136">
                  <c:v>2032204.5721201499</c:v>
                </c:pt>
                <c:pt idx="137">
                  <c:v>2019636.0364932106</c:v>
                </c:pt>
                <c:pt idx="138">
                  <c:v>2007027.8184950454</c:v>
                </c:pt>
                <c:pt idx="139">
                  <c:v>1994380.7568276185</c:v>
                </c:pt>
                <c:pt idx="140">
                  <c:v>1981695.7063969139</c:v>
                </c:pt>
                <c:pt idx="141">
                  <c:v>1968973.53826331</c:v>
                </c:pt>
                <c:pt idx="142">
                  <c:v>1956215.1395833923</c:v>
                </c:pt>
                <c:pt idx="143">
                  <c:v>1943421.4135430346</c:v>
                </c:pt>
                <c:pt idx="144">
                  <c:v>1930593.2792815813</c:v>
                </c:pt>
                <c:pt idx="145">
                  <c:v>1917731.6718070521</c:v>
                </c:pt>
                <c:pt idx="146">
                  <c:v>1904837.5419021659</c:v>
                </c:pt>
                <c:pt idx="147">
                  <c:v>1891911.8560210848</c:v>
                </c:pt>
                <c:pt idx="148">
                  <c:v>1878955.5961767598</c:v>
                </c:pt>
                <c:pt idx="149">
                  <c:v>1865969.7598187414</c:v>
                </c:pt>
                <c:pt idx="150">
                  <c:v>1852955.3597012965</c:v>
                </c:pt>
                <c:pt idx="151">
                  <c:v>1839913.4237418543</c:v>
                </c:pt>
                <c:pt idx="152">
                  <c:v>1826844.9948694713</c:v>
                </c:pt>
                <c:pt idx="153">
                  <c:v>1813751.1308634121</c:v>
                </c:pt>
                <c:pt idx="154">
                  <c:v>1800632.9041816415</c:v>
                </c:pt>
                <c:pt idx="155">
                  <c:v>1787491.4017791324</c:v>
                </c:pt>
                <c:pt idx="156">
                  <c:v>1774327.7249160169</c:v>
                </c:pt>
                <c:pt idx="157">
                  <c:v>1761142.9889553676</c:v>
                </c:pt>
                <c:pt idx="158">
                  <c:v>1747938.3231506462</c:v>
                </c:pt>
                <c:pt idx="159">
                  <c:v>1734714.8704227314</c:v>
                </c:pt>
                <c:pt idx="160">
                  <c:v>1721473.7871264427</c:v>
                </c:pt>
                <c:pt idx="161">
                  <c:v>1708216.2428065911</c:v>
                </c:pt>
                <c:pt idx="162">
                  <c:v>1694943.4199434421</c:v>
                </c:pt>
                <c:pt idx="163">
                  <c:v>1681656.5136876281</c:v>
                </c:pt>
                <c:pt idx="164">
                  <c:v>1668356.7315845105</c:v>
                </c:pt>
                <c:pt idx="165">
                  <c:v>1655045.2932878493</c:v>
                </c:pt>
                <c:pt idx="166">
                  <c:v>1641723.4302630108</c:v>
                </c:pt>
                <c:pt idx="167">
                  <c:v>1628392.3854795184</c:v>
                </c:pt>
                <c:pt idx="168">
                  <c:v>1615053.4130930882</c:v>
                </c:pt>
                <c:pt idx="169">
                  <c:v>1601707.7781171526</c:v>
                </c:pt>
                <c:pt idx="170">
                  <c:v>1588356.756083908</c:v>
                </c:pt>
                <c:pt idx="171">
                  <c:v>1575001.6326949629</c:v>
                </c:pt>
                <c:pt idx="172">
                  <c:v>1561643.7034616249</c:v>
                </c:pt>
                <c:pt idx="173">
                  <c:v>1548284.2733349607</c:v>
                </c:pt>
                <c:pt idx="174">
                  <c:v>1534924.656325622</c:v>
                </c:pt>
                <c:pt idx="175">
                  <c:v>1521566.1751136631</c:v>
                </c:pt>
                <c:pt idx="176">
                  <c:v>1508210.1606483422</c:v>
                </c:pt>
                <c:pt idx="177">
                  <c:v>1494857.9517381461</c:v>
                </c:pt>
                <c:pt idx="178">
                  <c:v>1481510.8946310356</c:v>
                </c:pt>
                <c:pt idx="179">
                  <c:v>1468170.342585224</c:v>
                </c:pt>
                <c:pt idx="180">
                  <c:v>1454837.6554305197</c:v>
                </c:pt>
                <c:pt idx="181">
                  <c:v>1441514.1991204654</c:v>
                </c:pt>
                <c:pt idx="182">
                  <c:v>1428201.345275447</c:v>
                </c:pt>
                <c:pt idx="183">
                  <c:v>1414900.4707169831</c:v>
                </c:pt>
                <c:pt idx="184">
                  <c:v>1401612.9569933838</c:v>
                </c:pt>
                <c:pt idx="185">
                  <c:v>1388340.1898969864</c:v>
                </c:pt>
                <c:pt idx="186">
                  <c:v>1375083.5589733189</c:v>
                </c:pt>
                <c:pt idx="187">
                  <c:v>1361844.4570222367</c:v>
                </c:pt>
                <c:pt idx="188">
                  <c:v>1348624.279591504</c:v>
                </c:pt>
                <c:pt idx="189">
                  <c:v>1335424.4244629371</c:v>
                </c:pt>
                <c:pt idx="190">
                  <c:v>1322246.2911314878</c:v>
                </c:pt>
                <c:pt idx="191">
                  <c:v>1309091.2802775297</c:v>
                </c:pt>
                <c:pt idx="192">
                  <c:v>1295960.7932326319</c:v>
                </c:pt>
                <c:pt idx="193">
                  <c:v>1282856.2314392389</c:v>
                </c:pt>
                <c:pt idx="194">
                  <c:v>1269778.9959044347</c:v>
                </c:pt>
                <c:pt idx="195">
                  <c:v>1256730.4866483</c:v>
                </c:pt>
                <c:pt idx="196">
                  <c:v>1243712.1021470942</c:v>
                </c:pt>
                <c:pt idx="197">
                  <c:v>1230725.2387717355</c:v>
                </c:pt>
                <c:pt idx="198">
                  <c:v>1217771.2902218385</c:v>
                </c:pt>
                <c:pt idx="199">
                  <c:v>1204851.6469558252</c:v>
                </c:pt>
                <c:pt idx="200">
                  <c:v>1191967.6956174164</c:v>
                </c:pt>
                <c:pt idx="201">
                  <c:v>1179120.8184589515</c:v>
                </c:pt>
                <c:pt idx="202">
                  <c:v>1166312.3927619758</c:v>
                </c:pt>
                <c:pt idx="203">
                  <c:v>1153543.7902554818</c:v>
                </c:pt>
                <c:pt idx="204">
                  <c:v>1140816.3765322645</c:v>
                </c:pt>
                <c:pt idx="205">
                  <c:v>1128131.5104638583</c:v>
                </c:pt>
                <c:pt idx="206">
                  <c:v>1115490.5436144785</c:v>
                </c:pt>
                <c:pt idx="207">
                  <c:v>1102894.8196544428</c:v>
                </c:pt>
                <c:pt idx="208">
                  <c:v>1090345.6737735495</c:v>
                </c:pt>
                <c:pt idx="209">
                  <c:v>1077844.4320948985</c:v>
                </c:pt>
                <c:pt idx="210">
                  <c:v>1065392.4110895998</c:v>
                </c:pt>
                <c:pt idx="211">
                  <c:v>1052990.9169929021</c:v>
                </c:pt>
                <c:pt idx="212">
                  <c:v>1040641.2452222237</c:v>
                </c:pt>
                <c:pt idx="213">
                  <c:v>1028344.6797975769</c:v>
                </c:pt>
                <c:pt idx="214">
                  <c:v>1016102.4927648705</c:v>
                </c:pt>
                <c:pt idx="215">
                  <c:v>1003915.9436226684</c:v>
                </c:pt>
                <c:pt idx="216">
                  <c:v>991786.27875281672</c:v>
                </c:pt>
                <c:pt idx="217">
                  <c:v>979714.73085551104</c:v>
                </c:pt>
                <c:pt idx="218">
                  <c:v>967702.5183893349</c:v>
                </c:pt>
                <c:pt idx="219">
                  <c:v>955750.84501670545</c:v>
                </c:pt>
                <c:pt idx="220">
                  <c:v>943860.89905531553</c:v>
                </c:pt>
                <c:pt idx="221">
                  <c:v>932033.85293604666</c:v>
                </c:pt>
                <c:pt idx="222">
                  <c:v>920270.86266787362</c:v>
                </c:pt>
                <c:pt idx="223">
                  <c:v>908573.0673102733</c:v>
                </c:pt>
                <c:pt idx="224">
                  <c:v>896941.58845363429</c:v>
                </c:pt>
                <c:pt idx="225">
                  <c:v>885377.52970817871</c:v>
                </c:pt>
                <c:pt idx="226">
                  <c:v>873881.9762018926</c:v>
                </c:pt>
                <c:pt idx="227">
                  <c:v>862455.99408795382</c:v>
                </c:pt>
                <c:pt idx="228">
                  <c:v>851100.63006216253</c:v>
                </c:pt>
                <c:pt idx="229">
                  <c:v>839816.91089081077</c:v>
                </c:pt>
                <c:pt idx="230">
                  <c:v>828605.84294953081</c:v>
                </c:pt>
                <c:pt idx="231">
                  <c:v>817468.41177352797</c:v>
                </c:pt>
                <c:pt idx="232">
                  <c:v>806405.58161970181</c:v>
                </c:pt>
                <c:pt idx="233">
                  <c:v>795418.29504103411</c:v>
                </c:pt>
                <c:pt idx="234">
                  <c:v>784507.47247377853</c:v>
                </c:pt>
                <c:pt idx="235">
                  <c:v>773674.01183779468</c:v>
                </c:pt>
                <c:pt idx="236">
                  <c:v>762918.78815047804</c:v>
                </c:pt>
                <c:pt idx="237">
                  <c:v>752242.65315467142</c:v>
                </c:pt>
                <c:pt idx="238">
                  <c:v>741646.4349609596</c:v>
                </c:pt>
                <c:pt idx="239">
                  <c:v>731130.93770472088</c:v>
                </c:pt>
                <c:pt idx="240">
                  <c:v>720696.94121827662</c:v>
                </c:pt>
                <c:pt idx="241">
                  <c:v>710345.20071850007</c:v>
                </c:pt>
                <c:pt idx="242">
                  <c:v>700076.4465102203</c:v>
                </c:pt>
                <c:pt idx="243">
                  <c:v>689891.38370570377</c:v>
                </c:pt>
                <c:pt idx="244">
                  <c:v>679790.69196053513</c:v>
                </c:pt>
                <c:pt idx="245">
                  <c:v>669775.02522617613</c:v>
                </c:pt>
                <c:pt idx="246">
                  <c:v>659845.01151943009</c:v>
                </c:pt>
                <c:pt idx="247">
                  <c:v>650001.25270910026</c:v>
                </c:pt>
                <c:pt idx="248">
                  <c:v>640244.32432001911</c:v>
                </c:pt>
                <c:pt idx="249">
                  <c:v>630574.77535468596</c:v>
                </c:pt>
                <c:pt idx="250">
                  <c:v>620993.12813266553</c:v>
                </c:pt>
                <c:pt idx="251">
                  <c:v>611499.87814793503</c:v>
                </c:pt>
                <c:pt idx="252">
                  <c:v>602095.49394430721</c:v>
                </c:pt>
                <c:pt idx="253">
                  <c:v>592780.41700904979</c:v>
                </c:pt>
                <c:pt idx="254">
                  <c:v>583555.06168480683</c:v>
                </c:pt>
                <c:pt idx="255">
                  <c:v>574419.81509989535</c:v>
                </c:pt>
                <c:pt idx="256">
                  <c:v>565375.03711703233</c:v>
                </c:pt>
                <c:pt idx="257">
                  <c:v>556421.06030052947</c:v>
                </c:pt>
                <c:pt idx="258">
                  <c:v>547558.18990196928</c:v>
                </c:pt>
                <c:pt idx="259">
                  <c:v>538786.70386434335</c:v>
                </c:pt>
                <c:pt idx="260">
                  <c:v>530106.85284463316</c:v>
                </c:pt>
                <c:pt idx="261">
                  <c:v>521518.86025477096</c:v>
                </c:pt>
                <c:pt idx="262">
                  <c:v>513022.92232090293</c:v>
                </c:pt>
                <c:pt idx="263">
                  <c:v>504619.20816087112</c:v>
                </c:pt>
                <c:pt idx="264">
                  <c:v>496307.85987977113</c:v>
                </c:pt>
                <c:pt idx="265">
                  <c:v>488088.99268346396</c:v>
                </c:pt>
                <c:pt idx="266">
                  <c:v>479962.69500986714</c:v>
                </c:pt>
                <c:pt idx="267">
                  <c:v>471929.02867784613</c:v>
                </c:pt>
                <c:pt idx="268">
                  <c:v>463988.02905349754</c:v>
                </c:pt>
                <c:pt idx="269">
                  <c:v>456139.70523359382</c:v>
                </c:pt>
                <c:pt idx="270">
                  <c:v>448384.04024595814</c:v>
                </c:pt>
                <c:pt idx="271">
                  <c:v>440720.9912664842</c:v>
                </c:pt>
                <c:pt idx="272">
                  <c:v>433150.48985252343</c:v>
                </c:pt>
                <c:pt idx="273">
                  <c:v>425672.44219233835</c:v>
                </c:pt>
                <c:pt idx="274">
                  <c:v>418286.72937028977</c:v>
                </c:pt>
                <c:pt idx="275">
                  <c:v>410993.207647426</c:v>
                </c:pt>
                <c:pt idx="276">
                  <c:v>403791.70875710464</c:v>
                </c:pt>
                <c:pt idx="277">
                  <c:v>396682.04021527816</c:v>
                </c:pt>
                <c:pt idx="278">
                  <c:v>389663.98564505624</c:v>
                </c:pt>
                <c:pt idx="279">
                  <c:v>382737.30511511781</c:v>
                </c:pt>
                <c:pt idx="280">
                  <c:v>375901.73549157742</c:v>
                </c:pt>
                <c:pt idx="281">
                  <c:v>369156.99080284958</c:v>
                </c:pt>
                <c:pt idx="282">
                  <c:v>362502.76261706493</c:v>
                </c:pt>
                <c:pt idx="283">
                  <c:v>355938.72043159307</c:v>
                </c:pt>
                <c:pt idx="284">
                  <c:v>349464.51207416184</c:v>
                </c:pt>
                <c:pt idx="285">
                  <c:v>343079.76411513938</c:v>
                </c:pt>
                <c:pt idx="286">
                  <c:v>336784.0822904259</c:v>
                </c:pt>
                <c:pt idx="287">
                  <c:v>330577.05193450931</c:v>
                </c:pt>
                <c:pt idx="288">
                  <c:v>324458.23842311749</c:v>
                </c:pt>
                <c:pt idx="289">
                  <c:v>318427.1876249963</c:v>
                </c:pt>
                <c:pt idx="290">
                  <c:v>312483.42636224173</c:v>
                </c:pt>
                <c:pt idx="291">
                  <c:v>306626.46287869447</c:v>
                </c:pt>
                <c:pt idx="292">
                  <c:v>300855.78731582232</c:v>
                </c:pt>
                <c:pt idx="293">
                  <c:v>295170.872195579</c:v>
                </c:pt>
                <c:pt idx="294">
                  <c:v>289571.17290967557</c:v>
                </c:pt>
                <c:pt idx="295">
                  <c:v>284056.12821472256</c:v>
                </c:pt>
                <c:pt idx="296">
                  <c:v>278625.16073269898</c:v>
                </c:pt>
                <c:pt idx="297">
                  <c:v>273277.67745619168</c:v>
                </c:pt>
                <c:pt idx="298">
                  <c:v>268013.07025786274</c:v>
                </c:pt>
                <c:pt idx="299">
                  <c:v>262830.71640359174</c:v>
                </c:pt>
                <c:pt idx="300">
                  <c:v>257729.97906875669</c:v>
                </c:pt>
                <c:pt idx="301">
                  <c:v>252710.20785709738</c:v>
                </c:pt>
                <c:pt idx="302">
                  <c:v>247770.73932163708</c:v>
                </c:pt>
                <c:pt idx="303">
                  <c:v>242910.89748711546</c:v>
                </c:pt>
                <c:pt idx="304">
                  <c:v>238129.9943734218</c:v>
                </c:pt>
                <c:pt idx="305">
                  <c:v>233427.33051947909</c:v>
                </c:pt>
                <c:pt idx="306">
                  <c:v>228802.1955070933</c:v>
                </c:pt>
                <c:pt idx="307">
                  <c:v>224253.86848423441</c:v>
                </c:pt>
                <c:pt idx="308">
                  <c:v>219781.61868726794</c:v>
                </c:pt>
                <c:pt idx="309">
                  <c:v>215384.70596163394</c:v>
                </c:pt>
                <c:pt idx="310">
                  <c:v>211062.38128049587</c:v>
                </c:pt>
                <c:pt idx="311">
                  <c:v>206813.8872608931</c:v>
                </c:pt>
                <c:pt idx="312">
                  <c:v>202638.4586769313</c:v>
                </c:pt>
                <c:pt idx="313">
                  <c:v>198535.3229695585</c:v>
                </c:pt>
                <c:pt idx="314">
                  <c:v>194503.70075250353</c:v>
                </c:pt>
                <c:pt idx="315">
                  <c:v>190542.80631393514</c:v>
                </c:pt>
                <c:pt idx="316">
                  <c:v>186651.84811344318</c:v>
                </c:pt>
                <c:pt idx="317">
                  <c:v>182830.02927393807</c:v>
                </c:pt>
                <c:pt idx="318">
                  <c:v>179076.54806808455</c:v>
                </c:pt>
                <c:pt idx="319">
                  <c:v>175390.59839889655</c:v>
                </c:pt>
                <c:pt idx="320">
                  <c:v>171771.37027414632</c:v>
                </c:pt>
                <c:pt idx="321">
                  <c:v>168218.05027423147</c:v>
                </c:pt>
                <c:pt idx="322">
                  <c:v>164729.82201318903</c:v>
                </c:pt>
                <c:pt idx="323">
                  <c:v>161305.86659253057</c:v>
                </c:pt>
                <c:pt idx="324">
                  <c:v>157945.36304761801</c:v>
                </c:pt>
                <c:pt idx="325">
                  <c:v>154647.48878628344</c:v>
                </c:pt>
                <c:pt idx="326">
                  <c:v>151411.42001944169</c:v>
                </c:pt>
                <c:pt idx="327">
                  <c:v>148236.33218343696</c:v>
                </c:pt>
                <c:pt idx="328">
                  <c:v>145121.40035389792</c:v>
                </c:pt>
                <c:pt idx="329">
                  <c:v>142065.79965087702</c:v>
                </c:pt>
                <c:pt idx="330">
                  <c:v>139068.70563507959</c:v>
                </c:pt>
                <c:pt idx="331">
                  <c:v>136129.29469498957</c:v>
                </c:pt>
                <c:pt idx="332">
                  <c:v>133246.74442472807</c:v>
                </c:pt>
                <c:pt idx="333">
                  <c:v>130420.2339924885</c:v>
                </c:pt>
                <c:pt idx="334">
                  <c:v>127648.94449940589</c:v>
                </c:pt>
                <c:pt idx="335">
                  <c:v>124932.05932874499</c:v>
                </c:pt>
                <c:pt idx="336">
                  <c:v>122268.76448528988</c:v>
                </c:pt>
                <c:pt idx="337">
                  <c:v>119658.24892484915</c:v>
                </c:pt>
                <c:pt idx="338">
                  <c:v>117099.70487379257</c:v>
                </c:pt>
                <c:pt idx="339">
                  <c:v>114592.32813856192</c:v>
                </c:pt>
                <c:pt idx="340">
                  <c:v>112135.31840509923</c:v>
                </c:pt>
                <c:pt idx="341">
                  <c:v>109727.87952816194</c:v>
                </c:pt>
                <c:pt idx="342">
                  <c:v>107369.21981050049</c:v>
                </c:pt>
                <c:pt idx="343">
                  <c:v>105058.55227189093</c:v>
                </c:pt>
                <c:pt idx="344">
                  <c:v>102795.09490802624</c:v>
                </c:pt>
                <c:pt idx="345">
                  <c:v>100578.07093928376</c:v>
                </c:pt>
                <c:pt idx="346">
                  <c:v>98406.709049396872</c:v>
                </c:pt>
                <c:pt idx="347">
                  <c:v>96280.243614074527</c:v>
                </c:pt>
                <c:pt idx="348">
                  <c:v>94197.9149196176</c:v>
                </c:pt>
                <c:pt idx="349">
                  <c:v>92158.969371598418</c:v>
                </c:pt>
                <c:pt idx="350">
                  <c:v>90162.659693677662</c:v>
                </c:pt>
                <c:pt idx="351">
                  <c:v>88208.245116640654</c:v>
                </c:pt>
                <c:pt idx="352">
                  <c:v>86294.991557750283</c:v>
                </c:pt>
                <c:pt idx="353">
                  <c:v>84422.171790518201</c:v>
                </c:pt>
                <c:pt idx="354">
                  <c:v>82589.065605005875</c:v>
                </c:pt>
                <c:pt idx="355">
                  <c:v>80794.959958780557</c:v>
                </c:pt>
                <c:pt idx="356">
                  <c:v>79039.149118649613</c:v>
                </c:pt>
                <c:pt idx="357">
                  <c:v>77320.934793312641</c:v>
                </c:pt>
                <c:pt idx="358">
                  <c:v>75639.626257075026</c:v>
                </c:pt>
                <c:pt idx="359">
                  <c:v>73994.540464772406</c:v>
                </c:pt>
                <c:pt idx="360">
                  <c:v>72385.00215806035</c:v>
                </c:pt>
                <c:pt idx="361">
                  <c:v>70810.343963236242</c:v>
                </c:pt>
                <c:pt idx="362">
                  <c:v>69269.906480754915</c:v>
                </c:pt>
                <c:pt idx="363">
                  <c:v>67763.038366614914</c:v>
                </c:pt>
                <c:pt idx="364">
                  <c:v>66289.096405788063</c:v>
                </c:pt>
                <c:pt idx="365">
                  <c:v>64847.445577877887</c:v>
                </c:pt>
                <c:pt idx="366">
                  <c:v>63437.459115185462</c:v>
                </c:pt>
                <c:pt idx="367">
                  <c:v>62058.51855337507</c:v>
                </c:pt>
                <c:pt idx="368">
                  <c:v>60710.013774926294</c:v>
                </c:pt>
                <c:pt idx="369">
                  <c:v>59391.34304556805</c:v>
                </c:pt>
                <c:pt idx="370">
                  <c:v>58101.913043887143</c:v>
                </c:pt>
                <c:pt idx="371">
                  <c:v>56841.138884308435</c:v>
                </c:pt>
                <c:pt idx="372">
                  <c:v>55608.444133644669</c:v>
                </c:pt>
                <c:pt idx="373">
                  <c:v>54403.260821413256</c:v>
                </c:pt>
                <c:pt idx="374">
                  <c:v>53225.029444121094</c:v>
                </c:pt>
                <c:pt idx="375">
                  <c:v>52073.198963714531</c:v>
                </c:pt>
                <c:pt idx="376">
                  <c:v>50947.226800395976</c:v>
                </c:pt>
                <c:pt idx="377">
                  <c:v>49846.578820004848</c:v>
                </c:pt>
                <c:pt idx="378">
                  <c:v>48770.729316161291</c:v>
                </c:pt>
                <c:pt idx="379">
                  <c:v>47719.160987371593</c:v>
                </c:pt>
                <c:pt idx="380">
                  <c:v>46691.364909289528</c:v>
                </c:pt>
                <c:pt idx="381">
                  <c:v>45686.840502330779</c:v>
                </c:pt>
                <c:pt idx="382">
                  <c:v>44705.095494831396</c:v>
                </c:pt>
                <c:pt idx="383">
                  <c:v>43745.645881943587</c:v>
                </c:pt>
                <c:pt idx="384">
                  <c:v>42808.015880457722</c:v>
                </c:pt>
                <c:pt idx="385">
                  <c:v>41891.7378797356</c:v>
                </c:pt>
                <c:pt idx="386">
                  <c:v>40996.35238894308</c:v>
                </c:pt>
                <c:pt idx="387">
                  <c:v>40121.407980760458</c:v>
                </c:pt>
                <c:pt idx="388">
                  <c:v>39266.461231751608</c:v>
                </c:pt>
                <c:pt idx="389">
                  <c:v>38431.076659566628</c:v>
                </c:pt>
                <c:pt idx="390">
                  <c:v>37614.826657152364</c:v>
                </c:pt>
                <c:pt idx="391">
                  <c:v>36817.291424139446</c:v>
                </c:pt>
                <c:pt idx="392">
                  <c:v>36038.058895571194</c:v>
                </c:pt>
                <c:pt idx="393">
                  <c:v>35276.724668140239</c:v>
                </c:pt>
                <c:pt idx="394">
                  <c:v>34532.891924088719</c:v>
                </c:pt>
                <c:pt idx="395">
                  <c:v>33806.171352929123</c:v>
                </c:pt>
                <c:pt idx="396">
                  <c:v>33096.181071138795</c:v>
                </c:pt>
                <c:pt idx="397">
                  <c:v>32402.546539973551</c:v>
                </c:pt>
                <c:pt idx="398">
                  <c:v>31724.900481547651</c:v>
                </c:pt>
                <c:pt idx="399">
                  <c:v>31062.882793317807</c:v>
                </c:pt>
                <c:pt idx="400">
                  <c:v>30416.140461108978</c:v>
                </c:pt>
                <c:pt idx="401">
                  <c:v>29784.327470815526</c:v>
                </c:pt>
                <c:pt idx="402">
                  <c:v>29167.104718903352</c:v>
                </c:pt>
                <c:pt idx="403">
                  <c:v>28564.1399218406</c:v>
                </c:pt>
                <c:pt idx="404">
                  <c:v>27975.107524575473</c:v>
                </c:pt>
                <c:pt idx="405">
                  <c:v>27399.68860817908</c:v>
                </c:pt>
                <c:pt idx="406">
                  <c:v>26837.570796764448</c:v>
                </c:pt>
                <c:pt idx="407">
                  <c:v>26288.448163792076</c:v>
                </c:pt>
                <c:pt idx="408">
                  <c:v>25752.021137865635</c:v>
                </c:pt>
                <c:pt idx="409">
                  <c:v>25227.996408118881</c:v>
                </c:pt>
                <c:pt idx="410">
                  <c:v>24716.086829291118</c:v>
                </c:pt>
                <c:pt idx="411">
                  <c:v>24216.011326583724</c:v>
                </c:pt>
                <c:pt idx="412">
                  <c:v>23727.494800388034</c:v>
                </c:pt>
                <c:pt idx="413">
                  <c:v>23250.268030969277</c:v>
                </c:pt>
                <c:pt idx="414">
                  <c:v>22784.06758318904</c:v>
                </c:pt>
                <c:pt idx="415">
                  <c:v>22328.635711344632</c:v>
                </c:pt>
                <c:pt idx="416">
                  <c:v>21883.720264199725</c:v>
                </c:pt>
                <c:pt idx="417">
                  <c:v>21449.074590278313</c:v>
                </c:pt>
                <c:pt idx="418">
                  <c:v>21024.457443488398</c:v>
                </c:pt>
                <c:pt idx="419">
                  <c:v>20609.632889141954</c:v>
                </c:pt>
                <c:pt idx="420">
                  <c:v>20204.370210430006</c:v>
                </c:pt>
                <c:pt idx="421">
                  <c:v>19808.443815412851</c:v>
                </c:pt>
                <c:pt idx="422">
                  <c:v>19421.633144578471</c:v>
                </c:pt>
                <c:pt idx="423">
                  <c:v>19043.72257902244</c:v>
                </c:pt>
                <c:pt idx="424">
                  <c:v>18674.501349296519</c:v>
                </c:pt>
                <c:pt idx="425">
                  <c:v>18313.76344497293</c:v>
                </c:pt>
                <c:pt idx="426">
                  <c:v>17961.307524966644</c:v>
                </c:pt>
                <c:pt idx="427">
                  <c:v>17616.936828656151</c:v>
                </c:pt>
                <c:pt idx="428">
                  <c:v>17280.459087839714</c:v>
                </c:pt>
                <c:pt idx="429">
                  <c:v>16951.686439563113</c:v>
                </c:pt>
                <c:pt idx="430">
                  <c:v>16630.43533984977</c:v>
                </c:pt>
                <c:pt idx="431">
                  <c:v>16316.526478364793</c:v>
                </c:pt>
                <c:pt idx="432">
                  <c:v>16009.784694038954</c:v>
                </c:pt>
                <c:pt idx="433">
                  <c:v>15710.038891679516</c:v>
                </c:pt>
                <c:pt idx="434">
                  <c:v>15417.121959589647</c:v>
                </c:pt>
                <c:pt idx="435">
                  <c:v>15130.870688218361</c:v>
                </c:pt>
                <c:pt idx="436">
                  <c:v>14851.125689859344</c:v>
                </c:pt>
                <c:pt idx="437">
                  <c:v>14577.731319416032</c:v>
                </c:pt>
                <c:pt idx="438">
                  <c:v>14310.535596248075</c:v>
                </c:pt>
                <c:pt idx="439">
                  <c:v>14049.390127111858</c:v>
                </c:pt>
                <c:pt idx="440">
                  <c:v>13794.150030207707</c:v>
                </c:pt>
                <c:pt idx="441">
                  <c:v>13544.673860342544</c:v>
                </c:pt>
                <c:pt idx="442">
                  <c:v>13300.823535217029</c:v>
                </c:pt>
                <c:pt idx="443">
                  <c:v>13062.464262843809</c:v>
                </c:pt>
                <c:pt idx="444">
                  <c:v>12829.464470101833</c:v>
                </c:pt>
                <c:pt idx="445">
                  <c:v>12601.69573243117</c:v>
                </c:pt>
                <c:pt idx="446">
                  <c:v>12379.032704670615</c:v>
                </c:pt>
                <c:pt idx="447">
                  <c:v>12161.353053039396</c:v>
                </c:pt>
                <c:pt idx="448">
                  <c:v>11948.537388263454</c:v>
                </c:pt>
                <c:pt idx="449">
                  <c:v>11740.469199844852</c:v>
                </c:pt>
                <c:pt idx="450">
                  <c:v>11537.034791472808</c:v>
                </c:pt>
                <c:pt idx="451">
                  <c:v>11338.123217572622</c:v>
                </c:pt>
                <c:pt idx="452">
                  <c:v>11143.626220989079</c:v>
                </c:pt>
                <c:pt idx="453">
                  <c:v>10953.438171799118</c:v>
                </c:pt>
                <c:pt idx="454">
                  <c:v>10767.456007247809</c:v>
                </c:pt>
                <c:pt idx="455">
                  <c:v>10585.579172801456</c:v>
                </c:pt>
                <c:pt idx="456">
                  <c:v>10407.709564310158</c:v>
                </c:pt>
                <c:pt idx="457">
                  <c:v>10233.751471271849</c:v>
                </c:pt>
                <c:pt idx="458">
                  <c:v>10063.611521189268</c:v>
                </c:pt>
                <c:pt idx="459">
                  <c:v>9897.1986250103873</c:v>
                </c:pt>
                <c:pt idx="460">
                  <c:v>9734.4239236425528</c:v>
                </c:pt>
                <c:pt idx="461">
                  <c:v>9575.2007355297574</c:v>
                </c:pt>
                <c:pt idx="462">
                  <c:v>9419.4445052823394</c:v>
                </c:pt>
                <c:pt idx="463">
                  <c:v>9267.0727533476838</c:v>
                </c:pt>
                <c:pt idx="464">
                  <c:v>9118.0050267102142</c:v>
                </c:pt>
                <c:pt idx="465">
                  <c:v>8972.162850608489</c:v>
                </c:pt>
                <c:pt idx="466">
                  <c:v>8829.4696812570346</c:v>
                </c:pt>
                <c:pt idx="467">
                  <c:v>8689.8508595600633</c:v>
                </c:pt>
                <c:pt idx="468">
                  <c:v>8553.2335658040211</c:v>
                </c:pt>
                <c:pt idx="469">
                  <c:v>8419.5467753158191</c:v>
                </c:pt>
                <c:pt idx="470">
                  <c:v>8288.7212150729902</c:v>
                </c:pt>
                <c:pt idx="471">
                  <c:v>8160.689321252361</c:v>
                </c:pt>
                <c:pt idx="472">
                  <c:v>8035.3851977030208</c:v>
                </c:pt>
                <c:pt idx="473">
                  <c:v>7912.7445753299044</c:v>
                </c:pt>
                <c:pt idx="474">
                  <c:v>7792.7047723736578</c:v>
                </c:pt>
                <c:pt idx="475">
                  <c:v>7675.2046555726856</c:v>
                </c:pt>
                <c:pt idx="476">
                  <c:v>7560.1846021928868</c:v>
                </c:pt>
                <c:pt idx="477">
                  <c:v>7447.5864629110029</c:v>
                </c:pt>
                <c:pt idx="478">
                  <c:v>7337.3535255369934</c:v>
                </c:pt>
                <c:pt idx="479">
                  <c:v>7229.4304795610842</c:v>
                </c:pt>
                <c:pt idx="480">
                  <c:v>7123.7633815110667</c:v>
                </c:pt>
                <c:pt idx="481">
                  <c:v>7020.2996211055633</c:v>
                </c:pt>
                <c:pt idx="482">
                  <c:v>6918.9878881887371</c:v>
                </c:pt>
                <c:pt idx="483">
                  <c:v>6819.7781404321868</c:v>
                </c:pt>
                <c:pt idx="484">
                  <c:v>6722.6215717900232</c:v>
                </c:pt>
                <c:pt idx="485">
                  <c:v>6627.4705816923679</c:v>
                </c:pt>
                <c:pt idx="486">
                  <c:v>6534.2787449638536</c:v>
                </c:pt>
                <c:pt idx="487">
                  <c:v>6443.0007824525565</c:v>
                </c:pt>
                <c:pt idx="488">
                  <c:v>6353.5925323558313</c:v>
                </c:pt>
                <c:pt idx="489">
                  <c:v>6266.0109222289939</c:v>
                </c:pt>
                <c:pt idx="490">
                  <c:v>6180.2139416633681</c:v>
                </c:pt>
                <c:pt idx="491">
                  <c:v>6096.1606156199814</c:v>
                </c:pt>
                <c:pt idx="492">
                  <c:v>6013.8109784056951</c:v>
                </c:pt>
                <c:pt idx="493">
                  <c:v>5933.1260482783255</c:v>
                </c:pt>
                <c:pt idx="494">
                  <c:v>5854.0678026676424</c:v>
                </c:pt>
                <c:pt idx="495">
                  <c:v>5776.5991539995157</c:v>
                </c:pt>
                <c:pt idx="496">
                  <c:v>5700.6839261100131</c:v>
                </c:pt>
                <c:pt idx="497">
                  <c:v>5626.2868312372148</c:v>
                </c:pt>
                <c:pt idx="498">
                  <c:v>5553.3734475779447</c:v>
                </c:pt>
                <c:pt idx="499">
                  <c:v>5481.9101973973429</c:v>
                </c:pt>
                <c:pt idx="500">
                  <c:v>5411.864325679001</c:v>
                </c:pt>
                <c:pt idx="501">
                  <c:v>5343.2038793038028</c:v>
                </c:pt>
                <c:pt idx="502">
                  <c:v>5275.8976867456722</c:v>
                </c:pt>
                <c:pt idx="503">
                  <c:v>5209.9153382726445</c:v>
                </c:pt>
                <c:pt idx="504">
                  <c:v>5145.2271666418319</c:v>
                </c:pt>
                <c:pt idx="505">
                  <c:v>5081.8042282771203</c:v>
                </c:pt>
                <c:pt idx="506">
                  <c:v>5019.6182849185343</c:v>
                </c:pt>
                <c:pt idx="507">
                  <c:v>4958.6417857323995</c:v>
                </c:pt>
                <c:pt idx="508">
                  <c:v>4898.8478498717359</c:v>
                </c:pt>
                <c:pt idx="509">
                  <c:v>4840.2102494762976</c:v>
                </c:pt>
                <c:pt idx="510">
                  <c:v>4782.7033931020633</c:v>
                </c:pt>
                <c:pt idx="511">
                  <c:v>4726.3023095700555</c:v>
                </c:pt>
                <c:pt idx="512">
                  <c:v>4670.9826322246399</c:v>
                </c:pt>
                <c:pt idx="513">
                  <c:v>4616.7205835914119</c:v>
                </c:pt>
                <c:pt idx="514">
                  <c:v>4563.4929604254176</c:v>
                </c:pt>
                <c:pt idx="515">
                  <c:v>4511.2771191400789</c:v>
                </c:pt>
                <c:pt idx="516">
                  <c:v>4460.0509616078789</c:v>
                </c:pt>
                <c:pt idx="517">
                  <c:v>4409.7929213236475</c:v>
                </c:pt>
                <c:pt idx="518">
                  <c:v>4360.4819499218556</c:v>
                </c:pt>
                <c:pt idx="519">
                  <c:v>4312.0975040390204</c:v>
                </c:pt>
                <c:pt idx="520">
                  <c:v>4264.6195325130911</c:v>
                </c:pt>
                <c:pt idx="521">
                  <c:v>4218.0284639112897</c:v>
                </c:pt>
                <c:pt idx="522">
                  <c:v>4172.3051943784494</c:v>
                </c:pt>
                <c:pt idx="523">
                  <c:v>4127.4310757978919</c:v>
                </c:pt>
                <c:pt idx="524">
                  <c:v>4083.3879042571334</c:v>
                </c:pt>
                <c:pt idx="525">
                  <c:v>4040.1579088107355</c:v>
                </c:pt>
                <c:pt idx="526">
                  <c:v>3997.7237405329802</c:v>
                </c:pt>
                <c:pt idx="527">
                  <c:v>3956.0684618531418</c:v>
                </c:pt>
                <c:pt idx="528">
                  <c:v>3915.1755361660871</c:v>
                </c:pt>
                <c:pt idx="529">
                  <c:v>3875.0288177115103</c:v>
                </c:pt>
                <c:pt idx="530">
                  <c:v>3835.6125417148128</c:v>
                </c:pt>
                <c:pt idx="531">
                  <c:v>3796.9113147831536</c:v>
                </c:pt>
                <c:pt idx="532">
                  <c:v>3758.9101055501105</c:v>
                </c:pt>
                <c:pt idx="533">
                  <c:v>3721.5942355626994</c:v>
                </c:pt>
                <c:pt idx="534">
                  <c:v>3684.9493704044594</c:v>
                </c:pt>
                <c:pt idx="535">
                  <c:v>3648.9615110487366</c:v>
                </c:pt>
                <c:pt idx="536">
                  <c:v>3613.6169854361397</c:v>
                </c:pt>
                <c:pt idx="537">
                  <c:v>3578.9024402704731</c:v>
                </c:pt>
                <c:pt idx="538">
                  <c:v>3544.8048330275187</c:v>
                </c:pt>
                <c:pt idx="539">
                  <c:v>3511.3114241712369</c:v>
                </c:pt>
                <c:pt idx="540">
                  <c:v>3478.4097695718865</c:v>
                </c:pt>
                <c:pt idx="541">
                  <c:v>3446.0877131210946</c:v>
                </c:pt>
                <c:pt idx="542">
                  <c:v>3414.3333795384988</c:v>
                </c:pt>
                <c:pt idx="543">
                  <c:v>3383.1351673652184</c:v>
                </c:pt>
                <c:pt idx="544">
                  <c:v>3352.481742139199</c:v>
                </c:pt>
                <c:pt idx="545">
                  <c:v>3322.3620297476818</c:v>
                </c:pt>
                <c:pt idx="546">
                  <c:v>3292.7652099522647</c:v>
                </c:pt>
                <c:pt idx="547">
                  <c:v>3263.680710082017</c:v>
                </c:pt>
                <c:pt idx="548">
                  <c:v>3235.0981988902076</c:v>
                </c:pt>
                <c:pt idx="549">
                  <c:v>3207.0075805705005</c:v>
                </c:pt>
                <c:pt idx="550">
                  <c:v>3179.3989889282975</c:v>
                </c:pt>
                <c:pt idx="551">
                  <c:v>3152.2627817032562</c:v>
                </c:pt>
                <c:pt idx="552">
                  <c:v>3125.5895350390133</c:v>
                </c:pt>
                <c:pt idx="553">
                  <c:v>3099.3700380962214</c:v>
                </c:pt>
                <c:pt idx="554">
                  <c:v>3073.5952878051385</c:v>
                </c:pt>
                <c:pt idx="555">
                  <c:v>3048.2564837541304</c:v>
                </c:pt>
                <c:pt idx="556">
                  <c:v>3023.3450232104642</c:v>
                </c:pt>
                <c:pt idx="557">
                  <c:v>2998.8524962699844</c:v>
                </c:pt>
                <c:pt idx="558">
                  <c:v>2974.7706811321455</c:v>
                </c:pt>
                <c:pt idx="559">
                  <c:v>2951.0915394972867</c:v>
                </c:pt>
                <c:pt idx="560">
                  <c:v>2927.8072120827142</c:v>
                </c:pt>
                <c:pt idx="561">
                  <c:v>2904.9100142546281</c:v>
                </c:pt>
                <c:pt idx="562">
                  <c:v>2882.3924317727165</c:v>
                </c:pt>
                <c:pt idx="563">
                  <c:v>2860.247116644533</c:v>
                </c:pt>
                <c:pt idx="564">
                  <c:v>2838.4668830866699</c:v>
                </c:pt>
                <c:pt idx="565">
                  <c:v>2817.0447035899706</c:v>
                </c:pt>
                <c:pt idx="566">
                  <c:v>2795.9737050860062</c:v>
                </c:pt>
                <c:pt idx="567">
                  <c:v>2775.2471652121103</c:v>
                </c:pt>
                <c:pt idx="568">
                  <c:v>2754.8585086724188</c:v>
                </c:pt>
                <c:pt idx="569">
                  <c:v>2734.8013036923221</c:v>
                </c:pt>
                <c:pt idx="570">
                  <c:v>2715.0692585639176</c:v>
                </c:pt>
                <c:pt idx="571">
                  <c:v>2695.6562182799498</c:v>
                </c:pt>
                <c:pt idx="572">
                  <c:v>2676.5561612540409</c:v>
                </c:pt>
                <c:pt idx="573">
                  <c:v>2657.7631961247885</c:v>
                </c:pt>
                <c:pt idx="574">
                  <c:v>2639.271558641597</c:v>
                </c:pt>
                <c:pt idx="575">
                  <c:v>2621.0756086300448</c:v>
                </c:pt>
                <c:pt idx="576">
                  <c:v>2603.1698270347028</c:v>
                </c:pt>
                <c:pt idx="577">
                  <c:v>2585.5488130373192</c:v>
                </c:pt>
                <c:pt idx="578">
                  <c:v>2568.2072812484084</c:v>
                </c:pt>
                <c:pt idx="579">
                  <c:v>2551.1400589703007</c:v>
                </c:pt>
                <c:pt idx="580">
                  <c:v>2534.3420835297388</c:v>
                </c:pt>
                <c:pt idx="581">
                  <c:v>2517.8083996782038</c:v>
                </c:pt>
                <c:pt idx="582">
                  <c:v>2501.5341570581595</c:v>
                </c:pt>
                <c:pt idx="583">
                  <c:v>2485.5146077335089</c:v>
                </c:pt>
                <c:pt idx="584">
                  <c:v>2469.7451037825172</c:v>
                </c:pt>
                <c:pt idx="585">
                  <c:v>2454.2210949515943</c:v>
                </c:pt>
                <c:pt idx="586">
                  <c:v>2438.9381263683058</c:v>
                </c:pt>
                <c:pt idx="587">
                  <c:v>2423.891836312047</c:v>
                </c:pt>
                <c:pt idx="588">
                  <c:v>2409.0779540408876</c:v>
                </c:pt>
                <c:pt idx="589">
                  <c:v>2394.4922976730518</c:v>
                </c:pt>
                <c:pt idx="590">
                  <c:v>2380.1307721216826</c:v>
                </c:pt>
                <c:pt idx="591">
                  <c:v>2365.9893670813676</c:v>
                </c:pt>
                <c:pt idx="592">
                  <c:v>2352.0641550651671</c:v>
                </c:pt>
                <c:pt idx="593">
                  <c:v>2338.3512894907763</c:v>
                </c:pt>
                <c:pt idx="594">
                  <c:v>2324.8470028145143</c:v>
                </c:pt>
                <c:pt idx="595">
                  <c:v>2311.5476047119059</c:v>
                </c:pt>
                <c:pt idx="596">
                  <c:v>2298.4494803036191</c:v>
                </c:pt>
                <c:pt idx="597">
                  <c:v>2285.5490884255792</c:v>
                </c:pt>
                <c:pt idx="598">
                  <c:v>2272.8429599421024</c:v>
                </c:pt>
                <c:pt idx="599">
                  <c:v>2260.3276961009037</c:v>
                </c:pt>
                <c:pt idx="600">
                  <c:v>2247.9999669288864</c:v>
                </c:pt>
                <c:pt idx="601">
                  <c:v>2235.8565096676793</c:v>
                </c:pt>
                <c:pt idx="602">
                  <c:v>2223.8941272478278</c:v>
                </c:pt>
                <c:pt idx="603">
                  <c:v>2212.1096868006707</c:v>
                </c:pt>
                <c:pt idx="604">
                  <c:v>2200.5001182069072</c:v>
                </c:pt>
                <c:pt idx="605">
                  <c:v>2189.062412680888</c:v>
                </c:pt>
                <c:pt idx="606">
                  <c:v>2177.7936213897165</c:v>
                </c:pt>
                <c:pt idx="607">
                  <c:v>2166.6908541062276</c:v>
                </c:pt>
                <c:pt idx="608">
                  <c:v>2155.7512778949945</c:v>
                </c:pt>
                <c:pt idx="609">
                  <c:v>2144.9721158304892</c:v>
                </c:pt>
                <c:pt idx="610">
                  <c:v>2134.3506457465537</c:v>
                </c:pt>
                <c:pt idx="611">
                  <c:v>2123.8841990163846</c:v>
                </c:pt>
                <c:pt idx="612">
                  <c:v>2113.5701593622289</c:v>
                </c:pt>
                <c:pt idx="613">
                  <c:v>2103.4059616940308</c:v>
                </c:pt>
                <c:pt idx="614">
                  <c:v>2093.389090976284</c:v>
                </c:pt>
                <c:pt idx="615">
                  <c:v>2083.5170811223461</c:v>
                </c:pt>
                <c:pt idx="616">
                  <c:v>2073.7875139154999</c:v>
                </c:pt>
                <c:pt idx="617">
                  <c:v>2064.1980179561242</c:v>
                </c:pt>
                <c:pt idx="618">
                  <c:v>2054.7462676342243</c:v>
                </c:pt>
                <c:pt idx="619">
                  <c:v>2045.4299821267334</c:v>
                </c:pt>
                <c:pt idx="620">
                  <c:v>2036.2469244189142</c:v>
                </c:pt>
                <c:pt idx="621">
                  <c:v>2027.1949003492518</c:v>
                </c:pt>
                <c:pt idx="622">
                  <c:v>2018.2717576772468</c:v>
                </c:pt>
                <c:pt idx="623">
                  <c:v>2009.4753851734945</c:v>
                </c:pt>
                <c:pt idx="624">
                  <c:v>2000.8037117315127</c:v>
                </c:pt>
                <c:pt idx="625">
                  <c:v>1992.2547055007356</c:v>
                </c:pt>
                <c:pt idx="626">
                  <c:v>1983.8263730401502</c:v>
                </c:pt>
                <c:pt idx="627">
                  <c:v>1975.5167584920478</c:v>
                </c:pt>
                <c:pt idx="628">
                  <c:v>1967.3239427753572</c:v>
                </c:pt>
                <c:pt idx="629">
                  <c:v>1959.2460427980977</c:v>
                </c:pt>
                <c:pt idx="630">
                  <c:v>1951.2812106884526</c:v>
                </c:pt>
                <c:pt idx="631">
                  <c:v>1943.4276330439511</c:v>
                </c:pt>
                <c:pt idx="632">
                  <c:v>1935.6835301983745</c:v>
                </c:pt>
                <c:pt idx="633">
                  <c:v>1928.0471555058855</c:v>
                </c:pt>
                <c:pt idx="634">
                  <c:v>1920.5167946419415</c:v>
                </c:pt>
                <c:pt idx="635">
                  <c:v>1913.0907649206183</c:v>
                </c:pt>
                <c:pt idx="636">
                  <c:v>1905.7674146278607</c:v>
                </c:pt>
                <c:pt idx="637">
                  <c:v>1898.545122370339</c:v>
                </c:pt>
                <c:pt idx="638">
                  <c:v>1891.4222964394328</c:v>
                </c:pt>
                <c:pt idx="639">
                  <c:v>1884.3973741900461</c:v>
                </c:pt>
                <c:pt idx="640">
                  <c:v>1877.468821433815</c:v>
                </c:pt>
                <c:pt idx="641">
                  <c:v>1870.6351318463883</c:v>
                </c:pt>
                <c:pt idx="642">
                  <c:v>1863.8948263884186</c:v>
                </c:pt>
                <c:pt idx="643">
                  <c:v>1857.2464527399095</c:v>
                </c:pt>
                <c:pt idx="644">
                  <c:v>1850.6885847476058</c:v>
                </c:pt>
                <c:pt idx="645">
                  <c:v>1844.2198218850858</c:v>
                </c:pt>
                <c:pt idx="646">
                  <c:v>1837.8387887252538</c:v>
                </c:pt>
                <c:pt idx="647">
                  <c:v>1831.5441344249134</c:v>
                </c:pt>
                <c:pt idx="648">
                  <c:v>1825.3345322211294</c:v>
                </c:pt>
                <c:pt idx="649">
                  <c:v>1819.2086789390812</c:v>
                </c:pt>
                <c:pt idx="650">
                  <c:v>1813.1652945111302</c:v>
                </c:pt>
                <c:pt idx="651">
                  <c:v>1807.2031215068237</c:v>
                </c:pt>
                <c:pt idx="652">
                  <c:v>1801.3209246735571</c:v>
                </c:pt>
                <c:pt idx="653">
                  <c:v>1795.5174904876444</c:v>
                </c:pt>
                <c:pt idx="654">
                  <c:v>1789.7916267155344</c:v>
                </c:pt>
                <c:pt idx="655">
                  <c:v>1784.1421619849173</c:v>
                </c:pt>
                <c:pt idx="656">
                  <c:v>1778.5679453655102</c:v>
                </c:pt>
                <c:pt idx="657">
                  <c:v>1773.0678459592302</c:v>
                </c:pt>
                <c:pt idx="658">
                  <c:v>1767.64075249959</c:v>
                </c:pt>
                <c:pt idx="659">
                  <c:v>1762.2855729600371</c:v>
                </c:pt>
                <c:pt idx="660">
                  <c:v>1757.0012341710469</c:v>
                </c:pt>
                <c:pt idx="661">
                  <c:v>1751.7866814457536</c:v>
                </c:pt>
                <c:pt idx="662">
                  <c:v>1746.6408782139199</c:v>
                </c:pt>
                <c:pt idx="663">
                  <c:v>1741.5628056640012</c:v>
                </c:pt>
                <c:pt idx="664">
                  <c:v>1736.5514623931851</c:v>
                </c:pt>
                <c:pt idx="665">
                  <c:v>1731.6058640651336</c:v>
                </c:pt>
                <c:pt idx="666">
                  <c:v>1726.7250430752897</c:v>
                </c:pt>
                <c:pt idx="667">
                  <c:v>1721.9080482235629</c:v>
                </c:pt>
                <c:pt idx="668">
                  <c:v>1717.1539443941926</c:v>
                </c:pt>
                <c:pt idx="669">
                  <c:v>1712.4618122426523</c:v>
                </c:pt>
                <c:pt idx="670">
                  <c:v>1707.8307478893837</c:v>
                </c:pt>
                <c:pt idx="671">
                  <c:v>1703.2598626202391</c:v>
                </c:pt>
                <c:pt idx="672">
                  <c:v>1698.7482825934458</c:v>
                </c:pt>
                <c:pt idx="673">
                  <c:v>1694.2951485529422</c:v>
                </c:pt>
                <c:pt idx="674">
                  <c:v>1689.8996155479454</c:v>
                </c:pt>
                <c:pt idx="675">
                  <c:v>1685.5608526585761</c:v>
                </c:pt>
                <c:pt idx="676">
                  <c:v>1681.2780427274365</c:v>
                </c:pt>
                <c:pt idx="677">
                  <c:v>1677.0503820969586</c:v>
                </c:pt>
                <c:pt idx="678">
                  <c:v>1672.8770803524212</c:v>
                </c:pt>
                <c:pt idx="679">
                  <c:v>1668.7573600704745</c:v>
                </c:pt>
                <c:pt idx="680">
                  <c:v>1664.6904565730624</c:v>
                </c:pt>
                <c:pt idx="681">
                  <c:v>1660.6756176866102</c:v>
                </c:pt>
                <c:pt idx="682">
                  <c:v>1656.7121035063417</c:v>
                </c:pt>
                <c:pt idx="683">
                  <c:v>1652.7991861656249</c:v>
                </c:pt>
                <c:pt idx="684">
                  <c:v>1648.9361496102201</c:v>
                </c:pt>
                <c:pt idx="685">
                  <c:v>1645.1222893773099</c:v>
                </c:pt>
                <c:pt idx="686">
                  <c:v>1641.356912379207</c:v>
                </c:pt>
                <c:pt idx="687">
                  <c:v>1637.6393366916343</c:v>
                </c:pt>
                <c:pt idx="688">
                  <c:v>1633.968891346457</c:v>
                </c:pt>
                <c:pt idx="689">
                  <c:v>1630.3449161287836</c:v>
                </c:pt>
                <c:pt idx="690">
                  <c:v>1626.7667613783124</c:v>
                </c:pt>
                <c:pt idx="691">
                  <c:v>1623.2337877948457</c:v>
                </c:pt>
                <c:pt idx="692">
                  <c:v>1619.7453662478624</c:v>
                </c:pt>
                <c:pt idx="693">
                  <c:v>1616.3008775900578</c:v>
                </c:pt>
                <c:pt idx="694">
                  <c:v>1612.8997124747675</c:v>
                </c:pt>
                <c:pt idx="695">
                  <c:v>1609.5412711771746</c:v>
                </c:pt>
                <c:pt idx="696">
                  <c:v>1606.2249634192224</c:v>
                </c:pt>
                <c:pt idx="697">
                  <c:v>1602.9502081981368</c:v>
                </c:pt>
                <c:pt idx="698">
                  <c:v>1599.7164336185049</c:v>
                </c:pt>
                <c:pt idx="699">
                  <c:v>1596.5230767277762</c:v>
                </c:pt>
                <c:pt idx="700">
                  <c:v>1593.3695833551717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C8-4D35-9FFC-DB88DF942BEB}"/>
            </c:ext>
          </c:extLst>
        </c:ser>
        <c:ser>
          <c:idx val="1"/>
          <c:order val="1"/>
          <c:tx>
            <c:strRef>
              <c:f>Dynamic_Modulus_Calc!$G$50</c:f>
              <c:strCache>
                <c:ptCount val="1"/>
                <c:pt idx="0">
                  <c:v>Prony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Dynamic_Modulus_Calc!$G$52:$G$752</c:f>
              <c:numCache>
                <c:formatCode>0.00E+00</c:formatCode>
                <c:ptCount val="701"/>
                <c:pt idx="0">
                  <c:v>3157008.1594685568</c:v>
                </c:pt>
                <c:pt idx="1">
                  <c:v>3155212.0427562995</c:v>
                </c:pt>
                <c:pt idx="2">
                  <c:v>3153339.112502024</c:v>
                </c:pt>
                <c:pt idx="3">
                  <c:v>3151386.4627406197</c:v>
                </c:pt>
                <c:pt idx="4">
                  <c:v>3149351.1135093141</c:v>
                </c:pt>
                <c:pt idx="5">
                  <c:v>3147230.0126009872</c:v>
                </c:pt>
                <c:pt idx="6">
                  <c:v>3145020.0377914994</c:v>
                </c:pt>
                <c:pt idx="7">
                  <c:v>3142717.999585954</c:v>
                </c:pt>
                <c:pt idx="8">
                  <c:v>3140320.6445312244</c:v>
                </c:pt>
                <c:pt idx="9">
                  <c:v>3137824.6591443704</c:v>
                </c:pt>
                <c:pt idx="10">
                  <c:v>3135226.674508736</c:v>
                </c:pt>
                <c:pt idx="11">
                  <c:v>3132523.2715915274</c:v>
                </c:pt>
                <c:pt idx="12">
                  <c:v>3129710.9873384121</c:v>
                </c:pt>
                <c:pt idx="13">
                  <c:v>3126786.3216021303</c:v>
                </c:pt>
                <c:pt idx="14">
                  <c:v>3123745.7449631589</c:v>
                </c:pt>
                <c:pt idx="15">
                  <c:v>3120585.7075010617</c:v>
                </c:pt>
                <c:pt idx="16">
                  <c:v>3117302.6485751425</c:v>
                </c:pt>
                <c:pt idx="17">
                  <c:v>3113893.0076723462</c:v>
                </c:pt>
                <c:pt idx="18">
                  <c:v>3110353.2363788481</c:v>
                </c:pt>
                <c:pt idx="19">
                  <c:v>3106679.8115293276</c:v>
                </c:pt>
                <c:pt idx="20">
                  <c:v>3102869.2495843591</c:v>
                </c:pt>
                <c:pt idx="21">
                  <c:v>3098918.1222815723</c:v>
                </c:pt>
                <c:pt idx="22">
                  <c:v>3094823.073599969</c:v>
                </c:pt>
                <c:pt idx="23">
                  <c:v>3090580.8380689267</c:v>
                </c:pt>
                <c:pt idx="24">
                  <c:v>3086188.2604437536</c:v>
                </c:pt>
                <c:pt idx="25">
                  <c:v>3081642.31675795</c:v>
                </c:pt>
                <c:pt idx="26">
                  <c:v>3076940.1367484145</c:v>
                </c:pt>
                <c:pt idx="27">
                  <c:v>3072079.0276334998</c:v>
                </c:pt>
                <c:pt idx="28">
                  <c:v>3067056.4992047879</c:v>
                </c:pt>
                <c:pt idx="29">
                  <c:v>3061870.2901716745</c:v>
                </c:pt>
                <c:pt idx="30">
                  <c:v>3056518.3956729728</c:v>
                </c:pt>
                <c:pt idx="31">
                  <c:v>3050999.095841751</c:v>
                </c:pt>
                <c:pt idx="32">
                  <c:v>3045310.9852783186</c:v>
                </c:pt>
                <c:pt idx="33">
                  <c:v>3039453.0032516262</c:v>
                </c:pt>
                <c:pt idx="34">
                  <c:v>3033424.4644113015</c:v>
                </c:pt>
                <c:pt idx="35">
                  <c:v>3027225.0897512613</c:v>
                </c:pt>
                <c:pt idx="36">
                  <c:v>3020855.0375213488</c:v>
                </c:pt>
                <c:pt idx="37">
                  <c:v>3014314.9337361665</c:v>
                </c:pt>
                <c:pt idx="38">
                  <c:v>3007605.9018804855</c:v>
                </c:pt>
                <c:pt idx="39">
                  <c:v>3000729.591359016</c:v>
                </c:pt>
                <c:pt idx="40">
                  <c:v>2993688.204185538</c:v>
                </c:pt>
                <c:pt idx="41">
                  <c:v>2986484.5193534461</c:v>
                </c:pt>
                <c:pt idx="42">
                  <c:v>2979121.9142778385</c:v>
                </c:pt>
                <c:pt idx="43">
                  <c:v>2971604.3826497374</c:v>
                </c:pt>
                <c:pt idx="44">
                  <c:v>2963936.5479975799</c:v>
                </c:pt>
                <c:pt idx="45">
                  <c:v>2956123.672211729</c:v>
                </c:pt>
                <c:pt idx="46">
                  <c:v>2948171.6582565811</c:v>
                </c:pt>
                <c:pt idx="47">
                  <c:v>2940087.0462744492</c:v>
                </c:pt>
                <c:pt idx="48">
                  <c:v>2931877.0022784704</c:v>
                </c:pt>
                <c:pt idx="49">
                  <c:v>2923549.2986412114</c:v>
                </c:pt>
                <c:pt idx="50">
                  <c:v>2915112.2856146884</c:v>
                </c:pt>
                <c:pt idx="51">
                  <c:v>2906574.8531691465</c:v>
                </c:pt>
                <c:pt idx="52">
                  <c:v>2897946.3825154994</c:v>
                </c:pt>
                <c:pt idx="53">
                  <c:v>2889236.6867827228</c:v>
                </c:pt>
                <c:pt idx="54">
                  <c:v>2880455.9404595275</c:v>
                </c:pt>
                <c:pt idx="55">
                  <c:v>2871614.5973814116</c:v>
                </c:pt>
                <c:pt idx="56">
                  <c:v>2862723.2972514392</c:v>
                </c:pt>
                <c:pt idx="57">
                  <c:v>2853792.7609262061</c:v>
                </c:pt>
                <c:pt idx="58">
                  <c:v>2844833.6749769775</c:v>
                </c:pt>
                <c:pt idx="59">
                  <c:v>2835856.566347809</c:v>
                </c:pt>
                <c:pt idx="60">
                  <c:v>2826871.6682738229</c:v>
                </c:pt>
                <c:pt idx="61">
                  <c:v>2817888.7789879446</c:v>
                </c:pt>
                <c:pt idx="62">
                  <c:v>2808917.1151253567</c:v>
                </c:pt>
                <c:pt idx="63">
                  <c:v>2799965.1621214869</c:v>
                </c:pt>
                <c:pt idx="64">
                  <c:v>2791040.5242787772</c:v>
                </c:pt>
                <c:pt idx="65">
                  <c:v>2782149.7775348867</c:v>
                </c:pt>
                <c:pt idx="66">
                  <c:v>2773298.3282832112</c:v>
                </c:pt>
                <c:pt idx="67">
                  <c:v>2764490.2818568954</c:v>
                </c:pt>
                <c:pt idx="68">
                  <c:v>2755728.3244699501</c:v>
                </c:pt>
                <c:pt idx="69">
                  <c:v>2747013.6224934012</c:v>
                </c:pt>
                <c:pt idx="70">
                  <c:v>2738345.7429111716</c:v>
                </c:pt>
                <c:pt idx="71">
                  <c:v>2729722.5986320376</c:v>
                </c:pt>
                <c:pt idx="72">
                  <c:v>2721140.4220164591</c:v>
                </c:pt>
                <c:pt idx="73">
                  <c:v>2712593.7695011441</c:v>
                </c:pt>
                <c:pt idx="74">
                  <c:v>2704075.5595671679</c:v>
                </c:pt>
                <c:pt idx="75">
                  <c:v>2695577.145504503</c:v>
                </c:pt>
                <c:pt idx="76">
                  <c:v>2687088.4234914426</c:v>
                </c:pt>
                <c:pt idx="77">
                  <c:v>2678597.9754557796</c:v>
                </c:pt>
                <c:pt idx="78">
                  <c:v>2670093.24505061</c:v>
                </c:pt>
                <c:pt idx="79">
                  <c:v>2661560.7439054325</c:v>
                </c:pt>
                <c:pt idx="80">
                  <c:v>2652986.2841559611</c:v>
                </c:pt>
                <c:pt idx="81">
                  <c:v>2644355.2321727537</c:v>
                </c:pt>
                <c:pt idx="82">
                  <c:v>2635652.7774617956</c:v>
                </c:pt>
                <c:pt idx="83">
                  <c:v>2626864.2099607377</c:v>
                </c:pt>
                <c:pt idx="84">
                  <c:v>2617975.1984585305</c:v>
                </c:pt>
                <c:pt idx="85">
                  <c:v>2608972.0626686476</c:v>
                </c:pt>
                <c:pt idx="86">
                  <c:v>2599842.031616949</c:v>
                </c:pt>
                <c:pt idx="87">
                  <c:v>2590573.481474393</c:v>
                </c:pt>
                <c:pt idx="88">
                  <c:v>2581156.1467597359</c:v>
                </c:pt>
                <c:pt idx="89">
                  <c:v>2571581.2999212411</c:v>
                </c:pt>
                <c:pt idx="90">
                  <c:v>2561841.8956192685</c:v>
                </c:pt>
                <c:pt idx="91">
                  <c:v>2551932.6774931452</c:v>
                </c:pt>
                <c:pt idx="92">
                  <c:v>2541850.2467110464</c:v>
                </c:pt>
                <c:pt idx="93">
                  <c:v>2531593.0930687711</c:v>
                </c:pt>
                <c:pt idx="94">
                  <c:v>2521161.5907221301</c:v>
                </c:pt>
                <c:pt idx="95">
                  <c:v>2510557.9617194887</c:v>
                </c:pt>
                <c:pt idx="96">
                  <c:v>2499786.2112774174</c:v>
                </c:pt>
                <c:pt idx="97">
                  <c:v>2488852.039172654</c:v>
                </c:pt>
                <c:pt idx="98">
                  <c:v>2477762.7316988083</c:v>
                </c:pt>
                <c:pt idx="99">
                  <c:v>2466527.0383807635</c:v>
                </c:pt>
                <c:pt idx="100">
                  <c:v>2455155.0371079175</c:v>
                </c:pt>
                <c:pt idx="101">
                  <c:v>2443657.9906176645</c:v>
                </c:pt>
                <c:pt idx="102">
                  <c:v>2432048.1964258295</c:v>
                </c:pt>
                <c:pt idx="103">
                  <c:v>2420338.8314584736</c:v>
                </c:pt>
                <c:pt idx="104">
                  <c:v>2408543.7918801401</c:v>
                </c:pt>
                <c:pt idx="105">
                  <c:v>2396677.5280121346</c:v>
                </c:pt>
                <c:pt idx="106">
                  <c:v>2384754.8738431856</c:v>
                </c:pt>
                <c:pt idx="107">
                  <c:v>2372790.8704805137</c:v>
                </c:pt>
                <c:pt idx="108">
                  <c:v>2360800.5829734369</c:v>
                </c:pt>
                <c:pt idx="109">
                  <c:v>2348798.9102434502</c:v>
                </c:pt>
                <c:pt idx="110">
                  <c:v>2336800.3883373351</c:v>
                </c:pt>
                <c:pt idx="111">
                  <c:v>2324818.9878362874</c:v>
                </c:pt>
                <c:pt idx="112">
                  <c:v>2312867.9069534875</c:v>
                </c:pt>
                <c:pt idx="113">
                  <c:v>2300959.3625855148</c:v>
                </c:pt>
                <c:pt idx="114">
                  <c:v>2289104.3823043597</c:v>
                </c:pt>
                <c:pt idx="115">
                  <c:v>2277312.600947368</c:v>
                </c:pt>
                <c:pt idx="116">
                  <c:v>2265592.0660487725</c:v>
                </c:pt>
                <c:pt idx="117">
                  <c:v>2253949.0568299456</c:v>
                </c:pt>
                <c:pt idx="118">
                  <c:v>2242387.9218008933</c:v>
                </c:pt>
                <c:pt idx="119">
                  <c:v>2230910.9401999633</c:v>
                </c:pt>
                <c:pt idx="120">
                  <c:v>2219518.2124916189</c:v>
                </c:pt>
                <c:pt idx="121">
                  <c:v>2208207.5849349666</c:v>
                </c:pt>
                <c:pt idx="122">
                  <c:v>2196974.6128141661</c:v>
                </c:pt>
                <c:pt idx="123">
                  <c:v>2185812.5662767761</c:v>
                </c:pt>
                <c:pt idx="124">
                  <c:v>2174712.4818564411</c:v>
                </c:pt>
                <c:pt idx="125">
                  <c:v>2163663.2616708437</c:v>
                </c:pt>
                <c:pt idx="126">
                  <c:v>2152651.8210052396</c:v>
                </c:pt>
                <c:pt idx="127">
                  <c:v>2141663.2835502643</c:v>
                </c:pt>
                <c:pt idx="128">
                  <c:v>2130681.2220076914</c:v>
                </c:pt>
                <c:pt idx="129">
                  <c:v>2119687.9401707021</c:v>
                </c:pt>
                <c:pt idx="130">
                  <c:v>2108664.7909985711</c:v>
                </c:pt>
                <c:pt idx="131">
                  <c:v>2097592.5237208232</c:v>
                </c:pt>
                <c:pt idx="132">
                  <c:v>2086451.6517082143</c:v>
                </c:pt>
                <c:pt idx="133">
                  <c:v>2075222.8318216528</c:v>
                </c:pt>
                <c:pt idx="134">
                  <c:v>2063887.2452717882</c:v>
                </c:pt>
                <c:pt idx="135">
                  <c:v>2052426.9697534908</c:v>
                </c:pt>
                <c:pt idx="136">
                  <c:v>2040825.3328016743</c:v>
                </c:pt>
                <c:pt idx="137">
                  <c:v>2029067.2369616278</c:v>
                </c:pt>
                <c:pt idx="138">
                  <c:v>2017139.4484608914</c:v>
                </c:pt>
                <c:pt idx="139">
                  <c:v>2005030.8425602135</c:v>
                </c:pt>
                <c:pt idx="140">
                  <c:v>1992732.600565894</c:v>
                </c:pt>
                <c:pt idx="141">
                  <c:v>1980238.3554945281</c:v>
                </c:pt>
                <c:pt idx="142">
                  <c:v>1967544.2854636833</c:v>
                </c:pt>
                <c:pt idx="143">
                  <c:v>1954649.1558981661</c:v>
                </c:pt>
                <c:pt idx="144">
                  <c:v>1941554.31345379</c:v>
                </c:pt>
                <c:pt idx="145">
                  <c:v>1928263.6360471465</c:v>
                </c:pt>
                <c:pt idx="146">
                  <c:v>1914783.4444466692</c:v>
                </c:pt>
                <c:pt idx="147">
                  <c:v>1901122.38147128</c:v>
                </c:pt>
                <c:pt idx="148">
                  <c:v>1887291.2649456838</c:v>
                </c:pt>
                <c:pt idx="149">
                  <c:v>1873302.9202091789</c:v>
                </c:pt>
                <c:pt idx="150">
                  <c:v>1859171.9972419983</c:v>
                </c:pt>
                <c:pt idx="151">
                  <c:v>1844914.7764671056</c:v>
                </c:pt>
                <c:pt idx="152">
                  <c:v>1830548.9661334581</c:v>
                </c:pt>
                <c:pt idx="153">
                  <c:v>1816093.4930222731</c:v>
                </c:pt>
                <c:pt idx="154">
                  <c:v>1801568.287165056</c:v>
                </c:pt>
                <c:pt idx="155">
                  <c:v>1786994.060423539</c:v>
                </c:pt>
                <c:pt idx="156">
                  <c:v>1772392.0782291759</c:v>
                </c:pt>
                <c:pt idx="157">
                  <c:v>1757783.9235499322</c:v>
                </c:pt>
                <c:pt idx="158">
                  <c:v>1743191.2522469254</c:v>
                </c:pt>
                <c:pt idx="159">
                  <c:v>1728635.5393747902</c:v>
                </c:pt>
                <c:pt idx="160">
                  <c:v>1714137.816617091</c:v>
                </c:pt>
                <c:pt idx="161">
                  <c:v>1699718.4018675748</c:v>
                </c:pt>
                <c:pt idx="162">
                  <c:v>1685396.6229004825</c:v>
                </c:pt>
                <c:pt idx="163">
                  <c:v>1671190.5380513156</c:v>
                </c:pt>
                <c:pt idx="164">
                  <c:v>1657116.6577923938</c:v>
                </c:pt>
                <c:pt idx="165">
                  <c:v>1643189.6719825191</c:v>
                </c:pt>
                <c:pt idx="166">
                  <c:v>1629422.1883524654</c:v>
                </c:pt>
                <c:pt idx="167">
                  <c:v>1615824.4884199111</c:v>
                </c:pt>
                <c:pt idx="168">
                  <c:v>1602404.3074755936</c:v>
                </c:pt>
                <c:pt idx="169">
                  <c:v>1589166.6455171939</c:v>
                </c:pt>
                <c:pt idx="170">
                  <c:v>1576113.6160015494</c:v>
                </c:pt>
                <c:pt idx="171">
                  <c:v>1563244.3390156024</c:v>
                </c:pt>
                <c:pt idx="172">
                  <c:v>1550554.8849129528</c:v>
                </c:pt>
                <c:pt idx="173">
                  <c:v>1538038.2736146208</c:v>
                </c:pt>
                <c:pt idx="174">
                  <c:v>1525684.5336281403</c:v>
                </c:pt>
                <c:pt idx="175">
                  <c:v>1513480.8234103189</c:v>
                </c:pt>
                <c:pt idx="176">
                  <c:v>1501411.6160134214</c:v>
                </c:pt>
                <c:pt idx="177">
                  <c:v>1489458.9460571746</c:v>
                </c:pt>
                <c:pt idx="178">
                  <c:v>1477602.7160231965</c:v>
                </c:pt>
                <c:pt idx="179">
                  <c:v>1465821.0567550778</c:v>
                </c:pt>
                <c:pt idx="180">
                  <c:v>1454090.7349624529</c:v>
                </c:pt>
                <c:pt idx="181">
                  <c:v>1442387.59857858</c:v>
                </c:pt>
                <c:pt idx="182">
                  <c:v>1430687.0491210478</c:v>
                </c:pt>
                <c:pt idx="183">
                  <c:v>1418964.5288656089</c:v>
                </c:pt>
                <c:pt idx="184">
                  <c:v>1407196.009764855</c:v>
                </c:pt>
                <c:pt idx="185">
                  <c:v>1395358.4707084228</c:v>
                </c:pt>
                <c:pt idx="186">
                  <c:v>1383430.3499834512</c:v>
                </c:pt>
                <c:pt idx="187">
                  <c:v>1371391.9606713126</c:v>
                </c:pt>
                <c:pt idx="188">
                  <c:v>1359225.8581859265</c:v>
                </c:pt>
                <c:pt idx="189">
                  <c:v>1346917.1511533624</c:v>
                </c:pt>
                <c:pt idx="190">
                  <c:v>1334453.7492425558</c:v>
                </c:pt>
                <c:pt idx="191">
                  <c:v>1321826.5442367508</c:v>
                </c:pt>
                <c:pt idx="192">
                  <c:v>1309029.5234120088</c:v>
                </c:pt>
                <c:pt idx="193">
                  <c:v>1296059.8169769244</c:v>
                </c:pt>
                <c:pt idx="194">
                  <c:v>1282917.6837441216</c:v>
                </c:pt>
                <c:pt idx="195">
                  <c:v>1269606.441187077</c:v>
                </c:pt>
                <c:pt idx="196">
                  <c:v>1256132.3474601605</c:v>
                </c:pt>
                <c:pt idx="197">
                  <c:v>1242504.4437499389</c:v>
                </c:pt>
                <c:pt idx="198">
                  <c:v>1228734.3654643621</c:v>
                </c:pt>
                <c:pt idx="199">
                  <c:v>1214836.130295635</c:v>
                </c:pt>
                <c:pt idx="200">
                  <c:v>1200825.9102093503</c:v>
                </c:pt>
                <c:pt idx="201">
                  <c:v>1186721.7930570098</c:v>
                </c:pt>
                <c:pt idx="202">
                  <c:v>1172543.5379483809</c:v>
                </c:pt>
                <c:pt idx="203">
                  <c:v>1158312.326928833</c:v>
                </c:pt>
                <c:pt idx="204">
                  <c:v>1144050.5140476837</c:v>
                </c:pt>
                <c:pt idx="205">
                  <c:v>1129781.3717111622</c:v>
                </c:pt>
                <c:pt idx="206">
                  <c:v>1115528.8333819851</c:v>
                </c:pt>
                <c:pt idx="207">
                  <c:v>1101317.2312649011</c:v>
                </c:pt>
                <c:pt idx="208">
                  <c:v>1087171.0276067983</c:v>
                </c:pt>
                <c:pt idx="209">
                  <c:v>1073114.5386049733</c:v>
                </c:pt>
                <c:pt idx="210">
                  <c:v>1059171.6505930834</c:v>
                </c:pt>
                <c:pt idx="211">
                  <c:v>1045365.5290793263</c:v>
                </c:pt>
                <c:pt idx="212">
                  <c:v>1031718.3222580801</c:v>
                </c:pt>
                <c:pt idx="213">
                  <c:v>1018250.861720791</c:v>
                </c:pt>
                <c:pt idx="214">
                  <c:v>1004982.3641798847</c:v>
                </c:pt>
                <c:pt idx="215">
                  <c:v>991930.13902856305</c:v>
                </c:pt>
                <c:pt idx="216">
                  <c:v>979109.30743885913</c:v>
                </c:pt>
                <c:pt idx="217">
                  <c:v>966532.53940928122</c:v>
                </c:pt>
                <c:pt idx="218">
                  <c:v>954209.81567769847</c:v>
                </c:pt>
                <c:pt idx="219">
                  <c:v>942148.22168521793</c:v>
                </c:pt>
                <c:pt idx="220">
                  <c:v>930351.7807865052</c:v>
                </c:pt>
                <c:pt idx="221">
                  <c:v>918821.33362829871</c:v>
                </c:pt>
                <c:pt idx="222">
                  <c:v>907554.47004284454</c:v>
                </c:pt>
                <c:pt idx="223">
                  <c:v>896545.5189157594</c:v>
                </c:pt>
                <c:pt idx="224">
                  <c:v>885785.60028811463</c:v>
                </c:pt>
                <c:pt idx="225">
                  <c:v>875262.74245344894</c:v>
                </c:pt>
                <c:pt idx="226">
                  <c:v>864962.06504144287</c:v>
                </c:pt>
                <c:pt idx="227">
                  <c:v>854866.02708890662</c:v>
                </c:pt>
                <c:pt idx="228">
                  <c:v>844954.73695246258</c:v>
                </c:pt>
                <c:pt idx="229">
                  <c:v>835206.318701201</c:v>
                </c:pt>
                <c:pt idx="230">
                  <c:v>825597.32744309981</c:v>
                </c:pt>
                <c:pt idx="231">
                  <c:v>816103.20399944868</c:v>
                </c:pt>
                <c:pt idx="232">
                  <c:v>806698.75756603247</c:v>
                </c:pt>
                <c:pt idx="233">
                  <c:v>797358.66360572982</c:v>
                </c:pt>
                <c:pt idx="234">
                  <c:v>788057.96331101854</c:v>
                </c:pt>
                <c:pt idx="235">
                  <c:v>778772.55064288608</c:v>
                </c:pt>
                <c:pt idx="236">
                  <c:v>769479.63325155817</c:v>
                </c:pt>
                <c:pt idx="237">
                  <c:v>760158.15453316702</c:v>
                </c:pt>
                <c:pt idx="238">
                  <c:v>750789.16565038974</c:v>
                </c:pt>
                <c:pt idx="239">
                  <c:v>741356.13847333309</c:v>
                </c:pt>
                <c:pt idx="240">
                  <c:v>731845.21296386083</c:v>
                </c:pt>
                <c:pt idx="241">
                  <c:v>722245.37537781696</c:v>
                </c:pt>
                <c:pt idx="242">
                  <c:v>712548.5666124461</c:v>
                </c:pt>
                <c:pt idx="243">
                  <c:v>702749.72288423649</c:v>
                </c:pt>
                <c:pt idx="244">
                  <c:v>692846.75349222473</c:v>
                </c:pt>
                <c:pt idx="245">
                  <c:v>682840.4625317211</c:v>
                </c:pt>
                <c:pt idx="246">
                  <c:v>672734.42294032604</c:v>
                </c:pt>
                <c:pt idx="247">
                  <c:v>662534.81210120069</c:v>
                </c:pt>
                <c:pt idx="248">
                  <c:v>652250.21837800439</c:v>
                </c:pt>
                <c:pt idx="249">
                  <c:v>641891.42745474179</c:v>
                </c:pt>
                <c:pt idx="250">
                  <c:v>631471.19630255306</c:v>
                </c:pt>
                <c:pt idx="251">
                  <c:v>621004.02114036412</c:v>
                </c:pt>
                <c:pt idx="252">
                  <c:v>610505.90407165955</c:v>
                </c:pt>
                <c:pt idx="253">
                  <c:v>599994.12134787871</c:v>
                </c:pt>
                <c:pt idx="254">
                  <c:v>589486.99460034212</c:v>
                </c:pt>
                <c:pt idx="255">
                  <c:v>579003.66503769322</c:v>
                </c:pt>
                <c:pt idx="256">
                  <c:v>568563.86962308688</c:v>
                </c:pt>
                <c:pt idx="257">
                  <c:v>558187.7176751676</c:v>
                </c:pt>
                <c:pt idx="258">
                  <c:v>547895.4661826404</c:v>
                </c:pt>
                <c:pt idx="259">
                  <c:v>537707.29234695807</c:v>
                </c:pt>
                <c:pt idx="260">
                  <c:v>527643.06240491313</c:v>
                </c:pt>
                <c:pt idx="261">
                  <c:v>517722.09654944914</c:v>
                </c:pt>
                <c:pt idx="262">
                  <c:v>507962.93067476247</c:v>
                </c:pt>
                <c:pt idx="263">
                  <c:v>498383.07663764793</c:v>
                </c:pt>
                <c:pt idx="264">
                  <c:v>488998.7836791522</c:v>
                </c:pt>
                <c:pt idx="265">
                  <c:v>479824.80453087488</c:v>
                </c:pt>
                <c:pt idx="266">
                  <c:v>470874.17049410834</c:v>
                </c:pt>
                <c:pt idx="267">
                  <c:v>462157.98039385729</c:v>
                </c:pt>
                <c:pt idx="268">
                  <c:v>453685.20874791907</c:v>
                </c:pt>
                <c:pt idx="269">
                  <c:v>445462.5387328919</c:v>
                </c:pt>
                <c:pt idx="270">
                  <c:v>437494.22555651848</c:v>
                </c:pt>
                <c:pt idx="271">
                  <c:v>429781.99564403604</c:v>
                </c:pt>
                <c:pt idx="272">
                  <c:v>422324.98660343216</c:v>
                </c:pt>
                <c:pt idx="273">
                  <c:v>415119.73224404373</c:v>
                </c:pt>
                <c:pt idx="274">
                  <c:v>408160.19598584599</c:v>
                </c:pt>
                <c:pt idx="275">
                  <c:v>401437.85482420458</c:v>
                </c:pt>
                <c:pt idx="276">
                  <c:v>394941.8346305617</c:v>
                </c:pt>
                <c:pt idx="277">
                  <c:v>388659.09601134463</c:v>
                </c:pt>
                <c:pt idx="278">
                  <c:v>382574.66826813668</c:v>
                </c:pt>
                <c:pt idx="279">
                  <c:v>376671.92726901831</c:v>
                </c:pt>
                <c:pt idx="280">
                  <c:v>370932.9113337957</c:v>
                </c:pt>
                <c:pt idx="281">
                  <c:v>365338.6676436729</c:v>
                </c:pt>
                <c:pt idx="282">
                  <c:v>359869.62030246493</c:v>
                </c:pt>
                <c:pt idx="283">
                  <c:v>354505.95009387564</c:v>
                </c:pt>
                <c:pt idx="284">
                  <c:v>349227.97528141079</c:v>
                </c:pt>
                <c:pt idx="285">
                  <c:v>344016.52255191212</c:v>
                </c:pt>
                <c:pt idx="286">
                  <c:v>338853.27745495574</c:v>
                </c:pt>
                <c:pt idx="287">
                  <c:v>333721.10445325723</c:v>
                </c:pt>
                <c:pt idx="288">
                  <c:v>328604.32795424009</c:v>
                </c:pt>
                <c:pt idx="289">
                  <c:v>323488.96738419356</c:v>
                </c:pt>
                <c:pt idx="290">
                  <c:v>318362.92140282807</c:v>
                </c:pt>
                <c:pt idx="291">
                  <c:v>313216.09861589095</c:v>
                </c:pt>
                <c:pt idx="292">
                  <c:v>308040.49448283418</c:v>
                </c:pt>
                <c:pt idx="293">
                  <c:v>302830.21638042515</c:v>
                </c:pt>
                <c:pt idx="294">
                  <c:v>297581.46081921039</c:v>
                </c:pt>
                <c:pt idx="295">
                  <c:v>292292.44848224812</c:v>
                </c:pt>
                <c:pt idx="296">
                  <c:v>286963.32395908237</c:v>
                </c:pt>
                <c:pt idx="297">
                  <c:v>281596.02771815</c:v>
                </c:pt>
                <c:pt idx="298">
                  <c:v>276194.14798111719</c:v>
                </c:pt>
                <c:pt idx="299">
                  <c:v>270762.75976575166</c:v>
                </c:pt>
                <c:pt idx="300">
                  <c:v>265308.25752775616</c:v>
                </c:pt>
                <c:pt idx="301">
                  <c:v>259838.18667015753</c:v>
                </c:pt>
                <c:pt idx="302">
                  <c:v>254361.07783721824</c:v>
                </c:pt>
                <c:pt idx="303">
                  <c:v>248886.28651064372</c:v>
                </c:pt>
                <c:pt idx="304">
                  <c:v>243423.83911187859</c:v>
                </c:pt>
                <c:pt idx="305">
                  <c:v>237984.28569511819</c:v>
                </c:pt>
                <c:pt idx="306">
                  <c:v>232578.55846809963</c:v>
                </c:pt>
                <c:pt idx="307">
                  <c:v>227217.83484118377</c:v>
                </c:pt>
                <c:pt idx="308">
                  <c:v>221913.40348254808</c:v>
                </c:pt>
                <c:pt idx="309">
                  <c:v>216676.5319201684</c:v>
                </c:pt>
                <c:pt idx="310">
                  <c:v>211518.33452886849</c:v>
                </c:pt>
                <c:pt idx="311">
                  <c:v>206449.64020971928</c:v>
                </c:pt>
                <c:pt idx="312">
                  <c:v>201480.85964320498</c:v>
                </c:pt>
                <c:pt idx="313">
                  <c:v>196621.85261528709</c:v>
                </c:pt>
                <c:pt idx="314">
                  <c:v>191881.79652491529</c:v>
                </c:pt>
                <c:pt idx="315">
                  <c:v>187269.05774251177</c:v>
                </c:pt>
                <c:pt idx="316">
                  <c:v>182791.06797267694</c:v>
                </c:pt>
                <c:pt idx="317">
                  <c:v>178454.20816132065</c:v>
                </c:pt>
                <c:pt idx="318">
                  <c:v>174263.70276468594</c:v>
                </c:pt>
                <c:pt idx="319">
                  <c:v>170223.52735636599</c:v>
                </c:pt>
                <c:pt idx="320">
                  <c:v>166336.33258164005</c:v>
                </c:pt>
                <c:pt idx="321">
                  <c:v>162603.38737076367</c:v>
                </c:pt>
                <c:pt idx="322">
                  <c:v>159024.54409011465</c:v>
                </c:pt>
                <c:pt idx="323">
                  <c:v>155598.2279404639</c:v>
                </c:pt>
                <c:pt idx="324">
                  <c:v>152321.45240685152</c:v>
                </c:pt>
                <c:pt idx="325">
                  <c:v>149189.86193145855</c:v>
                </c:pt>
                <c:pt idx="326">
                  <c:v>146197.80223280363</c:v>
                </c:pt>
                <c:pt idx="327">
                  <c:v>143338.41785236588</c:v>
                </c:pt>
                <c:pt idx="328">
                  <c:v>140603.77560211753</c:v>
                </c:pt>
                <c:pt idx="329">
                  <c:v>137985.01164994008</c:v>
                </c:pt>
                <c:pt idx="330">
                  <c:v>135472.49905781995</c:v>
                </c:pt>
                <c:pt idx="331">
                  <c:v>133056.03172838071</c:v>
                </c:pt>
                <c:pt idx="332">
                  <c:v>130725.01996950438</c:v>
                </c:pt>
                <c:pt idx="333">
                  <c:v>128468.692304501</c:v>
                </c:pt>
                <c:pt idx="334">
                  <c:v>126276.29778187722</c:v>
                </c:pt>
                <c:pt idx="335">
                  <c:v>124137.30291095663</c:v>
                </c:pt>
                <c:pt idx="336">
                  <c:v>122041.57749149148</c:v>
                </c:pt>
                <c:pt idx="337">
                  <c:v>119979.56402496524</c:v>
                </c:pt>
                <c:pt idx="338">
                  <c:v>117942.42608188852</c:v>
                </c:pt>
                <c:pt idx="339">
                  <c:v>115922.17192268236</c:v>
                </c:pt>
                <c:pt idx="340">
                  <c:v>113911.75078023695</c:v>
                </c:pt>
                <c:pt idx="341">
                  <c:v>111905.12044387669</c:v>
                </c:pt>
                <c:pt idx="342">
                  <c:v>109897.28605906798</c:v>
                </c:pt>
                <c:pt idx="343">
                  <c:v>107884.31129062863</c:v>
                </c:pt>
                <c:pt idx="344">
                  <c:v>105863.30410660665</c:v>
                </c:pt>
                <c:pt idx="345">
                  <c:v>103832.3803516324</c:v>
                </c:pt>
                <c:pt idx="346">
                  <c:v>101790.60893497961</c:v>
                </c:pt>
                <c:pt idx="347">
                  <c:v>99737.942824594895</c:v>
                </c:pt>
                <c:pt idx="348">
                  <c:v>97675.140104633421</c:v>
                </c:pt>
                <c:pt idx="349">
                  <c:v>95603.679137937725</c:v>
                </c:pt>
                <c:pt idx="350">
                  <c:v>93525.671418245372</c:v>
                </c:pt>
                <c:pt idx="351">
                  <c:v>91443.775060899177</c:v>
                </c:pt>
                <c:pt idx="352">
                  <c:v>89361.111138691107</c:v>
                </c:pt>
                <c:pt idx="353">
                  <c:v>87281.184297905158</c:v>
                </c:pt>
                <c:pt idx="354">
                  <c:v>85207.808360250638</c:v>
                </c:pt>
                <c:pt idx="355">
                  <c:v>83145.036988319829</c:v>
                </c:pt>
                <c:pt idx="356">
                  <c:v>81097.099006879987</c:v>
                </c:pt>
                <c:pt idx="357">
                  <c:v>79068.337651004578</c:v>
                </c:pt>
                <c:pt idx="358">
                  <c:v>77063.152856372952</c:v>
                </c:pt>
                <c:pt idx="359">
                  <c:v>75085.945701940058</c:v>
                </c:pt>
                <c:pt idx="360">
                  <c:v>73141.064233528145</c:v>
                </c:pt>
                <c:pt idx="361">
                  <c:v>71232.750105118597</c:v>
                </c:pt>
                <c:pt idx="362">
                  <c:v>69365.085737800546</c:v>
                </c:pt>
                <c:pt idx="363">
                  <c:v>67541.941982396311</c:v>
                </c:pt>
                <c:pt idx="364">
                  <c:v>65766.926554206657</c:v>
                </c:pt>
                <c:pt idx="365">
                  <c:v>64043.333767230222</c:v>
                </c:pt>
                <c:pt idx="366">
                  <c:v>62374.096317142059</c:v>
                </c:pt>
                <c:pt idx="367">
                  <c:v>60761.740039061595</c:v>
                </c:pt>
                <c:pt idx="368">
                  <c:v>59208.342693195918</c:v>
                </c:pt>
                <c:pt idx="369">
                  <c:v>57715.497906514785</c:v>
                </c:pt>
                <c:pt idx="370">
                  <c:v>56284.285420472523</c:v>
                </c:pt>
                <c:pt idx="371">
                  <c:v>54915.248762651667</c:v>
                </c:pt>
                <c:pt idx="372">
                  <c:v>53608.381373595701</c:v>
                </c:pt>
                <c:pt idx="373">
                  <c:v>52363.122079159803</c:v>
                </c:pt>
                <c:pt idx="374">
                  <c:v>51178.360604706555</c:v>
                </c:pt>
                <c:pt idx="375">
                  <c:v>50052.453583442853</c:v>
                </c:pt>
                <c:pt idx="376">
                  <c:v>48983.251222516832</c:v>
                </c:pt>
                <c:pt idx="377">
                  <c:v>47968.134465346353</c:v>
                </c:pt>
                <c:pt idx="378">
                  <c:v>47004.062138223097</c:v>
                </c:pt>
                <c:pt idx="379">
                  <c:v>46087.627207681042</c:v>
                </c:pt>
                <c:pt idx="380">
                  <c:v>45215.120919194989</c:v>
                </c:pt>
                <c:pt idx="381">
                  <c:v>44382.603256174501</c:v>
                </c:pt>
                <c:pt idx="382">
                  <c:v>43585.977870580362</c:v>
                </c:pt>
                <c:pt idx="383">
                  <c:v>42821.069412137731</c:v>
                </c:pt>
                <c:pt idx="384">
                  <c:v>42083.701039596264</c:v>
                </c:pt>
                <c:pt idx="385">
                  <c:v>41369.769848987802</c:v>
                </c:pt>
                <c:pt idx="386">
                  <c:v>40675.318009660296</c:v>
                </c:pt>
                <c:pt idx="387">
                  <c:v>39996.597562106799</c:v>
                </c:pt>
                <c:pt idx="388">
                  <c:v>39330.127098139514</c:v>
                </c:pt>
                <c:pt idx="389">
                  <c:v>38672.73890203578</c:v>
                </c:pt>
                <c:pt idx="390">
                  <c:v>38021.615561758961</c:v>
                </c:pt>
                <c:pt idx="391">
                  <c:v>37374.31553667238</c:v>
                </c:pt>
                <c:pt idx="392">
                  <c:v>36728.787662072391</c:v>
                </c:pt>
                <c:pt idx="393">
                  <c:v>36083.375048800925</c:v>
                </c:pt>
                <c:pt idx="394">
                  <c:v>35436.809266104952</c:v>
                </c:pt>
                <c:pt idx="395">
                  <c:v>34788.196049229431</c:v>
                </c:pt>
                <c:pt idx="396">
                  <c:v>34136.994027714405</c:v>
                </c:pt>
                <c:pt idx="397">
                  <c:v>33482.988112349703</c:v>
                </c:pt>
                <c:pt idx="398">
                  <c:v>32826.259204555972</c:v>
                </c:pt>
                <c:pt idx="399">
                  <c:v>32167.151808257044</c:v>
                </c:pt>
                <c:pt idx="400">
                  <c:v>31506.240947191352</c:v>
                </c:pt>
                <c:pt idx="401">
                  <c:v>30844.299543665889</c:v>
                </c:pt>
                <c:pt idx="402">
                  <c:v>30182.267126226161</c:v>
                </c:pt>
                <c:pt idx="403">
                  <c:v>29521.220433192015</c:v>
                </c:pt>
                <c:pt idx="404">
                  <c:v>28862.346194116577</c:v>
                </c:pt>
                <c:pt idx="405">
                  <c:v>28206.916124774216</c:v>
                </c:pt>
                <c:pt idx="406">
                  <c:v>27556.263979252319</c:v>
                </c:pt>
                <c:pt idx="407">
                  <c:v>26911.764373323505</c:v>
                </c:pt>
                <c:pt idx="408">
                  <c:v>26274.813027148197</c:v>
                </c:pt>
                <c:pt idx="409">
                  <c:v>25646.808066711154</c:v>
                </c:pt>
                <c:pt idx="410">
                  <c:v>25029.132061848446</c:v>
                </c:pt>
                <c:pt idx="411">
                  <c:v>24423.134551403065</c:v>
                </c:pt>
                <c:pt idx="412">
                  <c:v>23830.114899627992</c:v>
                </c:pt>
                <c:pt idx="413">
                  <c:v>23251.305430256078</c:v>
                </c:pt>
                <c:pt idx="414">
                  <c:v>22687.854885694142</c:v>
                </c:pt>
                <c:pt idx="415">
                  <c:v>22140.812351210654</c:v>
                </c:pt>
                <c:pt idx="416">
                  <c:v>21611.111862933576</c:v>
                </c:pt>
                <c:pt idx="417">
                  <c:v>21099.557981184531</c:v>
                </c:pt>
                <c:pt idx="418">
                  <c:v>20606.812655835223</c:v>
                </c:pt>
                <c:pt idx="419">
                  <c:v>20133.383737525513</c:v>
                </c:pt>
                <c:pt idx="420">
                  <c:v>19679.615497671566</c:v>
                </c:pt>
                <c:pt idx="421">
                  <c:v>19245.681511287527</c:v>
                </c:pt>
                <c:pt idx="422">
                  <c:v>18831.580229863121</c:v>
                </c:pt>
                <c:pt idx="423">
                  <c:v>18437.133527129306</c:v>
                </c:pt>
                <c:pt idx="424">
                  <c:v>18061.988439048804</c:v>
                </c:pt>
                <c:pt idx="425">
                  <c:v>17705.622241844092</c:v>
                </c:pt>
                <c:pt idx="426">
                  <c:v>17367.350920088662</c:v>
                </c:pt>
                <c:pt idx="427">
                  <c:v>17046.340973470138</c:v>
                </c:pt>
                <c:pt idx="428">
                  <c:v>16741.62439936147</c:v>
                </c:pt>
                <c:pt idx="429">
                  <c:v>16452.11657332</c:v>
                </c:pt>
                <c:pt idx="430">
                  <c:v>16176.63663640917</c:v>
                </c:pt>
                <c:pt idx="431">
                  <c:v>15913.929892752632</c:v>
                </c:pt>
                <c:pt idx="432">
                  <c:v>15662.691629234096</c:v>
                </c:pt>
                <c:pt idx="433">
                  <c:v>15421.591697897515</c:v>
                </c:pt>
                <c:pt idx="434">
                  <c:v>15189.299155962153</c:v>
                </c:pt>
                <c:pt idx="435">
                  <c:v>14964.506242962578</c:v>
                </c:pt>
                <c:pt idx="436">
                  <c:v>14745.950992314889</c:v>
                </c:pt>
                <c:pt idx="437">
                  <c:v>14532.437826577589</c:v>
                </c:pt>
                <c:pt idx="438">
                  <c:v>14322.855570508767</c:v>
                </c:pt>
                <c:pt idx="439">
                  <c:v>14116.192429981507</c:v>
                </c:pt>
                <c:pt idx="440">
                  <c:v>13911.547621816024</c:v>
                </c:pt>
                <c:pt idx="441">
                  <c:v>13708.139491486025</c:v>
                </c:pt>
                <c:pt idx="442">
                  <c:v>13505.310112834806</c:v>
                </c:pt>
                <c:pt idx="443">
                  <c:v>13302.52651603085</c:v>
                </c:pt>
                <c:pt idx="444">
                  <c:v>13099.378826804183</c:v>
                </c:pt>
                <c:pt idx="445">
                  <c:v>12895.575712445119</c:v>
                </c:pt>
                <c:pt idx="446">
                  <c:v>12690.937611036505</c:v>
                </c:pt>
                <c:pt idx="447">
                  <c:v>12485.388265580181</c:v>
                </c:pt>
                <c:pt idx="448">
                  <c:v>12278.945092898915</c:v>
                </c:pt>
                <c:pt idx="449">
                  <c:v>12071.708890561196</c:v>
                </c:pt>
                <c:pt idx="450">
                  <c:v>11863.853328709551</c:v>
                </c:pt>
                <c:pt idx="451">
                  <c:v>11655.614595076009</c:v>
                </c:pt>
                <c:pt idx="452">
                  <c:v>11447.281469624992</c:v>
                </c:pt>
                <c:pt idx="453">
                  <c:v>11239.186009586529</c:v>
                </c:pt>
                <c:pt idx="454">
                  <c:v>11031.694934919984</c:v>
                </c:pt>
                <c:pt idx="455">
                  <c:v>10825.201725735442</c:v>
                </c:pt>
                <c:pt idx="456">
                  <c:v>10620.11938198009</c:v>
                </c:pt>
                <c:pt idx="457">
                  <c:v>10416.873754382983</c:v>
                </c:pt>
                <c:pt idx="458">
                  <c:v>10215.897334446176</c:v>
                </c:pt>
                <c:pt idx="459">
                  <c:v>10017.623388333443</c:v>
                </c:pt>
                <c:pt idx="460">
                  <c:v>9822.480331537321</c:v>
                </c:pt>
                <c:pt idx="461">
                  <c:v>9630.8862641109463</c:v>
                </c:pt>
                <c:pt idx="462">
                  <c:v>9443.24361579582</c:v>
                </c:pt>
                <c:pt idx="463">
                  <c:v>9259.9338826918975</c:v>
                </c:pt>
                <c:pt idx="464">
                  <c:v>9081.3124690336917</c:v>
                </c:pt>
                <c:pt idx="465">
                  <c:v>8907.7036768214439</c:v>
                </c:pt>
                <c:pt idx="466">
                  <c:v>8739.3959109806801</c:v>
                </c:pt>
                <c:pt idx="467">
                  <c:v>8576.6371875157856</c:v>
                </c:pt>
                <c:pt idx="468">
                  <c:v>8419.6310463779155</c:v>
                </c:pt>
                <c:pt idx="469">
                  <c:v>8268.5329793512465</c:v>
                </c:pt>
                <c:pt idx="470">
                  <c:v>8123.4474861681292</c:v>
                </c:pt>
                <c:pt idx="471">
                  <c:v>7984.4258693249731</c:v>
                </c:pt>
                <c:pt idx="472">
                  <c:v>7851.4648697333732</c:v>
                </c:pt>
                <c:pt idx="473">
                  <c:v>7724.506231488268</c:v>
                </c:pt>
                <c:pt idx="474">
                  <c:v>7603.4372648417957</c:v>
                </c:pt>
                <c:pt idx="475">
                  <c:v>7488.0924522700943</c:v>
                </c:pt>
                <c:pt idx="476">
                  <c:v>7378.2561138636702</c:v>
                </c:pt>
                <c:pt idx="477">
                  <c:v>7273.6661159824034</c:v>
                </c:pt>
                <c:pt idx="478">
                  <c:v>7174.0185723097102</c:v>
                </c:pt>
                <c:pt idx="479">
                  <c:v>7078.9734505250144</c:v>
                </c:pt>
                <c:pt idx="480">
                  <c:v>6988.1609624541334</c:v>
                </c:pt>
                <c:pt idx="481">
                  <c:v>6901.1885826101134</c:v>
                </c:pt>
                <c:pt idx="482">
                  <c:v>6817.648511452302</c:v>
                </c:pt>
                <c:pt idx="483">
                  <c:v>6737.1253773878325</c:v>
                </c:pt>
                <c:pt idx="484">
                  <c:v>6659.2039572591484</c:v>
                </c:pt>
                <c:pt idx="485">
                  <c:v>6583.4766902131787</c:v>
                </c:pt>
                <c:pt idx="486">
                  <c:v>6509.5507653563845</c:v>
                </c:pt>
                <c:pt idx="487">
                  <c:v>6437.0545797713439</c:v>
                </c:pt>
                <c:pt idx="488">
                  <c:v>6365.643389896165</c:v>
                </c:pt>
                <c:pt idx="489">
                  <c:v>6295.0040147819382</c:v>
                </c:pt>
                <c:pt idx="490">
                  <c:v>6224.8584924451716</c:v>
                </c:pt>
                <c:pt idx="491">
                  <c:v>6154.9666378845541</c:v>
                </c:pt>
                <c:pt idx="492">
                  <c:v>6085.127500332007</c:v>
                </c:pt>
                <c:pt idx="493">
                  <c:v>6015.179764724583</c:v>
                </c:pt>
                <c:pt idx="494">
                  <c:v>5945.0011850346791</c:v>
                </c:pt>
                <c:pt idx="495">
                  <c:v>5874.5071721472486</c:v>
                </c:pt>
                <c:pt idx="496">
                  <c:v>5803.6486842166405</c:v>
                </c:pt>
                <c:pt idx="497">
                  <c:v>5732.4095815176615</c:v>
                </c:pt>
                <c:pt idx="498">
                  <c:v>5660.8036103633958</c:v>
                </c:pt>
                <c:pt idx="499">
                  <c:v>5588.8711723586684</c:v>
                </c:pt>
                <c:pt idx="500">
                  <c:v>5516.6760176945309</c:v>
                </c:pt>
                <c:pt idx="501">
                  <c:v>5444.3019767099595</c:v>
                </c:pt>
                <c:pt idx="502">
                  <c:v>5371.849815359129</c:v>
                </c:pt>
                <c:pt idx="503">
                  <c:v>5299.4342704662731</c:v>
                </c:pt>
                <c:pt idx="504">
                  <c:v>5227.1812924707856</c:v>
                </c:pt>
                <c:pt idx="505">
                  <c:v>5155.2254990292022</c:v>
                </c:pt>
                <c:pt idx="506">
                  <c:v>5083.7078239358725</c:v>
                </c:pt>
                <c:pt idx="507">
                  <c:v>5012.773333166554</c:v>
                </c:pt>
                <c:pt idx="508">
                  <c:v>4942.5691735014689</c:v>
                </c:pt>
                <c:pt idx="509">
                  <c:v>4873.2426185703835</c:v>
                </c:pt>
                <c:pt idx="510">
                  <c:v>4804.9391812477361</c:v>
                </c:pt>
                <c:pt idx="511">
                  <c:v>4737.8007688287726</c:v>
                </c:pt>
                <c:pt idx="512">
                  <c:v>4671.9638670079676</c:v>
                </c:pt>
                <c:pt idx="513">
                  <c:v>4607.5577491415579</c:v>
                </c:pt>
                <c:pt idx="514">
                  <c:v>4544.7027176055371</c:v>
                </c:pt>
                <c:pt idx="515">
                  <c:v>4483.5083935163148</c:v>
                </c:pt>
                <c:pt idx="516">
                  <c:v>4424.0720791691838</c:v>
                </c:pt>
                <c:pt idx="517">
                  <c:v>4366.4772239803524</c:v>
                </c:pt>
                <c:pt idx="518">
                  <c:v>4310.7920293448378</c:v>
                </c:pt>
                <c:pt idx="519">
                  <c:v>4257.0682305846403</c:v>
                </c:pt>
                <c:pt idx="520">
                  <c:v>4205.3400950376827</c:v>
                </c:pt>
                <c:pt idx="521">
                  <c:v>4155.623674321565</c:v>
                </c:pt>
                <c:pt idx="522">
                  <c:v>4107.91634589777</c:v>
                </c:pt>
                <c:pt idx="523">
                  <c:v>4062.1966742789182</c:v>
                </c:pt>
                <c:pt idx="524">
                  <c:v>4018.4246156159625</c:v>
                </c:pt>
                <c:pt idx="525">
                  <c:v>3976.5420810825503</c:v>
                </c:pt>
                <c:pt idx="526">
                  <c:v>3936.473864627128</c:v>
                </c:pt>
                <c:pt idx="527">
                  <c:v>3898.1289295699162</c:v>
                </c:pt>
                <c:pt idx="528">
                  <c:v>3861.4020365637757</c:v>
                </c:pt>
                <c:pt idx="529">
                  <c:v>3826.175683098098</c:v>
                </c:pt>
                <c:pt idx="530">
                  <c:v>3792.3223125741242</c:v>
                </c:pt>
                <c:pt idx="531">
                  <c:v>3759.706739655815</c:v>
                </c:pt>
                <c:pt idx="532">
                  <c:v>3728.1887287715108</c:v>
                </c:pt>
                <c:pt idx="533">
                  <c:v>3697.6256549669574</c:v>
                </c:pt>
                <c:pt idx="534">
                  <c:v>3667.8751713874817</c:v>
                </c:pt>
                <c:pt idx="535">
                  <c:v>3638.7978059801421</c:v>
                </c:pt>
                <c:pt idx="536">
                  <c:v>3610.2594118727875</c:v>
                </c:pt>
                <c:pt idx="537">
                  <c:v>3582.1334014114045</c:v>
                </c:pt>
                <c:pt idx="538">
                  <c:v>3554.3027028798215</c:v>
                </c:pt>
                <c:pt idx="539">
                  <c:v>3526.6613910869837</c:v>
                </c:pt>
                <c:pt idx="540">
                  <c:v>3499.1159576346199</c:v>
                </c:pt>
                <c:pt idx="541">
                  <c:v>3471.586202901934</c:v>
                </c:pt>
                <c:pt idx="542">
                  <c:v>3444.005748573994</c:v>
                </c:pt>
                <c:pt idx="543">
                  <c:v>3416.3221857881249</c:v>
                </c:pt>
                <c:pt idx="544">
                  <c:v>3388.4968885866938</c:v>
                </c:pt>
                <c:pt idx="545">
                  <c:v>3360.5045343735223</c:v>
                </c:pt>
                <c:pt idx="546">
                  <c:v>3332.332381718224</c:v>
                </c:pt>
                <c:pt idx="547">
                  <c:v>3303.9793606744697</c:v>
                </c:pt>
                <c:pt idx="548">
                  <c:v>3275.4550316517575</c:v>
                </c:pt>
                <c:pt idx="549">
                  <c:v>3246.7784660346351</c:v>
                </c:pt>
                <c:pt idx="550">
                  <c:v>3217.9770957300266</c:v>
                </c:pt>
                <c:pt idx="551">
                  <c:v>3189.0855704487635</c:v>
                </c:pt>
                <c:pt idx="552">
                  <c:v>3160.1446517566706</c:v>
                </c:pt>
                <c:pt idx="553">
                  <c:v>3131.200162774664</c:v>
                </c:pt>
                <c:pt idx="554">
                  <c:v>3102.3020028099645</c:v>
                </c:pt>
                <c:pt idx="555">
                  <c:v>3073.5032279409352</c:v>
                </c:pt>
                <c:pt idx="556">
                  <c:v>3044.8591922020864</c:v>
                </c:pt>
                <c:pt idx="557">
                  <c:v>3016.4267398038273</c:v>
                </c:pt>
                <c:pt idx="558">
                  <c:v>2988.2634367948717</c:v>
                </c:pt>
                <c:pt idx="559">
                  <c:v>2960.4268305348369</c:v>
                </c:pt>
                <c:pt idx="560">
                  <c:v>2932.9737269334873</c:v>
                </c:pt>
                <c:pt idx="561">
                  <c:v>2905.9594781881892</c:v>
                </c:pt>
                <c:pt idx="562">
                  <c:v>2879.4372772513648</c:v>
                </c:pt>
                <c:pt idx="563">
                  <c:v>2853.457459061945</c:v>
                </c:pt>
                <c:pt idx="564">
                  <c:v>2828.0668123281903</c:v>
                </c:pt>
                <c:pt idx="565">
                  <c:v>2803.307909090865</c:v>
                </c:pt>
                <c:pt idx="566">
                  <c:v>2779.2184622464738</c:v>
                </c:pt>
                <c:pt idx="567">
                  <c:v>2755.8307235605839</c:v>
                </c:pt>
                <c:pt idx="568">
                  <c:v>2733.1709363898813</c:v>
                </c:pt>
                <c:pt idx="569">
                  <c:v>2711.2588583267006</c:v>
                </c:pt>
                <c:pt idx="570">
                  <c:v>2690.1073692633795</c:v>
                </c:pt>
                <c:pt idx="571">
                  <c:v>2669.7221799339895</c:v>
                </c:pt>
                <c:pt idx="572">
                  <c:v>2650.1016548204852</c:v>
                </c:pt>
                <c:pt idx="573">
                  <c:v>2631.2367614097893</c:v>
                </c:pt>
                <c:pt idx="574">
                  <c:v>2613.1111551745175</c:v>
                </c:pt>
                <c:pt idx="575">
                  <c:v>2595.7014063628835</c:v>
                </c:pt>
                <c:pt idx="576">
                  <c:v>2578.9773707952195</c:v>
                </c:pt>
                <c:pt idx="577">
                  <c:v>2562.9027024848929</c:v>
                </c:pt>
                <c:pt idx="578">
                  <c:v>2547.4355011805969</c:v>
                </c:pt>
                <c:pt idx="579">
                  <c:v>2532.529083055148</c:v>
                </c:pt>
                <c:pt idx="580">
                  <c:v>2518.1328579681085</c:v>
                </c:pt>
                <c:pt idx="581">
                  <c:v>2504.1932922570786</c:v>
                </c:pt>
                <c:pt idx="582">
                  <c:v>2490.6549321291914</c:v>
                </c:pt>
                <c:pt idx="583">
                  <c:v>2477.461459689941</c:v>
                </c:pt>
                <c:pt idx="584">
                  <c:v>2464.5567516968445</c:v>
                </c:pt>
                <c:pt idx="585">
                  <c:v>2451.8859104513417</c:v>
                </c:pt>
                <c:pt idx="586">
                  <c:v>2439.3962369690521</c:v>
                </c:pt>
                <c:pt idx="587">
                  <c:v>2427.0381187374833</c:v>
                </c:pt>
                <c:pt idx="588">
                  <c:v>2414.7658079265143</c:v>
                </c:pt>
                <c:pt idx="589">
                  <c:v>2402.538070702708</c:v>
                </c:pt>
                <c:pt idx="590">
                  <c:v>2390.3186940569094</c:v>
                </c:pt>
                <c:pt idx="591">
                  <c:v>2378.0768429424556</c:v>
                </c:pt>
                <c:pt idx="592">
                  <c:v>2365.7872671327868</c:v>
                </c:pt>
                <c:pt idx="593">
                  <c:v>2353.4303636052205</c:v>
                </c:pt>
                <c:pt idx="594">
                  <c:v>2340.9921060122024</c:v>
                </c:pt>
                <c:pt idx="595">
                  <c:v>2328.4638575295417</c:v>
                </c:pt>
                <c:pt idx="596">
                  <c:v>2315.8420867751147</c:v>
                </c:pt>
                <c:pt idx="597">
                  <c:v>2303.1280083889196</c:v>
                </c:pt>
                <c:pt idx="598">
                  <c:v>2290.3271702082884</c:v>
                </c:pt>
                <c:pt idx="599">
                  <c:v>2277.4490078515428</c:v>
                </c:pt>
                <c:pt idx="600">
                  <c:v>2264.5063851574405</c:v>
                </c:pt>
                <c:pt idx="601">
                  <c:v>2251.5151356352972</c:v>
                </c:pt>
                <c:pt idx="602">
                  <c:v>2238.4936162428453</c:v>
                </c:pt>
                <c:pt idx="603">
                  <c:v>2225.4622808252293</c:v>
                </c:pt>
                <c:pt idx="604">
                  <c:v>2212.4432767917647</c:v>
                </c:pt>
                <c:pt idx="605">
                  <c:v>2199.4600653850007</c:v>
                </c:pt>
                <c:pt idx="606">
                  <c:v>2186.5370634249198</c:v>
                </c:pt>
                <c:pt idx="607">
                  <c:v>2173.6993028004122</c:v>
                </c:pt>
                <c:pt idx="608">
                  <c:v>2160.9721032388134</c:v>
                </c:pt>
                <c:pt idx="609">
                  <c:v>2148.3807539333425</c:v>
                </c:pt>
                <c:pt idx="610">
                  <c:v>2135.9502003061698</c:v>
                </c:pt>
                <c:pt idx="611">
                  <c:v>2123.7047333555074</c:v>
                </c:pt>
                <c:pt idx="612">
                  <c:v>2111.667680495214</c:v>
                </c:pt>
                <c:pt idx="613">
                  <c:v>2099.8610983756994</c:v>
                </c:pt>
                <c:pt idx="614">
                  <c:v>2088.305469734561</c:v>
                </c:pt>
                <c:pt idx="615">
                  <c:v>2077.0194077574502</c:v>
                </c:pt>
                <c:pt idx="616">
                  <c:v>2066.0193726600032</c:v>
                </c:pt>
                <c:pt idx="617">
                  <c:v>2055.3194061831337</c:v>
                </c:pt>
                <c:pt idx="618">
                  <c:v>2044.9308903981967</c:v>
                </c:pt>
                <c:pt idx="619">
                  <c:v>2034.8623376288531</c:v>
                </c:pt>
                <c:pt idx="620">
                  <c:v>2025.1192184016054</c:v>
                </c:pt>
                <c:pt idx="621">
                  <c:v>2015.7038341286739</c:v>
                </c:pt>
                <c:pt idx="622">
                  <c:v>2006.6152406992824</c:v>
                </c:pt>
                <c:pt idx="623">
                  <c:v>1997.8492283069486</c:v>
                </c:pt>
                <c:pt idx="624">
                  <c:v>1989.3983616769617</c:v>
                </c:pt>
                <c:pt idx="625">
                  <c:v>1981.2520833968802</c:v>
                </c:pt>
                <c:pt idx="626">
                  <c:v>1973.3968813250599</c:v>
                </c:pt>
                <c:pt idx="627">
                  <c:v>1965.8165191062365</c:v>
                </c:pt>
                <c:pt idx="628">
                  <c:v>1958.4923267256254</c:v>
                </c:pt>
                <c:pt idx="629">
                  <c:v>1951.403545868101</c:v>
                </c:pt>
                <c:pt idx="630">
                  <c:v>1944.5277227166468</c:v>
                </c:pt>
                <c:pt idx="631">
                  <c:v>1937.8411388359784</c:v>
                </c:pt>
                <c:pt idx="632">
                  <c:v>1931.3192690599719</c:v>
                </c:pt>
                <c:pt idx="633">
                  <c:v>1924.937253950774</c:v>
                </c:pt>
                <c:pt idx="634">
                  <c:v>1918.6703735276458</c:v>
                </c:pt>
                <c:pt idx="635">
                  <c:v>1912.494508659634</c:v>
                </c:pt>
                <c:pt idx="636">
                  <c:v>1906.3865768334713</c:v>
                </c:pt>
                <c:pt idx="637">
                  <c:v>1900.3249299652757</c:v>
                </c:pt>
                <c:pt idx="638">
                  <c:v>1894.2897034971652</c:v>
                </c:pt>
                <c:pt idx="639">
                  <c:v>1888.2631081379461</c:v>
                </c:pt>
                <c:pt idx="640">
                  <c:v>1882.2296581566329</c:v>
                </c:pt>
                <c:pt idx="641">
                  <c:v>1876.1763329664968</c:v>
                </c:pt>
                <c:pt idx="642">
                  <c:v>1870.0926716656363</c:v>
                </c:pt>
                <c:pt idx="643">
                  <c:v>1863.9708030338402</c:v>
                </c:pt>
                <c:pt idx="644">
                  <c:v>1857.8054160341869</c:v>
                </c:pt>
                <c:pt idx="645">
                  <c:v>1851.5936779616293</c:v>
                </c:pt>
                <c:pt idx="646">
                  <c:v>1845.3351088877955</c:v>
                </c:pt>
                <c:pt idx="647">
                  <c:v>1839.031421890779</c:v>
                </c:pt>
                <c:pt idx="648">
                  <c:v>1832.6863387097878</c:v>
                </c:pt>
                <c:pt idx="649">
                  <c:v>1826.3053899679678</c:v>
                </c:pt>
                <c:pt idx="650">
                  <c:v>1819.8957080595987</c:v>
                </c:pt>
                <c:pt idx="651">
                  <c:v>1813.4658193420873</c:v>
                </c:pt>
                <c:pt idx="652">
                  <c:v>1807.025440578295</c:v>
                </c:pt>
                <c:pt idx="653">
                  <c:v>1800.5852828184045</c:v>
                </c:pt>
                <c:pt idx="654">
                  <c:v>1794.1568642584757</c:v>
                </c:pt>
                <c:pt idx="655">
                  <c:v>1787.752332201964</c:v>
                </c:pt>
                <c:pt idx="656">
                  <c:v>1781.3842931766585</c:v>
                </c:pt>
                <c:pt idx="657">
                  <c:v>1775.0656495719281</c:v>
                </c:pt>
                <c:pt idx="658">
                  <c:v>1768.8094408634884</c:v>
                </c:pt>
                <c:pt idx="659">
                  <c:v>1762.6286875498192</c:v>
                </c:pt>
                <c:pt idx="660">
                  <c:v>1756.5362362726714</c:v>
                </c:pt>
                <c:pt idx="661">
                  <c:v>1750.5446051549532</c:v>
                </c:pt>
                <c:pt idx="662">
                  <c:v>1744.665829080461</c:v>
                </c:pt>
                <c:pt idx="663">
                  <c:v>1738.9113053850974</c:v>
                </c:pt>
                <c:pt idx="664">
                  <c:v>1733.2916411645124</c:v>
                </c:pt>
                <c:pt idx="665">
                  <c:v>1727.8165040793147</c:v>
                </c:pt>
                <c:pt idx="666">
                  <c:v>1722.4944791212927</c:v>
                </c:pt>
                <c:pt idx="667">
                  <c:v>1717.3329342694497</c:v>
                </c:pt>
                <c:pt idx="668">
                  <c:v>1712.3378982981901</c:v>
                </c:pt>
                <c:pt idx="669">
                  <c:v>1707.5139541920801</c:v>
                </c:pt>
                <c:pt idx="670">
                  <c:v>1702.8641516649875</c:v>
                </c:pt>
                <c:pt idx="671">
                  <c:v>1698.3899421705007</c:v>
                </c:pt>
                <c:pt idx="672">
                  <c:v>1694.0911395210976</c:v>
                </c:pt>
                <c:pt idx="673">
                  <c:v>1689.9659088039093</c:v>
                </c:pt>
                <c:pt idx="674">
                  <c:v>1686.0107856934287</c:v>
                </c:pt>
                <c:pt idx="675">
                  <c:v>1682.2207275243422</c:v>
                </c:pt>
                <c:pt idx="676">
                  <c:v>1678.5891966164254</c:v>
                </c:pt>
                <c:pt idx="677">
                  <c:v>1675.1082753624232</c:v>
                </c:pt>
                <c:pt idx="678">
                  <c:v>1671.7688115325288</c:v>
                </c:pt>
                <c:pt idx="679">
                  <c:v>1668.5605911579805</c:v>
                </c:pt>
                <c:pt idx="680">
                  <c:v>1665.472535281813</c:v>
                </c:pt>
                <c:pt idx="681">
                  <c:v>1662.4929158631323</c:v>
                </c:pt>
                <c:pt idx="682">
                  <c:v>1659.6095852515689</c:v>
                </c:pt>
                <c:pt idx="683">
                  <c:v>1656.8102129689105</c:v>
                </c:pt>
                <c:pt idx="684">
                  <c:v>1654.0825230981684</c:v>
                </c:pt>
                <c:pt idx="685">
                  <c:v>1651.414525429193</c:v>
                </c:pt>
                <c:pt idx="686">
                  <c:v>1648.7947336724874</c:v>
                </c:pt>
                <c:pt idx="687">
                  <c:v>1646.2123645383413</c:v>
                </c:pt>
                <c:pt idx="688">
                  <c:v>1643.6575122745091</c:v>
                </c:pt>
                <c:pt idx="689">
                  <c:v>1641.1212943270691</c:v>
                </c:pt>
                <c:pt idx="690">
                  <c:v>1638.5959650782902</c:v>
                </c:pt>
                <c:pt idx="691">
                  <c:v>1636.0749960454714</c:v>
                </c:pt>
                <c:pt idx="692">
                  <c:v>1633.5531224048982</c:v>
                </c:pt>
                <c:pt idx="693">
                  <c:v>1631.0263571374267</c:v>
                </c:pt>
                <c:pt idx="694">
                  <c:v>1628.4919753804545</c:v>
                </c:pt>
                <c:pt idx="695">
                  <c:v>1625.948472629454</c:v>
                </c:pt>
                <c:pt idx="696">
                  <c:v>1623.3955011941148</c:v>
                </c:pt>
                <c:pt idx="697">
                  <c:v>1620.8337897386041</c:v>
                </c:pt>
                <c:pt idx="698">
                  <c:v>1618.2650508118491</c:v>
                </c:pt>
                <c:pt idx="699">
                  <c:v>1615.6918810223935</c:v>
                </c:pt>
                <c:pt idx="700">
                  <c:v>1613.1176579821392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C8-4D35-9FFC-DB88DF942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70848"/>
        <c:axId val="297871240"/>
      </c:scatterChart>
      <c:valAx>
        <c:axId val="2978708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1240"/>
        <c:crosses val="autoZero"/>
        <c:crossBetween val="midCat"/>
        <c:majorUnit val="1000"/>
      </c:valAx>
      <c:valAx>
        <c:axId val="297871240"/>
        <c:scaling>
          <c:logBase val="10"/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Relaxation Modulus (psi)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0848"/>
        <c:crossesAt val="1.0000000000000006E-10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8974482356372124"/>
          <c:y val="0.16851459973753283"/>
          <c:w val="0.21303295421405657"/>
          <c:h val="0.213578576115485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Dynamic Modulus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Dynamic_Modulus_Calc!$O$49</c:f>
              <c:strCache>
                <c:ptCount val="1"/>
                <c:pt idx="0">
                  <c:v>Sigmoidal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Dynamic_Modulus_Calc!$O$52:$O$752</c:f>
              <c:numCache>
                <c:formatCode>0.00E+00</c:formatCode>
                <c:ptCount val="701"/>
                <c:pt idx="0">
                  <c:v>1883.3727791864171</c:v>
                </c:pt>
                <c:pt idx="1">
                  <c:v>1890.3834383243275</c:v>
                </c:pt>
                <c:pt idx="2">
                  <c:v>1897.4917738278666</c:v>
                </c:pt>
                <c:pt idx="3">
                  <c:v>1904.699344120907</c:v>
                </c:pt>
                <c:pt idx="4">
                  <c:v>1912.0077366007481</c:v>
                </c:pt>
                <c:pt idx="5">
                  <c:v>1919.4185682571594</c:v>
                </c:pt>
                <c:pt idx="6">
                  <c:v>1926.9334863061802</c:v>
                </c:pt>
                <c:pt idx="7">
                  <c:v>1934.554168839041</c:v>
                </c:pt>
                <c:pt idx="8">
                  <c:v>1942.2823254865609</c:v>
                </c:pt>
                <c:pt idx="9">
                  <c:v>1950.1196980994962</c:v>
                </c:pt>
                <c:pt idx="10">
                  <c:v>1958.0680614451451</c:v>
                </c:pt>
                <c:pt idx="11">
                  <c:v>1966.1292239207571</c:v>
                </c:pt>
                <c:pt idx="12">
                  <c:v>1974.3050282840541</c:v>
                </c:pt>
                <c:pt idx="13">
                  <c:v>1982.5973524014128</c:v>
                </c:pt>
                <c:pt idx="14">
                  <c:v>1991.0081100140999</c:v>
                </c:pt>
                <c:pt idx="15">
                  <c:v>1999.539251523061</c:v>
                </c:pt>
                <c:pt idx="16">
                  <c:v>2008.1927647927339</c:v>
                </c:pt>
                <c:pt idx="17">
                  <c:v>2016.9706759743917</c:v>
                </c:pt>
                <c:pt idx="18">
                  <c:v>2025.8750503495187</c:v>
                </c:pt>
                <c:pt idx="19">
                  <c:v>2034.9079931937372</c:v>
                </c:pt>
                <c:pt idx="20">
                  <c:v>2044.0716506618558</c:v>
                </c:pt>
                <c:pt idx="21">
                  <c:v>2053.368210694528</c:v>
                </c:pt>
                <c:pt idx="22">
                  <c:v>2062.7999039471752</c:v>
                </c:pt>
                <c:pt idx="23">
                  <c:v>2072.369004741668</c:v>
                </c:pt>
                <c:pt idx="24">
                  <c:v>2082.0778320414483</c:v>
                </c:pt>
                <c:pt idx="25">
                  <c:v>2091.9287504506337</c:v>
                </c:pt>
                <c:pt idx="26">
                  <c:v>2101.9241712378089</c:v>
                </c:pt>
                <c:pt idx="27">
                  <c:v>2112.0665533850852</c:v>
                </c:pt>
                <c:pt idx="28">
                  <c:v>2122.3584046631677</c:v>
                </c:pt>
                <c:pt idx="29">
                  <c:v>2132.8022827330387</c:v>
                </c:pt>
                <c:pt idx="30">
                  <c:v>2143.4007962750507</c:v>
                </c:pt>
                <c:pt idx="31">
                  <c:v>2154.1566061460776</c:v>
                </c:pt>
                <c:pt idx="32">
                  <c:v>2165.0724265655072</c:v>
                </c:pt>
                <c:pt idx="33">
                  <c:v>2176.1510263308483</c:v>
                </c:pt>
                <c:pt idx="34">
                  <c:v>2187.3952300637138</c:v>
                </c:pt>
                <c:pt idx="35">
                  <c:v>2198.8079194870206</c:v>
                </c:pt>
                <c:pt idx="36">
                  <c:v>2210.3920347341905</c:v>
                </c:pt>
                <c:pt idx="37">
                  <c:v>2222.1505756912607</c:v>
                </c:pt>
                <c:pt idx="38">
                  <c:v>2234.0866033727525</c:v>
                </c:pt>
                <c:pt idx="39">
                  <c:v>2246.2032413322013</c:v>
                </c:pt>
                <c:pt idx="40">
                  <c:v>2258.5036771082823</c:v>
                </c:pt>
                <c:pt idx="41">
                  <c:v>2270.9911637074706</c:v>
                </c:pt>
                <c:pt idx="42">
                  <c:v>2283.6690211242512</c:v>
                </c:pt>
                <c:pt idx="43">
                  <c:v>2296.54063789984</c:v>
                </c:pt>
                <c:pt idx="44">
                  <c:v>2309.6094727204832</c:v>
                </c:pt>
                <c:pt idx="45">
                  <c:v>2322.879056056368</c:v>
                </c:pt>
                <c:pt idx="46">
                  <c:v>2336.3529918422864</c:v>
                </c:pt>
                <c:pt idx="47">
                  <c:v>2350.0349592011175</c:v>
                </c:pt>
                <c:pt idx="48">
                  <c:v>2363.9287142113249</c:v>
                </c:pt>
                <c:pt idx="49">
                  <c:v>2378.038091719618</c:v>
                </c:pt>
                <c:pt idx="50">
                  <c:v>2392.3670072000459</c:v>
                </c:pt>
                <c:pt idx="51">
                  <c:v>2406.9194586607136</c:v>
                </c:pt>
                <c:pt idx="52">
                  <c:v>2421.6995285994803</c:v>
                </c:pt>
                <c:pt idx="53">
                  <c:v>2436.7113860098689</c:v>
                </c:pt>
                <c:pt idx="54">
                  <c:v>2451.9592884386598</c:v>
                </c:pt>
                <c:pt idx="55">
                  <c:v>2467.4475840964478</c:v>
                </c:pt>
                <c:pt idx="56">
                  <c:v>2483.1807140227088</c:v>
                </c:pt>
                <c:pt idx="57">
                  <c:v>2499.1632143067395</c:v>
                </c:pt>
                <c:pt idx="58">
                  <c:v>2515.3997183660954</c:v>
                </c:pt>
                <c:pt idx="59">
                  <c:v>2531.8949592839881</c:v>
                </c:pt>
                <c:pt idx="60">
                  <c:v>2548.6537722073213</c:v>
                </c:pt>
                <c:pt idx="61">
                  <c:v>2565.6810968069367</c:v>
                </c:pt>
                <c:pt idx="62">
                  <c:v>2582.981979801837</c:v>
                </c:pt>
                <c:pt idx="63">
                  <c:v>2600.5615775490478</c:v>
                </c:pt>
                <c:pt idx="64">
                  <c:v>2618.4251587009362</c:v>
                </c:pt>
                <c:pt idx="65">
                  <c:v>2636.5781069318459</c:v>
                </c:pt>
                <c:pt idx="66">
                  <c:v>2655.0259237358691</c:v>
                </c:pt>
                <c:pt idx="67">
                  <c:v>2673.7742312977439</c:v>
                </c:pt>
                <c:pt idx="68">
                  <c:v>2692.8287754388266</c:v>
                </c:pt>
                <c:pt idx="69">
                  <c:v>2712.195428640222</c:v>
                </c:pt>
                <c:pt idx="70">
                  <c:v>2731.8801931451189</c:v>
                </c:pt>
                <c:pt idx="71">
                  <c:v>2751.8892041425174</c:v>
                </c:pt>
                <c:pt idx="72">
                  <c:v>2772.2287330345666</c:v>
                </c:pt>
                <c:pt idx="73">
                  <c:v>2792.9051907897556</c:v>
                </c:pt>
                <c:pt idx="74">
                  <c:v>2813.9251313843274</c:v>
                </c:pt>
                <c:pt idx="75">
                  <c:v>2835.2952553342811</c:v>
                </c:pt>
                <c:pt idx="76">
                  <c:v>2857.022413320452</c:v>
                </c:pt>
                <c:pt idx="77">
                  <c:v>2879.1136099091909</c:v>
                </c:pt>
                <c:pt idx="78">
                  <c:v>2901.5760073712449</c:v>
                </c:pt>
                <c:pt idx="79">
                  <c:v>2924.4169296014702</c:v>
                </c:pt>
                <c:pt idx="80">
                  <c:v>2947.6438661421976</c:v>
                </c:pt>
                <c:pt idx="81">
                  <c:v>2971.2644763129829</c:v>
                </c:pt>
                <c:pt idx="82">
                  <c:v>2995.2865934496635</c:v>
                </c:pt>
                <c:pt idx="83">
                  <c:v>3019.7182292557268</c:v>
                </c:pt>
                <c:pt idx="84">
                  <c:v>3044.56757826892</c:v>
                </c:pt>
                <c:pt idx="85">
                  <c:v>3069.8430224464082</c:v>
                </c:pt>
                <c:pt idx="86">
                  <c:v>3095.5531358714857</c:v>
                </c:pt>
                <c:pt idx="87">
                  <c:v>3121.7066895853018</c:v>
                </c:pt>
                <c:pt idx="88">
                  <c:v>3148.3126565468906</c:v>
                </c:pt>
                <c:pt idx="89">
                  <c:v>3175.3802167250014</c:v>
                </c:pt>
                <c:pt idx="90">
                  <c:v>3202.918762325306</c:v>
                </c:pt>
                <c:pt idx="91">
                  <c:v>3230.9379031565782</c:v>
                </c:pt>
                <c:pt idx="92">
                  <c:v>3259.44747213972</c:v>
                </c:pt>
                <c:pt idx="93">
                  <c:v>3288.4575309633101</c:v>
                </c:pt>
                <c:pt idx="94">
                  <c:v>3317.9783758898034</c:v>
                </c:pt>
                <c:pt idx="95">
                  <c:v>3348.0205437162567</c:v>
                </c:pt>
                <c:pt idx="96">
                  <c:v>3378.5948178939057</c:v>
                </c:pt>
                <c:pt idx="97">
                  <c:v>3409.7122348107073</c:v>
                </c:pt>
                <c:pt idx="98">
                  <c:v>3441.384090241314</c:v>
                </c:pt>
                <c:pt idx="99">
                  <c:v>3473.62194596893</c:v>
                </c:pt>
                <c:pt idx="100">
                  <c:v>3506.4376365836233</c:v>
                </c:pt>
                <c:pt idx="101">
                  <c:v>3539.8432764618569</c:v>
                </c:pt>
                <c:pt idx="102">
                  <c:v>3573.8512669320025</c:v>
                </c:pt>
                <c:pt idx="103">
                  <c:v>3608.4743036308791</c:v>
                </c:pt>
                <c:pt idx="104">
                  <c:v>3643.7253840562635</c:v>
                </c:pt>
                <c:pt idx="105">
                  <c:v>3679.6178153207475</c:v>
                </c:pt>
                <c:pt idx="106">
                  <c:v>3716.165222112083</c:v>
                </c:pt>
                <c:pt idx="107">
                  <c:v>3753.3815548655853</c:v>
                </c:pt>
                <c:pt idx="108">
                  <c:v>3791.2810981542789</c:v>
                </c:pt>
                <c:pt idx="109">
                  <c:v>3829.8784793022196</c:v>
                </c:pt>
                <c:pt idx="110">
                  <c:v>3869.1886772272223</c:v>
                </c:pt>
                <c:pt idx="111">
                  <c:v>3909.2270315187457</c:v>
                </c:pt>
                <c:pt idx="112">
                  <c:v>3950.0092517571979</c:v>
                </c:pt>
                <c:pt idx="113">
                  <c:v>3991.5514270809854</c:v>
                </c:pt>
                <c:pt idx="114">
                  <c:v>4033.8700360076277</c:v>
                </c:pt>
                <c:pt idx="115">
                  <c:v>4076.9819565157159</c:v>
                </c:pt>
                <c:pt idx="116">
                  <c:v>4120.9044763943075</c:v>
                </c:pt>
                <c:pt idx="117">
                  <c:v>4165.6553038668217</c:v>
                </c:pt>
                <c:pt idx="118">
                  <c:v>4211.2525784963063</c:v>
                </c:pt>
                <c:pt idx="119">
                  <c:v>4257.7148823795478</c:v>
                </c:pt>
                <c:pt idx="120">
                  <c:v>4305.0612516371802</c:v>
                </c:pt>
                <c:pt idx="121">
                  <c:v>4353.3111882075691</c:v>
                </c:pt>
                <c:pt idx="122">
                  <c:v>4402.4846719519683</c:v>
                </c:pt>
                <c:pt idx="123">
                  <c:v>4452.6021730790726</c:v>
                </c:pt>
                <c:pt idx="124">
                  <c:v>4503.6846648968913</c:v>
                </c:pt>
                <c:pt idx="125">
                  <c:v>4555.7536369001782</c:v>
                </c:pt>
                <c:pt idx="126">
                  <c:v>4608.8311082019627</c:v>
                </c:pt>
                <c:pt idx="127">
                  <c:v>4662.9396413175909</c:v>
                </c:pt>
                <c:pt idx="128">
                  <c:v>4718.1023563102453</c:v>
                </c:pt>
                <c:pt idx="129">
                  <c:v>4774.342945306722</c:v>
                </c:pt>
                <c:pt idx="130">
                  <c:v>4831.6856873927336</c:v>
                </c:pt>
                <c:pt idx="131">
                  <c:v>4890.155463897001</c:v>
                </c:pt>
                <c:pt idx="132">
                  <c:v>4949.7777740735837</c:v>
                </c:pt>
                <c:pt idx="133">
                  <c:v>5010.5787511923336</c:v>
                </c:pt>
                <c:pt idx="134">
                  <c:v>5072.5851790470178</c:v>
                </c:pt>
                <c:pt idx="135">
                  <c:v>5135.8245088915937</c:v>
                </c:pt>
                <c:pt idx="136">
                  <c:v>5200.3248768144776</c:v>
                </c:pt>
                <c:pt idx="137">
                  <c:v>5266.11512156154</c:v>
                </c:pt>
                <c:pt idx="138">
                  <c:v>5333.2248028183267</c:v>
                </c:pt>
                <c:pt idx="139">
                  <c:v>5401.6842199623597</c:v>
                </c:pt>
                <c:pt idx="140">
                  <c:v>5471.5244312964332</c:v>
                </c:pt>
                <c:pt idx="141">
                  <c:v>5542.7772737743153</c:v>
                </c:pt>
                <c:pt idx="142">
                  <c:v>5615.4753832299139</c:v>
                </c:pt>
                <c:pt idx="143">
                  <c:v>5689.6522151217378</c:v>
                </c:pt>
                <c:pt idx="144">
                  <c:v>5765.3420658043124</c:v>
                </c:pt>
                <c:pt idx="145">
                  <c:v>5842.5800943383292</c:v>
                </c:pt>
                <c:pt idx="146">
                  <c:v>5921.4023448519329</c:v>
                </c:pt>
                <c:pt idx="147">
                  <c:v>6001.8457694650224</c:v>
                </c:pt>
                <c:pt idx="148">
                  <c:v>6083.9482517894648</c:v>
                </c:pt>
                <c:pt idx="149">
                  <c:v>6167.7486310174172</c:v>
                </c:pt>
                <c:pt idx="150">
                  <c:v>6253.286726610856</c:v>
                </c:pt>
                <c:pt idx="151">
                  <c:v>6340.6033636050452</c:v>
                </c:pt>
                <c:pt idx="152">
                  <c:v>6429.7403985391738</c:v>
                </c:pt>
                <c:pt idx="153">
                  <c:v>6520.740746027328</c:v>
                </c:pt>
                <c:pt idx="154">
                  <c:v>6613.6484059832774</c:v>
                </c:pt>
                <c:pt idx="155">
                  <c:v>6708.5084915124189</c:v>
                </c:pt>
                <c:pt idx="156">
                  <c:v>6805.3672574847915</c:v>
                </c:pt>
                <c:pt idx="157">
                  <c:v>6904.2721298027554</c:v>
                </c:pt>
                <c:pt idx="158">
                  <c:v>7005.2717353772669</c:v>
                </c:pt>
                <c:pt idx="159">
                  <c:v>7108.4159328267724</c:v>
                </c:pt>
                <c:pt idx="160">
                  <c:v>7213.7558439127997</c:v>
                </c:pt>
                <c:pt idx="161">
                  <c:v>7321.3438857264318</c:v>
                </c:pt>
                <c:pt idx="162">
                  <c:v>7431.2338036398032</c:v>
                </c:pt>
                <c:pt idx="163">
                  <c:v>7543.4807050372701</c:v>
                </c:pt>
                <c:pt idx="164">
                  <c:v>7658.1410938399185</c:v>
                </c:pt>
                <c:pt idx="165">
                  <c:v>7775.2729058387386</c:v>
                </c:pt>
                <c:pt idx="166">
                  <c:v>7894.9355448499555</c:v>
                </c:pt>
                <c:pt idx="167">
                  <c:v>8017.189919707479</c:v>
                </c:pt>
                <c:pt idx="168">
                  <c:v>8142.0984821068369</c:v>
                </c:pt>
                <c:pt idx="169">
                  <c:v>8269.7252653145442</c:v>
                </c:pt>
                <c:pt idx="170">
                  <c:v>8400.135923757729</c:v>
                </c:pt>
                <c:pt idx="171">
                  <c:v>8533.397773507877</c:v>
                </c:pt>
                <c:pt idx="172">
                  <c:v>8669.5798336731368</c:v>
                </c:pt>
                <c:pt idx="173">
                  <c:v>8808.7528687128724</c:v>
                </c:pt>
                <c:pt idx="174">
                  <c:v>8950.9894316885984</c:v>
                </c:pt>
                <c:pt idx="175">
                  <c:v>9096.3639084651004</c:v>
                </c:pt>
                <c:pt idx="176">
                  <c:v>9244.9525628749507</c:v>
                </c:pt>
                <c:pt idx="177">
                  <c:v>9396.8335828601103</c:v>
                </c:pt>
                <c:pt idx="178">
                  <c:v>9552.0871276034723</c:v>
                </c:pt>
                <c:pt idx="179">
                  <c:v>9710.7953756632451</c:v>
                </c:pt>
                <c:pt idx="180">
                  <c:v>9873.0425741227118</c:v>
                </c:pt>
                <c:pt idx="181">
                  <c:v>10038.915088767424</c:v>
                </c:pt>
                <c:pt idx="182">
                  <c:v>10208.501455301752</c:v>
                </c:pt>
                <c:pt idx="183">
                  <c:v>10381.892431616137</c:v>
                </c:pt>
                <c:pt idx="184">
                  <c:v>10559.181051116175</c:v>
                </c:pt>
                <c:pt idx="185">
                  <c:v>10740.462677123405</c:v>
                </c:pt>
                <c:pt idx="186">
                  <c:v>10925.83505835884</c:v>
                </c:pt>
                <c:pt idx="187">
                  <c:v>11115.398385517339</c:v>
                </c:pt>
                <c:pt idx="188">
                  <c:v>11309.255348942732</c:v>
                </c:pt>
                <c:pt idx="189">
                  <c:v>11507.511197411277</c:v>
                </c:pt>
                <c:pt idx="190">
                  <c:v>11710.273798030767</c:v>
                </c:pt>
                <c:pt idx="191">
                  <c:v>11917.653697262434</c:v>
                </c:pt>
                <c:pt idx="192">
                  <c:v>12129.764183071351</c:v>
                </c:pt>
                <c:pt idx="193">
                  <c:v>12346.721348210214</c:v>
                </c:pt>
                <c:pt idx="194">
                  <c:v>12568.644154640955</c:v>
                </c:pt>
                <c:pt idx="195">
                  <c:v>12795.654499097223</c:v>
                </c:pt>
                <c:pt idx="196">
                  <c:v>13027.877279790137</c:v>
                </c:pt>
                <c:pt idx="197">
                  <c:v>13265.440464258108</c:v>
                </c:pt>
                <c:pt idx="198">
                  <c:v>13508.475158361274</c:v>
                </c:pt>
                <c:pt idx="199">
                  <c:v>13757.115676418593</c:v>
                </c:pt>
                <c:pt idx="200">
                  <c:v>14011.499612486334</c:v>
                </c:pt>
                <c:pt idx="201">
                  <c:v>14271.767912772772</c:v>
                </c:pt>
                <c:pt idx="202">
                  <c:v>14538.064949185524</c:v>
                </c:pt>
                <c:pt idx="203">
                  <c:v>14810.53859400378</c:v>
                </c:pt>
                <c:pt idx="204">
                  <c:v>15089.340295667822</c:v>
                </c:pt>
                <c:pt idx="205">
                  <c:v>15374.625155676469</c:v>
                </c:pt>
                <c:pt idx="206">
                  <c:v>15666.552006580536</c:v>
                </c:pt>
                <c:pt idx="207">
                  <c:v>15965.283491059732</c:v>
                </c:pt>
                <c:pt idx="208">
                  <c:v>16270.986142067994</c:v>
                </c:pt>
                <c:pt idx="209">
                  <c:v>16583.830464030638</c:v>
                </c:pt>
                <c:pt idx="210">
                  <c:v>16903.991015074494</c:v>
                </c:pt>
                <c:pt idx="211">
                  <c:v>17231.646490270581</c:v>
                </c:pt>
                <c:pt idx="212">
                  <c:v>17566.979805866104</c:v>
                </c:pt>
                <c:pt idx="213">
                  <c:v>17910.178184481352</c:v>
                </c:pt>
                <c:pt idx="214">
                  <c:v>18261.433241243834</c:v>
                </c:pt>
                <c:pt idx="215">
                  <c:v>18620.941070830013</c:v>
                </c:pt>
                <c:pt idx="216">
                  <c:v>18988.902335383038</c:v>
                </c:pt>
                <c:pt idx="217">
                  <c:v>19365.522353271273</c:v>
                </c:pt>
                <c:pt idx="218">
                  <c:v>19751.011188651304</c:v>
                </c:pt>
                <c:pt idx="219">
                  <c:v>20145.583741794781</c:v>
                </c:pt>
                <c:pt idx="220">
                  <c:v>20549.459840137228</c:v>
                </c:pt>
                <c:pt idx="221">
                  <c:v>20962.864330003118</c:v>
                </c:pt>
                <c:pt idx="222">
                  <c:v>21386.027168959001</c:v>
                </c:pt>
                <c:pt idx="223">
                  <c:v>21819.183518743281</c:v>
                </c:pt>
                <c:pt idx="224">
                  <c:v>22262.573838718861</c:v>
                </c:pt>
                <c:pt idx="225">
                  <c:v>22716.443979790147</c:v>
                </c:pt>
                <c:pt idx="226">
                  <c:v>23181.045278724814</c:v>
                </c:pt>
                <c:pt idx="227">
                  <c:v>23656.634652815956</c:v>
                </c:pt>
                <c:pt idx="228">
                  <c:v>24143.47469481669</c:v>
                </c:pt>
                <c:pt idx="229">
                  <c:v>24641.833768077555</c:v>
                </c:pt>
                <c:pt idx="230">
                  <c:v>25151.98610181161</c:v>
                </c:pt>
                <c:pt idx="231">
                  <c:v>25674.211886409666</c:v>
                </c:pt>
                <c:pt idx="232">
                  <c:v>26208.797368724659</c:v>
                </c:pt>
                <c:pt idx="233">
                  <c:v>26756.034947239012</c:v>
                </c:pt>
                <c:pt idx="234">
                  <c:v>27316.223267027483</c:v>
                </c:pt>
                <c:pt idx="235">
                  <c:v>27889.667314421782</c:v>
                </c:pt>
                <c:pt idx="236">
                  <c:v>28476.678511281279</c:v>
                </c:pt>
                <c:pt idx="237">
                  <c:v>29077.57480876903</c:v>
                </c:pt>
                <c:pt idx="238">
                  <c:v>29692.680780529561</c:v>
                </c:pt>
                <c:pt idx="239">
                  <c:v>30322.327715159048</c:v>
                </c:pt>
                <c:pt idx="240">
                  <c:v>30966.853707858088</c:v>
                </c:pt>
                <c:pt idx="241">
                  <c:v>31626.603751148356</c:v>
                </c:pt>
                <c:pt idx="242">
                  <c:v>32301.92982453528</c:v>
                </c:pt>
                <c:pt idx="243">
                  <c:v>32993.190982991626</c:v>
                </c:pt>
                <c:pt idx="244">
                  <c:v>33700.753444134534</c:v>
                </c:pt>
                <c:pt idx="245">
                  <c:v>34424.990673964159</c:v>
                </c:pt>
                <c:pt idx="246">
                  <c:v>35166.2834710272</c:v>
                </c:pt>
                <c:pt idx="247">
                  <c:v>35925.020048866973</c:v>
                </c:pt>
                <c:pt idx="248">
                  <c:v>36701.596116614768</c:v>
                </c:pt>
                <c:pt idx="249">
                  <c:v>37496.414957576584</c:v>
                </c:pt>
                <c:pt idx="250">
                  <c:v>38309.887505661951</c:v>
                </c:pt>
                <c:pt idx="251">
                  <c:v>39142.432419502205</c:v>
                </c:pt>
                <c:pt idx="252">
                  <c:v>39994.476154096883</c:v>
                </c:pt>
                <c:pt idx="253">
                  <c:v>40866.453029828212</c:v>
                </c:pt>
                <c:pt idx="254">
                  <c:v>41758.8052986767</c:v>
                </c:pt>
                <c:pt idx="255">
                  <c:v>42671.983207468147</c:v>
                </c:pt>
                <c:pt idx="256">
                  <c:v>43606.445057982179</c:v>
                </c:pt>
                <c:pt idx="257">
                  <c:v>44562.657263742753</c:v>
                </c:pt>
                <c:pt idx="258">
                  <c:v>45541.094403316332</c:v>
                </c:pt>
                <c:pt idx="259">
                  <c:v>46542.239269933089</c:v>
                </c:pt>
                <c:pt idx="260">
                  <c:v>47566.582917248175</c:v>
                </c:pt>
                <c:pt idx="261">
                  <c:v>48614.624701057743</c:v>
                </c:pt>
                <c:pt idx="262">
                  <c:v>49686.872316777582</c:v>
                </c:pt>
                <c:pt idx="263">
                  <c:v>50783.841832497077</c:v>
                </c:pt>
                <c:pt idx="264">
                  <c:v>51906.057717412608</c:v>
                </c:pt>
                <c:pt idx="265">
                  <c:v>53054.052865446793</c:v>
                </c:pt>
                <c:pt idx="266">
                  <c:v>54228.368613857994</c:v>
                </c:pt>
                <c:pt idx="267">
                  <c:v>55429.554756641162</c:v>
                </c:pt>
                <c:pt idx="268">
                  <c:v>56658.169552522988</c:v>
                </c:pt>
                <c:pt idx="269">
                  <c:v>57914.779727353125</c:v>
                </c:pt>
                <c:pt idx="270">
                  <c:v>59199.960470689286</c:v>
                </c:pt>
                <c:pt idx="271">
                  <c:v>60514.295426379409</c:v>
                </c:pt>
                <c:pt idx="272">
                  <c:v>61858.376676941683</c:v>
                </c:pt>
                <c:pt idx="273">
                  <c:v>63232.804721540764</c:v>
                </c:pt>
                <c:pt idx="274">
                  <c:v>64638.188447366978</c:v>
                </c:pt>
                <c:pt idx="275">
                  <c:v>66075.145094217689</c:v>
                </c:pt>
                <c:pt idx="276">
                  <c:v>67544.300212089191</c:v>
                </c:pt>
                <c:pt idx="277">
                  <c:v>69046.287611583422</c:v>
                </c:pt>
                <c:pt idx="278">
                  <c:v>70581.749306941347</c:v>
                </c:pt>
                <c:pt idx="279">
                  <c:v>72151.335451514096</c:v>
                </c:pt>
                <c:pt idx="280">
                  <c:v>73755.704265484936</c:v>
                </c:pt>
                <c:pt idx="281">
                  <c:v>75395.521955665812</c:v>
                </c:pt>
                <c:pt idx="282">
                  <c:v>77071.462627186716</c:v>
                </c:pt>
                <c:pt idx="283">
                  <c:v>78784.208186905787</c:v>
                </c:pt>
                <c:pt idx="284">
                  <c:v>80534.448238375218</c:v>
                </c:pt>
                <c:pt idx="285">
                  <c:v>82322.879968195266</c:v>
                </c:pt>
                <c:pt idx="286">
                  <c:v>84150.208023603322</c:v>
                </c:pt>
                <c:pt idx="287">
                  <c:v>86017.144381144637</c:v>
                </c:pt>
                <c:pt idx="288">
                  <c:v>87924.408206281805</c:v>
                </c:pt>
                <c:pt idx="289">
                  <c:v>89872.725703803153</c:v>
                </c:pt>
                <c:pt idx="290">
                  <c:v>91862.829958902323</c:v>
                </c:pt>
                <c:pt idx="291">
                  <c:v>93895.460768808072</c:v>
                </c:pt>
                <c:pt idx="292">
                  <c:v>95971.36446484561</c:v>
                </c:pt>
                <c:pt idx="293">
                  <c:v>98091.293724830102</c:v>
                </c:pt>
                <c:pt idx="294">
                  <c:v>100256.00737569365</c:v>
                </c:pt>
                <c:pt idx="295">
                  <c:v>102466.27018626068</c:v>
                </c:pt>
                <c:pt idx="296">
                  <c:v>104722.85265009529</c:v>
                </c:pt>
                <c:pt idx="297">
                  <c:v>107026.53075835897</c:v>
                </c:pt>
                <c:pt idx="298">
                  <c:v>109378.08576261505</c:v>
                </c:pt>
                <c:pt idx="299">
                  <c:v>111778.30392755181</c:v>
                </c:pt>
                <c:pt idx="300">
                  <c:v>114227.97627357875</c:v>
                </c:pt>
                <c:pt idx="301">
                  <c:v>116727.89830928585</c:v>
                </c:pt>
                <c:pt idx="302">
                  <c:v>119278.8697537572</c:v>
                </c:pt>
                <c:pt idx="303">
                  <c:v>121881.69424874555</c:v>
                </c:pt>
                <c:pt idx="304">
                  <c:v>124537.17906072784</c:v>
                </c:pt>
                <c:pt idx="305">
                  <c:v>127246.13477287504</c:v>
                </c:pt>
                <c:pt idx="306">
                  <c:v>130009.3749669852</c:v>
                </c:pt>
                <c:pt idx="307">
                  <c:v>132827.71589543953</c:v>
                </c:pt>
                <c:pt idx="308">
                  <c:v>135701.97614325961</c:v>
                </c:pt>
                <c:pt idx="309">
                  <c:v>138632.97628035533</c:v>
                </c:pt>
                <c:pt idx="310">
                  <c:v>141621.53850406833</c:v>
                </c:pt>
                <c:pt idx="311">
                  <c:v>144668.48627213752</c:v>
                </c:pt>
                <c:pt idx="312">
                  <c:v>147774.64392621676</c:v>
                </c:pt>
                <c:pt idx="313">
                  <c:v>150940.83630609734</c:v>
                </c:pt>
                <c:pt idx="314">
                  <c:v>154167.88835481246</c:v>
                </c:pt>
                <c:pt idx="315">
                  <c:v>157456.62471478884</c:v>
                </c:pt>
                <c:pt idx="316">
                  <c:v>160807.86931526443</c:v>
                </c:pt>
                <c:pt idx="317">
                  <c:v>164222.44495117408</c:v>
                </c:pt>
                <c:pt idx="318">
                  <c:v>167701.17285373603</c:v>
                </c:pt>
                <c:pt idx="319">
                  <c:v>171244.87225299576</c:v>
                </c:pt>
                <c:pt idx="320">
                  <c:v>174854.35993256967</c:v>
                </c:pt>
                <c:pt idx="321">
                  <c:v>178530.44977689255</c:v>
                </c:pt>
                <c:pt idx="322">
                  <c:v>182273.95231123574</c:v>
                </c:pt>
                <c:pt idx="323">
                  <c:v>186085.6742348304</c:v>
                </c:pt>
                <c:pt idx="324">
                  <c:v>189966.417947396</c:v>
                </c:pt>
                <c:pt idx="325">
                  <c:v>193916.98106943796</c:v>
                </c:pt>
                <c:pt idx="326">
                  <c:v>197938.15595664244</c:v>
                </c:pt>
                <c:pt idx="327">
                  <c:v>202030.72920876308</c:v>
                </c:pt>
                <c:pt idx="328">
                  <c:v>206195.48117335941</c:v>
                </c:pt>
                <c:pt idx="329">
                  <c:v>210433.18544479826</c:v>
                </c:pt>
                <c:pt idx="330">
                  <c:v>214744.60835892212</c:v>
                </c:pt>
                <c:pt idx="331">
                  <c:v>219130.50848380741</c:v>
                </c:pt>
                <c:pt idx="332">
                  <c:v>223591.63610704691</c:v>
                </c:pt>
                <c:pt idx="333">
                  <c:v>228128.73272000803</c:v>
                </c:pt>
                <c:pt idx="334">
                  <c:v>232742.53049951961</c:v>
                </c:pt>
                <c:pt idx="335">
                  <c:v>237433.75178746035</c:v>
                </c:pt>
                <c:pt idx="336">
                  <c:v>242203.10856872748</c:v>
                </c:pt>
                <c:pt idx="337">
                  <c:v>247051.30194807591</c:v>
                </c:pt>
                <c:pt idx="338">
                  <c:v>251979.02162632375</c:v>
                </c:pt>
                <c:pt idx="339">
                  <c:v>256986.94537643751</c:v>
                </c:pt>
                <c:pt idx="340">
                  <c:v>262075.73852000613</c:v>
                </c:pt>
                <c:pt idx="341">
                  <c:v>267246.05340462073</c:v>
                </c:pt>
                <c:pt idx="342">
                  <c:v>272498.52888270305</c:v>
                </c:pt>
                <c:pt idx="343">
                  <c:v>277833.78979230236</c:v>
                </c:pt>
                <c:pt idx="344">
                  <c:v>283252.44644040143</c:v>
                </c:pt>
                <c:pt idx="345">
                  <c:v>288755.09408928204</c:v>
                </c:pt>
                <c:pt idx="346">
                  <c:v>294342.31244647806</c:v>
                </c:pt>
                <c:pt idx="347">
                  <c:v>300014.66515888326</c:v>
                </c:pt>
                <c:pt idx="348">
                  <c:v>305772.69931154704</c:v>
                </c:pt>
                <c:pt idx="349">
                  <c:v>311616.94493171183</c:v>
                </c:pt>
                <c:pt idx="350">
                  <c:v>317547.91449864657</c:v>
                </c:pt>
                <c:pt idx="351">
                  <c:v>323566.10245981067</c:v>
                </c:pt>
                <c:pt idx="352">
                  <c:v>329671.98475391144</c:v>
                </c:pt>
                <c:pt idx="353">
                  <c:v>335866.01834137755</c:v>
                </c:pt>
                <c:pt idx="354">
                  <c:v>342148.6407427988</c:v>
                </c:pt>
                <c:pt idx="355">
                  <c:v>348520.26958587224</c:v>
                </c:pt>
                <c:pt idx="356">
                  <c:v>354981.30216136161</c:v>
                </c:pt>
                <c:pt idx="357">
                  <c:v>361532.11498860788</c:v>
                </c:pt>
                <c:pt idx="358">
                  <c:v>368173.0633911044</c:v>
                </c:pt>
                <c:pt idx="359">
                  <c:v>374904.48108263221</c:v>
                </c:pt>
                <c:pt idx="360">
                  <c:v>381726.67976445943</c:v>
                </c:pt>
                <c:pt idx="361">
                  <c:v>388639.94873409078</c:v>
                </c:pt>
                <c:pt idx="362">
                  <c:v>395644.55450604</c:v>
                </c:pt>
                <c:pt idx="363">
                  <c:v>402740.74044508865</c:v>
                </c:pt>
                <c:pt idx="364">
                  <c:v>409928.72641248896</c:v>
                </c:pt>
                <c:pt idx="365">
                  <c:v>417208.70842553844</c:v>
                </c:pt>
                <c:pt idx="366">
                  <c:v>424580.85833095928</c:v>
                </c:pt>
                <c:pt idx="367">
                  <c:v>432045.32349249197</c:v>
                </c:pt>
                <c:pt idx="368">
                  <c:v>439602.22649308818</c:v>
                </c:pt>
                <c:pt idx="369">
                  <c:v>447251.66485209129</c:v>
                </c:pt>
                <c:pt idx="370">
                  <c:v>454993.71075776377</c:v>
                </c:pt>
                <c:pt idx="371">
                  <c:v>462828.41081550071</c:v>
                </c:pt>
                <c:pt idx="372">
                  <c:v>470755.78581205755</c:v>
                </c:pt>
                <c:pt idx="373">
                  <c:v>478775.83049610467</c:v>
                </c:pt>
                <c:pt idx="374">
                  <c:v>486888.5133753983</c:v>
                </c:pt>
                <c:pt idx="375">
                  <c:v>495093.77653081861</c:v>
                </c:pt>
                <c:pt idx="376">
                  <c:v>503391.53544755827</c:v>
                </c:pt>
                <c:pt idx="377">
                  <c:v>511781.67886365316</c:v>
                </c:pt>
                <c:pt idx="378">
                  <c:v>520264.06863609649</c:v>
                </c:pt>
                <c:pt idx="379">
                  <c:v>528838.53962470242</c:v>
                </c:pt>
                <c:pt idx="380">
                  <c:v>537504.89959389681</c:v>
                </c:pt>
                <c:pt idx="381">
                  <c:v>546262.92913257203</c:v>
                </c:pt>
                <c:pt idx="382">
                  <c:v>555112.38159213774</c:v>
                </c:pt>
                <c:pt idx="383">
                  <c:v>564052.98304286448</c:v>
                </c:pt>
                <c:pt idx="384">
                  <c:v>573084.43224859668</c:v>
                </c:pt>
                <c:pt idx="385">
                  <c:v>582206.40065990039</c:v>
                </c:pt>
                <c:pt idx="386">
                  <c:v>591418.53242567112</c:v>
                </c:pt>
                <c:pt idx="387">
                  <c:v>600720.44442322303</c:v>
                </c:pt>
                <c:pt idx="388">
                  <c:v>610111.72630685288</c:v>
                </c:pt>
                <c:pt idx="389">
                  <c:v>619591.94057482749</c:v>
                </c:pt>
                <c:pt idx="390">
                  <c:v>629160.62265477132</c:v>
                </c:pt>
                <c:pt idx="391">
                  <c:v>638817.28100736276</c:v>
                </c:pt>
                <c:pt idx="392">
                  <c:v>648561.39724824124</c:v>
                </c:pt>
                <c:pt idx="393">
                  <c:v>658392.42628801218</c:v>
                </c:pt>
                <c:pt idx="394">
                  <c:v>668309.79649021814</c:v>
                </c:pt>
                <c:pt idx="395">
                  <c:v>678312.90984709887</c:v>
                </c:pt>
                <c:pt idx="396">
                  <c:v>688401.14217299304</c:v>
                </c:pt>
                <c:pt idx="397">
                  <c:v>698573.8433151315</c:v>
                </c:pt>
                <c:pt idx="398">
                  <c:v>708830.33738166292</c:v>
                </c:pt>
                <c:pt idx="399">
                  <c:v>719169.92298662663</c:v>
                </c:pt>
                <c:pt idx="400">
                  <c:v>729591.87351164129</c:v>
                </c:pt>
                <c:pt idx="401">
                  <c:v>740095.4373840132</c:v>
                </c:pt>
                <c:pt idx="402">
                  <c:v>750679.83837100619</c:v>
                </c:pt>
                <c:pt idx="403">
                  <c:v>761344.27588992624</c:v>
                </c:pt>
                <c:pt idx="404">
                  <c:v>772087.92533371586</c:v>
                </c:pt>
                <c:pt idx="405">
                  <c:v>782909.93841170997</c:v>
                </c:pt>
                <c:pt idx="406">
                  <c:v>793809.4435051881</c:v>
                </c:pt>
                <c:pt idx="407">
                  <c:v>804785.5460373821</c:v>
                </c:pt>
                <c:pt idx="408">
                  <c:v>815837.32885751326</c:v>
                </c:pt>
                <c:pt idx="409">
                  <c:v>826963.85263846722</c:v>
                </c:pt>
                <c:pt idx="410">
                  <c:v>838164.15628773591</c:v>
                </c:pt>
                <c:pt idx="411">
                  <c:v>849437.25737113541</c:v>
                </c:pt>
                <c:pt idx="412">
                  <c:v>860782.15254893654</c:v>
                </c:pt>
                <c:pt idx="413">
                  <c:v>872197.81802388874</c:v>
                </c:pt>
                <c:pt idx="414">
                  <c:v>883683.21000075201</c:v>
                </c:pt>
                <c:pt idx="415">
                  <c:v>895237.26515683706</c:v>
                </c:pt>
                <c:pt idx="416">
                  <c:v>906858.90112304478</c:v>
                </c:pt>
                <c:pt idx="417">
                  <c:v>918547.01697503624</c:v>
                </c:pt>
                <c:pt idx="418">
                  <c:v>930300.49373390584</c:v>
                </c:pt>
                <c:pt idx="419">
                  <c:v>942118.1948759919</c:v>
                </c:pt>
                <c:pt idx="420">
                  <c:v>953998.96685121884</c:v>
                </c:pt>
                <c:pt idx="421">
                  <c:v>965941.63960956805</c:v>
                </c:pt>
                <c:pt idx="422">
                  <c:v>977945.02713509707</c:v>
                </c:pt>
                <c:pt idx="423">
                  <c:v>990007.92798701045</c:v>
                </c:pt>
                <c:pt idx="424">
                  <c:v>1002129.1258473375</c:v>
                </c:pt>
                <c:pt idx="425">
                  <c:v>1014307.3900745936</c:v>
                </c:pt>
                <c:pt idx="426">
                  <c:v>1026541.4762630111</c:v>
                </c:pt>
                <c:pt idx="427">
                  <c:v>1038830.1268067601</c:v>
                </c:pt>
                <c:pt idx="428">
                  <c:v>1051172.0714686979</c:v>
                </c:pt>
                <c:pt idx="429">
                  <c:v>1063566.027953085</c:v>
                </c:pt>
                <c:pt idx="430">
                  <c:v>1076010.7024818012</c:v>
                </c:pt>
                <c:pt idx="431">
                  <c:v>1088504.7903735144</c:v>
                </c:pt>
                <c:pt idx="432">
                  <c:v>1101046.9766253596</c:v>
                </c:pt>
                <c:pt idx="433">
                  <c:v>1113635.9364965404</c:v>
                </c:pt>
                <c:pt idx="434">
                  <c:v>1126270.3360934388</c:v>
                </c:pt>
                <c:pt idx="435">
                  <c:v>1138948.8329557136</c:v>
                </c:pt>
                <c:pt idx="436">
                  <c:v>1151670.0766428695</c:v>
                </c:pt>
                <c:pt idx="437">
                  <c:v>1164432.7093208884</c:v>
                </c:pt>
                <c:pt idx="438">
                  <c:v>1177235.3663483658</c:v>
                </c:pt>
                <c:pt idx="439">
                  <c:v>1190076.6768617854</c:v>
                </c:pt>
                <c:pt idx="440">
                  <c:v>1202955.2643593764</c:v>
                </c:pt>
                <c:pt idx="441">
                  <c:v>1215869.7472831768</c:v>
                </c:pt>
                <c:pt idx="442">
                  <c:v>1228818.7395988312</c:v>
                </c:pt>
                <c:pt idx="443">
                  <c:v>1241800.8513726876</c:v>
                </c:pt>
                <c:pt idx="444">
                  <c:v>1254814.6893458022</c:v>
                </c:pt>
                <c:pt idx="445">
                  <c:v>1267858.8575044039</c:v>
                </c:pt>
                <c:pt idx="446">
                  <c:v>1280931.9576464156</c:v>
                </c:pt>
                <c:pt idx="447">
                  <c:v>1294032.5899436902</c:v>
                </c:pt>
                <c:pt idx="448">
                  <c:v>1307159.3534995308</c:v>
                </c:pt>
                <c:pt idx="449">
                  <c:v>1320310.8469011192</c:v>
                </c:pt>
                <c:pt idx="450">
                  <c:v>1333485.6687665565</c:v>
                </c:pt>
                <c:pt idx="451">
                  <c:v>1346682.4182860893</c:v>
                </c:pt>
                <c:pt idx="452">
                  <c:v>1359899.695757251</c:v>
                </c:pt>
                <c:pt idx="453">
                  <c:v>1373136.1031135367</c:v>
                </c:pt>
                <c:pt idx="454">
                  <c:v>1386390.2444463638</c:v>
                </c:pt>
                <c:pt idx="455">
                  <c:v>1399660.7265199518</c:v>
                </c:pt>
                <c:pt idx="456">
                  <c:v>1412946.1592789011</c:v>
                </c:pt>
                <c:pt idx="457">
                  <c:v>1426245.1563481132</c:v>
                </c:pt>
                <c:pt idx="458">
                  <c:v>1439556.3355248899</c:v>
                </c:pt>
                <c:pt idx="459">
                  <c:v>1452878.3192628704</c:v>
                </c:pt>
                <c:pt idx="460">
                  <c:v>1466209.7351476257</c:v>
                </c:pt>
                <c:pt idx="461">
                  <c:v>1479549.2163636496</c:v>
                </c:pt>
                <c:pt idx="462">
                  <c:v>1492895.4021525607</c:v>
                </c:pt>
                <c:pt idx="463">
                  <c:v>1506246.9382623134</c:v>
                </c:pt>
                <c:pt idx="464">
                  <c:v>1519602.4773871885</c:v>
                </c:pt>
                <c:pt idx="465">
                  <c:v>1532960.6795984767</c:v>
                </c:pt>
                <c:pt idx="466">
                  <c:v>1546320.212765557</c:v>
                </c:pt>
                <c:pt idx="467">
                  <c:v>1559679.7529673588</c:v>
                </c:pt>
                <c:pt idx="468">
                  <c:v>1573037.98489401</c:v>
                </c:pt>
                <c:pt idx="469">
                  <c:v>1586393.60223849</c:v>
                </c:pt>
                <c:pt idx="470">
                  <c:v>1599745.3080782765</c:v>
                </c:pt>
                <c:pt idx="471">
                  <c:v>1613091.8152468081</c:v>
                </c:pt>
                <c:pt idx="472">
                  <c:v>1626431.846694696</c:v>
                </c:pt>
                <c:pt idx="473">
                  <c:v>1639764.135840605</c:v>
                </c:pt>
                <c:pt idx="474">
                  <c:v>1653087.4269117464</c:v>
                </c:pt>
                <c:pt idx="475">
                  <c:v>1666400.4752738902</c:v>
                </c:pt>
                <c:pt idx="476">
                  <c:v>1679702.0477508812</c:v>
                </c:pt>
                <c:pt idx="477">
                  <c:v>1692990.922933615</c:v>
                </c:pt>
                <c:pt idx="478">
                  <c:v>1706265.8914784465</c:v>
                </c:pt>
                <c:pt idx="479">
                  <c:v>1719525.7563950149</c:v>
                </c:pt>
                <c:pt idx="480">
                  <c:v>1732769.3333234622</c:v>
                </c:pt>
                <c:pt idx="481">
                  <c:v>1745995.4508010901</c:v>
                </c:pt>
                <c:pt idx="482">
                  <c:v>1759202.9505184146</c:v>
                </c:pt>
                <c:pt idx="483">
                  <c:v>1772390.6875647083</c:v>
                </c:pt>
                <c:pt idx="484">
                  <c:v>1785557.5306629927</c:v>
                </c:pt>
                <c:pt idx="485">
                  <c:v>1798702.3623945361</c:v>
                </c:pt>
                <c:pt idx="486">
                  <c:v>1811824.0794129686</c:v>
                </c:pt>
                <c:pt idx="487">
                  <c:v>1824921.5926479828</c:v>
                </c:pt>
                <c:pt idx="488">
                  <c:v>1837993.8274987373</c:v>
                </c:pt>
                <c:pt idx="489">
                  <c:v>1851039.7240170042</c:v>
                </c:pt>
                <c:pt idx="490">
                  <c:v>1864058.2370801864</c:v>
                </c:pt>
                <c:pt idx="491">
                  <c:v>1877048.3365542165</c:v>
                </c:pt>
                <c:pt idx="492">
                  <c:v>1890009.0074465163</c:v>
                </c:pt>
                <c:pt idx="493">
                  <c:v>1902939.2500490462</c:v>
                </c:pt>
                <c:pt idx="494">
                  <c:v>1915838.080071582</c:v>
                </c:pt>
                <c:pt idx="495">
                  <c:v>1928704.5287653147</c:v>
                </c:pt>
                <c:pt idx="496">
                  <c:v>1941537.6430369187</c:v>
                </c:pt>
                <c:pt idx="497">
                  <c:v>1954336.485553178</c:v>
                </c:pt>
                <c:pt idx="498">
                  <c:v>1967100.1348363</c:v>
                </c:pt>
                <c:pt idx="499">
                  <c:v>1979827.6853500765</c:v>
                </c:pt>
                <c:pt idx="500">
                  <c:v>1992518.2475769985</c:v>
                </c:pt>
                <c:pt idx="501">
                  <c:v>2005170.948086465</c:v>
                </c:pt>
                <c:pt idx="502">
                  <c:v>2017784.9295942837</c:v>
                </c:pt>
                <c:pt idx="503">
                  <c:v>2030359.3510134835</c:v>
                </c:pt>
                <c:pt idx="504">
                  <c:v>2042893.3874968004</c:v>
                </c:pt>
                <c:pt idx="505">
                  <c:v>2055386.2304707153</c:v>
                </c:pt>
                <c:pt idx="506">
                  <c:v>2067837.087661488</c:v>
                </c:pt>
                <c:pt idx="507">
                  <c:v>2080245.1831131144</c:v>
                </c:pt>
                <c:pt idx="508">
                  <c:v>2092609.7571975214</c:v>
                </c:pt>
                <c:pt idx="509">
                  <c:v>2104930.0666170819</c:v>
                </c:pt>
                <c:pt idx="510">
                  <c:v>2117205.3843996315</c:v>
                </c:pt>
                <c:pt idx="511">
                  <c:v>2129434.9998862203</c:v>
                </c:pt>
                <c:pt idx="512">
                  <c:v>2141618.2187116183</c:v>
                </c:pt>
                <c:pt idx="513">
                  <c:v>2153754.3627779754</c:v>
                </c:pt>
                <c:pt idx="514">
                  <c:v>2165842.770221523</c:v>
                </c:pt>
                <c:pt idx="515">
                  <c:v>2177882.7953727609</c:v>
                </c:pt>
                <c:pt idx="516">
                  <c:v>2189873.8087101476</c:v>
                </c:pt>
                <c:pt idx="517">
                  <c:v>2201815.1968074739</c:v>
                </c:pt>
                <c:pt idx="518">
                  <c:v>2213706.3622751595</c:v>
                </c:pt>
                <c:pt idx="519">
                  <c:v>2225546.7236956093</c:v>
                </c:pt>
                <c:pt idx="520">
                  <c:v>2237335.7155527901</c:v>
                </c:pt>
                <c:pt idx="521">
                  <c:v>2249072.7881562342</c:v>
                </c:pt>
                <c:pt idx="522">
                  <c:v>2260757.40755963</c:v>
                </c:pt>
                <c:pt idx="523">
                  <c:v>2272389.0554741584</c:v>
                </c:pt>
                <c:pt idx="524">
                  <c:v>2283967.2291767662</c:v>
                </c:pt>
                <c:pt idx="525">
                  <c:v>2295491.4414135669</c:v>
                </c:pt>
                <c:pt idx="526">
                  <c:v>2306961.2202984784</c:v>
                </c:pt>
                <c:pt idx="527">
                  <c:v>2318376.1092072963</c:v>
                </c:pt>
                <c:pt idx="528">
                  <c:v>2329735.6666674754</c:v>
                </c:pt>
                <c:pt idx="529">
                  <c:v>2341039.4662435581</c:v>
                </c:pt>
                <c:pt idx="530">
                  <c:v>2352287.0964186443</c:v>
                </c:pt>
                <c:pt idx="531">
                  <c:v>2363478.1604719306</c:v>
                </c:pt>
                <c:pt idx="532">
                  <c:v>2374612.2763525466</c:v>
                </c:pt>
                <c:pt idx="533">
                  <c:v>2385689.0765497773</c:v>
                </c:pt>
                <c:pt idx="534">
                  <c:v>2396708.2079599709</c:v>
                </c:pt>
                <c:pt idx="535">
                  <c:v>2407669.3317500805</c:v>
                </c:pt>
                <c:pt idx="536">
                  <c:v>2418572.1232181876</c:v>
                </c:pt>
                <c:pt idx="537">
                  <c:v>2429416.2716510789</c:v>
                </c:pt>
                <c:pt idx="538">
                  <c:v>2440201.4801790048</c:v>
                </c:pt>
                <c:pt idx="539">
                  <c:v>2450927.4656277751</c:v>
                </c:pt>
                <c:pt idx="540">
                  <c:v>2461593.958368443</c:v>
                </c:pt>
                <c:pt idx="541">
                  <c:v>2472200.7021645564</c:v>
                </c:pt>
                <c:pt idx="542">
                  <c:v>2482747.4540171777</c:v>
                </c:pt>
                <c:pt idx="543">
                  <c:v>2493233.9840079551</c:v>
                </c:pt>
                <c:pt idx="544">
                  <c:v>2503660.0751400962</c:v>
                </c:pt>
                <c:pt idx="545">
                  <c:v>2514025.5231776848</c:v>
                </c:pt>
                <c:pt idx="546">
                  <c:v>2524330.1364832064</c:v>
                </c:pt>
                <c:pt idx="547">
                  <c:v>2534573.7358536045</c:v>
                </c:pt>
                <c:pt idx="548">
                  <c:v>2544756.1543549015</c:v>
                </c:pt>
                <c:pt idx="549">
                  <c:v>2554877.2371554975</c:v>
                </c:pt>
                <c:pt idx="550">
                  <c:v>2564936.841358366</c:v>
                </c:pt>
                <c:pt idx="551">
                  <c:v>2574934.8358320948</c:v>
                </c:pt>
                <c:pt idx="552">
                  <c:v>2584871.1010410842</c:v>
                </c:pt>
                <c:pt idx="553">
                  <c:v>2594745.5288748546</c:v>
                </c:pt>
                <c:pt idx="554">
                  <c:v>2604558.022476648</c:v>
                </c:pt>
                <c:pt idx="555">
                  <c:v>2614308.4960714458</c:v>
                </c:pt>
                <c:pt idx="556">
                  <c:v>2623996.8747934378</c:v>
                </c:pt>
                <c:pt idx="557">
                  <c:v>2633623.0945131537</c:v>
                </c:pt>
                <c:pt idx="558">
                  <c:v>2643187.1016641832</c:v>
                </c:pt>
                <c:pt idx="559">
                  <c:v>2652688.8530698032</c:v>
                </c:pt>
                <c:pt idx="560">
                  <c:v>2662128.315769427</c:v>
                </c:pt>
                <c:pt idx="561">
                  <c:v>2671505.4668449876</c:v>
                </c:pt>
                <c:pt idx="562">
                  <c:v>2680820.2932475107</c:v>
                </c:pt>
                <c:pt idx="563">
                  <c:v>2690072.7916236776</c:v>
                </c:pt>
                <c:pt idx="564">
                  <c:v>2699262.9681427917</c:v>
                </c:pt>
                <c:pt idx="565">
                  <c:v>2708390.838323852</c:v>
                </c:pt>
                <c:pt idx="566">
                  <c:v>2717456.4268632452</c:v>
                </c:pt>
                <c:pt idx="567">
                  <c:v>2726459.7674627011</c:v>
                </c:pt>
                <c:pt idx="568">
                  <c:v>2735400.9026579205</c:v>
                </c:pt>
                <c:pt idx="569">
                  <c:v>2744279.883647745</c:v>
                </c:pt>
                <c:pt idx="570">
                  <c:v>2753096.7701239977</c:v>
                </c:pt>
                <c:pt idx="571">
                  <c:v>2761851.6301021003</c:v>
                </c:pt>
                <c:pt idx="572">
                  <c:v>2770544.5397524801</c:v>
                </c:pt>
                <c:pt idx="573">
                  <c:v>2779175.5832328331</c:v>
                </c:pt>
                <c:pt idx="574">
                  <c:v>2787744.8525212961</c:v>
                </c:pt>
                <c:pt idx="575">
                  <c:v>2796252.447250606</c:v>
                </c:pt>
                <c:pt idx="576">
                  <c:v>2804698.4745432995</c:v>
                </c:pt>
                <c:pt idx="577">
                  <c:v>2813083.0488480064</c:v>
                </c:pt>
                <c:pt idx="578">
                  <c:v>2821406.2917767917</c:v>
                </c:pt>
                <c:pt idx="579">
                  <c:v>2829668.3319437904</c:v>
                </c:pt>
                <c:pt idx="580">
                  <c:v>2837869.304804984</c:v>
                </c:pt>
                <c:pt idx="581">
                  <c:v>2846009.3524992554</c:v>
                </c:pt>
                <c:pt idx="582">
                  <c:v>2854088.6236907477</c:v>
                </c:pt>
                <c:pt idx="583">
                  <c:v>2862107.2734126011</c:v>
                </c:pt>
                <c:pt idx="584">
                  <c:v>2870065.462912003</c:v>
                </c:pt>
                <c:pt idx="585">
                  <c:v>2877963.3594967118</c:v>
                </c:pt>
                <c:pt idx="586">
                  <c:v>2885801.1363829728</c:v>
                </c:pt>
                <c:pt idx="587">
                  <c:v>2893578.9725449886</c:v>
                </c:pt>
                <c:pt idx="588">
                  <c:v>2901297.0525657628</c:v>
                </c:pt>
                <c:pt idx="589">
                  <c:v>2908955.5664896602</c:v>
                </c:pt>
                <c:pt idx="590">
                  <c:v>2916554.7096763286</c:v>
                </c:pt>
                <c:pt idx="591">
                  <c:v>2924094.682656358</c:v>
                </c:pt>
                <c:pt idx="592">
                  <c:v>2931575.6909884554</c:v>
                </c:pt>
                <c:pt idx="593">
                  <c:v>2938997.9451182703</c:v>
                </c:pt>
                <c:pt idx="594">
                  <c:v>2946361.6602388588</c:v>
                </c:pt>
                <c:pt idx="595">
                  <c:v>2953667.0561528583</c:v>
                </c:pt>
                <c:pt idx="596">
                  <c:v>2960914.3571362081</c:v>
                </c:pt>
                <c:pt idx="597">
                  <c:v>2968103.7918037241</c:v>
                </c:pt>
                <c:pt idx="598">
                  <c:v>2975235.5929762577</c:v>
                </c:pt>
                <c:pt idx="599">
                  <c:v>2982309.9975496237</c:v>
                </c:pt>
                <c:pt idx="600">
                  <c:v>2989327.2463652524</c:v>
                </c:pt>
                <c:pt idx="601">
                  <c:v>2996287.5840825448</c:v>
                </c:pt>
                <c:pt idx="602">
                  <c:v>3003191.2590530054</c:v>
                </c:pt>
                <c:pt idx="603">
                  <c:v>3010038.5231961072</c:v>
                </c:pt>
                <c:pt idx="604">
                  <c:v>3016829.6318769474</c:v>
                </c:pt>
                <c:pt idx="605">
                  <c:v>3023564.8437855663</c:v>
                </c:pt>
                <c:pt idx="606">
                  <c:v>3030244.4208181668</c:v>
                </c:pt>
                <c:pt idx="607">
                  <c:v>3036868.6279599788</c:v>
                </c:pt>
                <c:pt idx="608">
                  <c:v>3043437.733169971</c:v>
                </c:pt>
                <c:pt idx="609">
                  <c:v>3049952.0072672423</c:v>
                </c:pt>
                <c:pt idx="610">
                  <c:v>3056411.7238193131</c:v>
                </c:pt>
                <c:pt idx="611">
                  <c:v>3062817.1590320258</c:v>
                </c:pt>
                <c:pt idx="612">
                  <c:v>3069168.591641299</c:v>
                </c:pt>
                <c:pt idx="613">
                  <c:v>3075466.3028066596</c:v>
                </c:pt>
                <c:pt idx="614">
                  <c:v>3081710.5760064204</c:v>
                </c:pt>
                <c:pt idx="615">
                  <c:v>3087901.6969347163</c:v>
                </c:pt>
                <c:pt idx="616">
                  <c:v>3094039.953400258</c:v>
                </c:pt>
                <c:pt idx="617">
                  <c:v>3100125.6352267242</c:v>
                </c:pt>
                <c:pt idx="618">
                  <c:v>3106159.0341550806</c:v>
                </c:pt>
                <c:pt idx="619">
                  <c:v>3112140.4437473495</c:v>
                </c:pt>
                <c:pt idx="620">
                  <c:v>3118070.1592923887</c:v>
                </c:pt>
                <c:pt idx="621">
                  <c:v>3123948.4777131453</c:v>
                </c:pt>
                <c:pt idx="622">
                  <c:v>3129775.6974756648</c:v>
                </c:pt>
                <c:pt idx="623">
                  <c:v>3135552.1184998718</c:v>
                </c:pt>
                <c:pt idx="624">
                  <c:v>3141278.0420718761</c:v>
                </c:pt>
                <c:pt idx="625">
                  <c:v>3146953.7707580826</c:v>
                </c:pt>
                <c:pt idx="626">
                  <c:v>3152579.6083207899</c:v>
                </c:pt>
                <c:pt idx="627">
                  <c:v>3158155.8596356218</c:v>
                </c:pt>
                <c:pt idx="628">
                  <c:v>3163682.8306103908</c:v>
                </c:pt>
                <c:pt idx="629">
                  <c:v>3169160.8281056625</c:v>
                </c:pt>
                <c:pt idx="630">
                  <c:v>3174590.159856969</c:v>
                </c:pt>
                <c:pt idx="631">
                  <c:v>3179971.134398465</c:v>
                </c:pt>
                <c:pt idx="632">
                  <c:v>3185304.0609883065</c:v>
                </c:pt>
                <c:pt idx="633">
                  <c:v>3190589.2495354121</c:v>
                </c:pt>
                <c:pt idx="634">
                  <c:v>3195827.010527961</c:v>
                </c:pt>
                <c:pt idx="635">
                  <c:v>3201017.6549632261</c:v>
                </c:pt>
                <c:pt idx="636">
                  <c:v>3206161.4942790382</c:v>
                </c:pt>
                <c:pt idx="637">
                  <c:v>3211258.8402867098</c:v>
                </c:pt>
                <c:pt idx="638">
                  <c:v>3216310.0051053911</c:v>
                </c:pt>
                <c:pt idx="639">
                  <c:v>3221315.3010979448</c:v>
                </c:pt>
                <c:pt idx="640">
                  <c:v>3226275.0408082302</c:v>
                </c:pt>
                <c:pt idx="641">
                  <c:v>3231189.5368998405</c:v>
                </c:pt>
                <c:pt idx="642">
                  <c:v>3236059.1020962242</c:v>
                </c:pt>
                <c:pt idx="643">
                  <c:v>3240884.0491221836</c:v>
                </c:pt>
                <c:pt idx="644">
                  <c:v>3245664.69064683</c:v>
                </c:pt>
                <c:pt idx="645">
                  <c:v>3250401.3392277821</c:v>
                </c:pt>
                <c:pt idx="646">
                  <c:v>3255094.3072568062</c:v>
                </c:pt>
                <c:pt idx="647">
                  <c:v>3259743.9069067542</c:v>
                </c:pt>
                <c:pt idx="648">
                  <c:v>3264350.4500797265</c:v>
                </c:pt>
                <c:pt idx="649">
                  <c:v>3268914.2483566776</c:v>
                </c:pt>
                <c:pt idx="650">
                  <c:v>3273435.6129481564</c:v>
                </c:pt>
                <c:pt idx="651">
                  <c:v>3277914.8546463903</c:v>
                </c:pt>
                <c:pt idx="652">
                  <c:v>3282352.2837785291</c:v>
                </c:pt>
                <c:pt idx="653">
                  <c:v>3286748.210161197</c:v>
                </c:pt>
                <c:pt idx="654">
                  <c:v>3291102.9430561727</c:v>
                </c:pt>
                <c:pt idx="655">
                  <c:v>3295416.7911272896</c:v>
                </c:pt>
                <c:pt idx="656">
                  <c:v>3299690.0623984998</c:v>
                </c:pt>
                <c:pt idx="657">
                  <c:v>3303923.0642130794</c:v>
                </c:pt>
                <c:pt idx="658">
                  <c:v>3308116.103193969</c:v>
                </c:pt>
                <c:pt idx="659">
                  <c:v>3312269.4852052354</c:v>
                </c:pt>
                <c:pt idx="660">
                  <c:v>3316383.5153146219</c:v>
                </c:pt>
                <c:pt idx="661">
                  <c:v>3320458.4977571964</c:v>
                </c:pt>
                <c:pt idx="662">
                  <c:v>3324494.7358999909</c:v>
                </c:pt>
                <c:pt idx="663">
                  <c:v>3328492.5322078308</c:v>
                </c:pt>
                <c:pt idx="664">
                  <c:v>3332452.1882100427</c:v>
                </c:pt>
                <c:pt idx="665">
                  <c:v>3336374.0044682394</c:v>
                </c:pt>
                <c:pt idx="666">
                  <c:v>3340258.2805451299</c:v>
                </c:pt>
                <c:pt idx="667">
                  <c:v>3344105.3149742512</c:v>
                </c:pt>
                <c:pt idx="668">
                  <c:v>3347915.4052306591</c:v>
                </c:pt>
                <c:pt idx="669">
                  <c:v>3351688.8477026359</c:v>
                </c:pt>
                <c:pt idx="670">
                  <c:v>3355425.9376642425</c:v>
                </c:pt>
                <c:pt idx="671">
                  <c:v>3359126.9692488145</c:v>
                </c:pt>
                <c:pt idx="672">
                  <c:v>3362792.2354233745</c:v>
                </c:pt>
                <c:pt idx="673">
                  <c:v>3366422.0279639014</c:v>
                </c:pt>
                <c:pt idx="674">
                  <c:v>3370016.6374314493</c:v>
                </c:pt>
                <c:pt idx="675">
                  <c:v>3373576.3531491291</c:v>
                </c:pt>
                <c:pt idx="676">
                  <c:v>3377101.4631799296</c:v>
                </c:pt>
                <c:pt idx="677">
                  <c:v>3380592.2543053813</c:v>
                </c:pt>
                <c:pt idx="678">
                  <c:v>3384049.0120049077</c:v>
                </c:pt>
                <c:pt idx="679">
                  <c:v>3387472.0204360923</c:v>
                </c:pt>
                <c:pt idx="680">
                  <c:v>3390861.5624156855</c:v>
                </c:pt>
                <c:pt idx="681">
                  <c:v>3394217.9194012587</c:v>
                </c:pt>
                <c:pt idx="682">
                  <c:v>3397541.3714737869</c:v>
                </c:pt>
                <c:pt idx="683">
                  <c:v>3400832.1973207672</c:v>
                </c:pt>
                <c:pt idx="684">
                  <c:v>3404090.674220203</c:v>
                </c:pt>
                <c:pt idx="685">
                  <c:v>3407317.078025159</c:v>
                </c:pt>
                <c:pt idx="686">
                  <c:v>3410511.6831490896</c:v>
                </c:pt>
                <c:pt idx="687">
                  <c:v>3413674.7625517994</c:v>
                </c:pt>
                <c:pt idx="688">
                  <c:v>3416806.5877260496</c:v>
                </c:pt>
                <c:pt idx="689">
                  <c:v>3419907.4286848404</c:v>
                </c:pt>
                <c:pt idx="690">
                  <c:v>3422977.5539492671</c:v>
                </c:pt>
                <c:pt idx="691">
                  <c:v>3426017.2305370257</c:v>
                </c:pt>
                <c:pt idx="692">
                  <c:v>3429026.7239515567</c:v>
                </c:pt>
                <c:pt idx="693">
                  <c:v>3432006.2981716678</c:v>
                </c:pt>
                <c:pt idx="694">
                  <c:v>3434956.2156418725</c:v>
                </c:pt>
                <c:pt idx="695">
                  <c:v>3437876.7372631258</c:v>
                </c:pt>
                <c:pt idx="696">
                  <c:v>3440768.1223843209</c:v>
                </c:pt>
                <c:pt idx="697">
                  <c:v>3443630.6287940624</c:v>
                </c:pt>
                <c:pt idx="698">
                  <c:v>3446464.5127132521</c:v>
                </c:pt>
                <c:pt idx="699">
                  <c:v>3449270.0287879328</c:v>
                </c:pt>
                <c:pt idx="700">
                  <c:v>3452047.430082785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F8-4CDB-86E0-282D35DFD9FF}"/>
            </c:ext>
          </c:extLst>
        </c:ser>
        <c:ser>
          <c:idx val="1"/>
          <c:order val="1"/>
          <c:tx>
            <c:strRef>
              <c:f>Dynamic_Modulus_Calc!$R$49</c:f>
              <c:strCache>
                <c:ptCount val="1"/>
                <c:pt idx="0">
                  <c:v>Prony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Dynamic_Modulus_Calc!$T$52:$T$752</c:f>
              <c:numCache>
                <c:formatCode>0.00E+00</c:formatCode>
                <c:ptCount val="701"/>
                <c:pt idx="0">
                  <c:v>1819.2393322567593</c:v>
                </c:pt>
                <c:pt idx="1">
                  <c:v>1826.8459185102074</c:v>
                </c:pt>
                <c:pt idx="2">
                  <c:v>1834.6873544279961</c:v>
                </c:pt>
                <c:pt idx="3">
                  <c:v>1842.7485622302506</c:v>
                </c:pt>
                <c:pt idx="4">
                  <c:v>1851.0115703422789</c:v>
                </c:pt>
                <c:pt idx="5">
                  <c:v>1859.4557626905435</c:v>
                </c:pt>
                <c:pt idx="6">
                  <c:v>1868.0582132772315</c:v>
                </c:pt>
                <c:pt idx="7">
                  <c:v>1876.7941008699047</c:v>
                </c:pt>
                <c:pt idx="8">
                  <c:v>1885.637194587089</c:v>
                </c:pt>
                <c:pt idx="9">
                  <c:v>1894.5603973735465</c:v>
                </c:pt>
                <c:pt idx="10">
                  <c:v>1903.5363311467288</c:v>
                </c:pt>
                <c:pt idx="11">
                  <c:v>1912.5379450310909</c:v>
                </c:pt>
                <c:pt idx="12">
                  <c:v>1921.5391267864491</c:v>
                </c:pt>
                <c:pt idx="13">
                  <c:v>1930.5152973958623</c:v>
                </c:pt>
                <c:pt idx="14">
                  <c:v>1939.44396981707</c:v>
                </c:pt>
                <c:pt idx="15">
                  <c:v>1948.3052550211921</c:v>
                </c:pt>
                <c:pt idx="16">
                  <c:v>1957.0823014496862</c:v>
                </c:pt>
                <c:pt idx="17">
                  <c:v>1965.7616576503156</c:v>
                </c:pt>
                <c:pt idx="18">
                  <c:v>1974.3335517993437</c:v>
                </c:pt>
                <c:pt idx="19">
                  <c:v>1982.7920857688075</c:v>
                </c:pt>
                <c:pt idx="20">
                  <c:v>1991.1353450684296</c:v>
                </c:pt>
                <c:pt idx="21">
                  <c:v>1999.3654291474861</c:v>
                </c:pt>
                <c:pt idx="22">
                  <c:v>2007.4884090167077</c:v>
                </c:pt>
                <c:pt idx="23">
                  <c:v>2015.5142208535567</c:v>
                </c:pt>
                <c:pt idx="24">
                  <c:v>2023.4565051681004</c:v>
                </c:pt>
                <c:pt idx="25">
                  <c:v>2031.3324012764213</c:v>
                </c:pt>
                <c:pt idx="26">
                  <c:v>2039.1623063481845</c:v>
                </c:pt>
                <c:pt idx="27">
                  <c:v>2046.9696072908835</c:v>
                </c:pt>
                <c:pt idx="28">
                  <c:v>2054.780392348428</c:v>
                </c:pt>
                <c:pt idx="29">
                  <c:v>2062.6231476719563</c:v>
                </c:pt>
                <c:pt idx="30">
                  <c:v>2070.5284424045867</c:v>
                </c:pt>
                <c:pt idx="31">
                  <c:v>2078.528604133659</c:v>
                </c:pt>
                <c:pt idx="32">
                  <c:v>2086.6573850109667</c:v>
                </c:pt>
                <c:pt idx="33">
                  <c:v>2094.9496175125141</c:v>
                </c:pt>
                <c:pt idx="34">
                  <c:v>2103.4408577765439</c:v>
                </c:pt>
                <c:pt idx="35">
                  <c:v>2112.1670137796791</c:v>
                </c:pt>
                <c:pt idx="36">
                  <c:v>2121.1639553307264</c:v>
                </c:pt>
                <c:pt idx="37">
                  <c:v>2130.4671030143554</c:v>
                </c:pt>
                <c:pt idx="38">
                  <c:v>2140.1109938255713</c:v>
                </c:pt>
                <c:pt idx="39">
                  <c:v>2150.1288223125639</c:v>
                </c:pt>
                <c:pt idx="40">
                  <c:v>2160.551957586526</c:v>
                </c:pt>
                <c:pt idx="41">
                  <c:v>2171.4094385404487</c:v>
                </c:pt>
                <c:pt idx="42">
                  <c:v>2182.7274519976231</c:v>
                </c:pt>
                <c:pt idx="43">
                  <c:v>2194.5288012076589</c:v>
                </c:pt>
                <c:pt idx="44">
                  <c:v>2206.8323750105974</c:v>
                </c:pt>
                <c:pt idx="45">
                  <c:v>2219.6526309468586</c:v>
                </c:pt>
                <c:pt idx="46">
                  <c:v>2232.9991084125068</c:v>
                </c:pt>
                <c:pt idx="47">
                  <c:v>2246.8759904213571</c:v>
                </c:pt>
                <c:pt idx="48">
                  <c:v>2261.2817343899424</c:v>
                </c:pt>
                <c:pt idx="49">
                  <c:v>2276.2087933532548</c:v>
                </c:pt>
                <c:pt idx="50">
                  <c:v>2291.6434489085727</c:v>
                </c:pt>
                <c:pt idx="51">
                  <c:v>2307.5657757748659</c:v>
                </c:pt>
                <c:pt idx="52">
                  <c:v>2323.9497550213273</c:v>
                </c:pt>
                <c:pt idx="53">
                  <c:v>2340.763548736692</c:v>
                </c:pt>
                <c:pt idx="54">
                  <c:v>2357.9699432792627</c:v>
                </c:pt>
                <c:pt idx="55">
                  <c:v>2375.5269614989988</c:v>
                </c:pt>
                <c:pt idx="56">
                  <c:v>2393.388636821654</c:v>
                </c:pt>
                <c:pt idx="57">
                  <c:v>2411.5059343067865</c:v>
                </c:pt>
                <c:pt idx="58">
                  <c:v>2429.8277962874431</c:v>
                </c:pt>
                <c:pt idx="59">
                  <c:v>2448.3022835442921</c:v>
                </c:pt>
                <c:pt idx="60">
                  <c:v>2466.8777777006353</c:v>
                </c:pt>
                <c:pt idx="61">
                  <c:v>2485.5042070907348</c:v>
                </c:pt>
                <c:pt idx="62">
                  <c:v>2504.1342570479678</c:v>
                </c:pt>
                <c:pt idx="63">
                  <c:v>2522.7245264920052</c:v>
                </c:pt>
                <c:pt idx="64">
                  <c:v>2541.2365957770944</c:v>
                </c:pt>
                <c:pt idx="65">
                  <c:v>2559.6379757180944</c:v>
                </c:pt>
                <c:pt idx="66">
                  <c:v>2577.9029141019373</c:v>
                </c:pt>
                <c:pt idx="67">
                  <c:v>2596.0130432781507</c:v>
                </c:pt>
                <c:pt idx="68">
                  <c:v>2613.9578600158047</c:v>
                </c:pt>
                <c:pt idx="69">
                  <c:v>2631.7350361452736</c:v>
                </c:pt>
                <c:pt idx="70">
                  <c:v>2649.3505650719962</c:v>
                </c:pt>
                <c:pt idx="71">
                  <c:v>2666.8187546692725</c:v>
                </c:pt>
                <c:pt idx="72">
                  <c:v>2684.1620810766403</c:v>
                </c:pt>
                <c:pt idx="73">
                  <c:v>2701.4109204408683</c:v>
                </c:pt>
                <c:pt idx="74">
                  <c:v>2718.6031766606079</c:v>
                </c:pt>
                <c:pt idx="75">
                  <c:v>2735.7838228665196</c:v>
                </c:pt>
                <c:pt idx="76">
                  <c:v>2753.0043729010581</c:v>
                </c:pt>
                <c:pt idx="77">
                  <c:v>2770.3222967222764</c:v>
                </c:pt>
                <c:pt idx="78">
                  <c:v>2787.8003907331217</c:v>
                </c:pt>
                <c:pt idx="79">
                  <c:v>2805.5061108200534</c:v>
                </c:pt>
                <c:pt idx="80">
                  <c:v>2823.5108726430321</c:v>
                </c:pt>
                <c:pt idx="81">
                  <c:v>2841.8893206942007</c:v>
                </c:pt>
                <c:pt idx="82">
                  <c:v>2860.7185650422889</c:v>
                </c:pt>
                <c:pt idx="83">
                  <c:v>2880.0773826755039</c:v>
                </c:pt>
                <c:pt idx="84">
                  <c:v>2900.0453790851634</c:v>
                </c:pt>
                <c:pt idx="85">
                  <c:v>2920.7021053015756</c:v>
                </c:pt>
                <c:pt idx="86">
                  <c:v>2942.1261260779306</c:v>
                </c:pt>
                <c:pt idx="87">
                  <c:v>2964.3940363629208</c:v>
                </c:pt>
                <c:pt idx="88">
                  <c:v>2987.5794256201939</c:v>
                </c:pt>
                <c:pt idx="89">
                  <c:v>3011.7517929172745</c:v>
                </c:pt>
                <c:pt idx="90">
                  <c:v>3036.9754199474446</c:v>
                </c:pt>
                <c:pt idx="91">
                  <c:v>3063.3082141411937</c:v>
                </c:pt>
                <c:pt idx="92">
                  <c:v>3090.8005395840783</c:v>
                </c:pt>
                <c:pt idx="93">
                  <c:v>3119.4940593321935</c:v>
                </c:pt>
                <c:pt idx="94">
                  <c:v>3149.4206185828552</c:v>
                </c:pt>
                <c:pt idx="95">
                  <c:v>3180.6012036289108</c:v>
                </c:pt>
                <c:pt idx="96">
                  <c:v>3213.0450161597432</c:v>
                </c:pt>
                <c:pt idx="97">
                  <c:v>3246.7487057983471</c:v>
                </c:pt>
                <c:pt idx="98">
                  <c:v>3281.6958053095545</c:v>
                </c:pt>
                <c:pt idx="99">
                  <c:v>3317.8564122474736</c:v>
                </c:pt>
                <c:pt idx="100">
                  <c:v>3355.1871575852206</c:v>
                </c:pt>
                <c:pt idx="101">
                  <c:v>3393.6314958783055</c:v>
                </c:pt>
                <c:pt idx="102">
                  <c:v>3433.1203427275436</c:v>
                </c:pt>
                <c:pt idx="103">
                  <c:v>3473.5730739206715</c:v>
                </c:pt>
                <c:pt idx="104">
                  <c:v>3514.8988870740445</c:v>
                </c:pt>
                <c:pt idx="105">
                  <c:v>3556.9985115331992</c:v>
                </c:pt>
                <c:pt idx="106">
                  <c:v>3599.7662365947244</c:v>
                </c:pt>
                <c:pt idx="107">
                  <c:v>3643.0922128003649</c:v>
                </c:pt>
                <c:pt idx="108">
                  <c:v>3686.8649672095817</c:v>
                </c:pt>
                <c:pt idx="109">
                  <c:v>3730.974062224157</c:v>
                </c:pt>
                <c:pt idx="110">
                  <c:v>3775.3128196181842</c:v>
                </c:pt>
                <c:pt idx="111">
                  <c:v>3819.7810275745833</c:v>
                </c:pt>
                <c:pt idx="112">
                  <c:v>3864.2875490780848</c:v>
                </c:pt>
                <c:pt idx="113">
                  <c:v>3908.752754929078</c:v>
                </c:pt>
                <c:pt idx="114">
                  <c:v>3953.1107135179454</c:v>
                </c:pt>
                <c:pt idx="115">
                  <c:v>3997.3110815995146</c:v>
                </c:pt>
                <c:pt idx="116">
                  <c:v>4041.3206546458691</c:v>
                </c:pt>
                <c:pt idx="117">
                  <c:v>4085.1245508000166</c:v>
                </c:pt>
                <c:pt idx="118">
                  <c:v>4128.7270178435583</c:v>
                </c:pt>
                <c:pt idx="119">
                  <c:v>4172.1518668554781</c:v>
                </c:pt>
                <c:pt idx="120">
                  <c:v>4215.4425484860576</c:v>
                </c:pt>
                <c:pt idx="121">
                  <c:v>4258.661897359666</c:v>
                </c:pt>
                <c:pt idx="122">
                  <c:v>4301.8915766946184</c:v>
                </c:pt>
                <c:pt idx="123">
                  <c:v>4345.2312587124388</c:v>
                </c:pt>
                <c:pt idx="124">
                  <c:v>4388.7975769810018</c:v>
                </c:pt>
                <c:pt idx="125">
                  <c:v>4432.7228848792038</c:v>
                </c:pt>
                <c:pt idx="126">
                  <c:v>4477.153850413808</c:v>
                </c:pt>
                <c:pt idx="127">
                  <c:v>4522.2499122737663</c:v>
                </c:pt>
                <c:pt idx="128">
                  <c:v>4568.18161591433</c:v>
                </c:pt>
                <c:pt idx="129">
                  <c:v>4615.1288422432726</c:v>
                </c:pt>
                <c:pt idx="130">
                  <c:v>4663.2789357041584</c:v>
                </c:pt>
                <c:pt idx="131">
                  <c:v>4712.8247337085168</c:v>
                </c:pt>
                <c:pt idx="132">
                  <c:v>4763.9624958656814</c:v>
                </c:pt>
                <c:pt idx="133">
                  <c:v>4816.8897296056075</c:v>
                </c:pt>
                <c:pt idx="134">
                  <c:v>4871.8029088022895</c:v>
                </c:pt>
                <c:pt idx="135">
                  <c:v>4928.8950840043435</c:v>
                </c:pt>
                <c:pt idx="136">
                  <c:v>4988.3533868923769</c:v>
                </c:pt>
                <c:pt idx="137">
                  <c:v>5050.3564375428459</c:v>
                </c:pt>
                <c:pt idx="138">
                  <c:v>5115.0716708218552</c:v>
                </c:pt>
                <c:pt idx="139">
                  <c:v>5182.6526074979247</c:v>
                </c:pt>
                <c:pt idx="140">
                  <c:v>5253.2361060866251</c:v>
                </c:pt>
                <c:pt idx="141">
                  <c:v>5326.9396425581026</c:v>
                </c:pt>
                <c:pt idx="142">
                  <c:v>5403.8586762886034</c:v>
                </c:pt>
                <c:pt idx="143">
                  <c:v>5484.064171368158</c:v>
                </c:pt>
                <c:pt idx="144">
                  <c:v>5567.6003518648276</c:v>
                </c:pt>
                <c:pt idx="145">
                  <c:v>5654.4827771178707</c:v>
                </c:pt>
                <c:pt idx="146">
                  <c:v>5744.6968278000932</c:v>
                </c:pt>
                <c:pt idx="147">
                  <c:v>5838.1966945916074</c:v>
                </c:pt>
                <c:pt idx="148">
                  <c:v>5934.9049581640857</c:v>
                </c:pt>
                <c:pt idx="149">
                  <c:v>6034.7128412465472</c:v>
                </c:pt>
                <c:pt idx="150">
                  <c:v>6137.4812005023341</c:v>
                </c:pt>
                <c:pt idx="151">
                  <c:v>6243.0423077384548</c:v>
                </c:pt>
                <c:pt idx="152">
                  <c:v>6351.2024468784357</c:v>
                </c:pt>
                <c:pt idx="153">
                  <c:v>6461.7453258285277</c:v>
                </c:pt>
                <c:pt idx="154">
                  <c:v>6574.4362719271439</c:v>
                </c:pt>
                <c:pt idx="155">
                  <c:v>6689.0271475506652</c:v>
                </c:pt>
                <c:pt idx="156">
                  <c:v>6805.2618904392602</c:v>
                </c:pt>
                <c:pt idx="157">
                  <c:v>6922.8825534033149</c:v>
                </c:pt>
                <c:pt idx="158">
                  <c:v>7041.6356923306785</c:v>
                </c:pt>
                <c:pt idx="159">
                  <c:v>7161.2789317625266</c:v>
                </c:pt>
                <c:pt idx="160">
                  <c:v>7281.5875253357008</c:v>
                </c:pt>
                <c:pt idx="161">
                  <c:v>7402.3607251772846</c:v>
                </c:pt>
                <c:pt idx="162">
                  <c:v>7523.4277802965635</c:v>
                </c:pt>
                <c:pt idx="163">
                  <c:v>7644.6533988232277</c:v>
                </c:pt>
                <c:pt idx="164">
                  <c:v>7765.942531527262</c:v>
                </c:pt>
                <c:pt idx="165">
                  <c:v>7887.2443627236798</c:v>
                </c:pt>
                <c:pt idx="166">
                  <c:v>8008.5554272401951</c:v>
                </c:pt>
                <c:pt idx="167">
                  <c:v>8129.9218061887659</c:v>
                </c:pt>
                <c:pt idx="168">
                  <c:v>8251.4403874149102</c:v>
                </c:pt>
                <c:pt idx="169">
                  <c:v>8373.2592065220324</c:v>
                </c:pt>
                <c:pt idx="170">
                  <c:v>8495.5769095386368</c:v>
                </c:pt>
                <c:pt idx="171">
                  <c:v>8618.6413974369552</c:v>
                </c:pt>
                <c:pt idx="172">
                  <c:v>8742.7477252743975</c:v>
                </c:pt>
                <c:pt idx="173">
                  <c:v>8868.2353347785011</c:v>
                </c:pt>
                <c:pt idx="174">
                  <c:v>8995.4846993367228</c:v>
                </c:pt>
                <c:pt idx="175">
                  <c:v>9124.9134556103927</c:v>
                </c:pt>
                <c:pt idx="176">
                  <c:v>9256.9720876747233</c:v>
                </c:pt>
                <c:pt idx="177">
                  <c:v>9392.1392191379418</c:v>
                </c:pt>
                <c:pt idx="178">
                  <c:v>9530.9165575609695</c:v>
                </c:pt>
                <c:pt idx="179">
                  <c:v>9673.8235250281905</c:v>
                </c:pt>
                <c:pt idx="180">
                  <c:v>9821.3916000676309</c:v>
                </c:pt>
                <c:pt idx="181">
                  <c:v>9974.1583902027924</c:v>
                </c:pt>
                <c:pt idx="182">
                  <c:v>10132.661451891358</c:v>
                </c:pt>
                <c:pt idx="183">
                  <c:v>10297.431875849816</c:v>
                </c:pt>
                <c:pt idx="184">
                  <c:v>10468.987660901714</c:v>
                </c:pt>
                <c:pt idx="185">
                  <c:v>10647.826908409736</c:v>
                </c:pt>
                <c:pt idx="186">
                  <c:v>10834.420881743659</c:v>
                </c:pt>
                <c:pt idx="187">
                  <c:v>11029.206990611628</c:v>
                </c:pt>
                <c:pt idx="188">
                  <c:v>11232.581777815481</c:v>
                </c:pt>
                <c:pt idx="189">
                  <c:v>11444.894005344595</c:v>
                </c:pt>
                <c:pt idx="190">
                  <c:v>11666.437956865435</c:v>
                </c:pt>
                <c:pt idx="191">
                  <c:v>11897.447093681818</c:v>
                </c:pt>
                <c:pt idx="192">
                  <c:v>12138.088220138405</c:v>
                </c:pt>
                <c:pt idx="193">
                  <c:v>12388.456331135621</c:v>
                </c:pt>
                <c:pt idx="194">
                  <c:v>12648.570327742655</c:v>
                </c:pt>
                <c:pt idx="195">
                  <c:v>12918.369795569713</c:v>
                </c:pt>
                <c:pt idx="196">
                  <c:v>13197.7130432458</c:v>
                </c:pt>
                <c:pt idx="197">
                  <c:v>13486.376593668499</c:v>
                </c:pt>
                <c:pt idx="198">
                  <c:v>13784.056307315317</c:v>
                </c:pt>
                <c:pt idx="199">
                  <c:v>14090.370293670385</c:v>
                </c:pt>
                <c:pt idx="200">
                  <c:v>14404.863732887259</c:v>
                </c:pt>
                <c:pt idx="201">
                  <c:v>14727.015684855507</c:v>
                </c:pt>
                <c:pt idx="202">
                  <c:v>15056.247907247513</c:v>
                </c:pt>
                <c:pt idx="203">
                  <c:v>15391.935639151319</c:v>
                </c:pt>
                <c:pt idx="204">
                  <c:v>15733.42023478915</c:v>
                </c:pt>
                <c:pt idx="205">
                  <c:v>16080.023455823815</c:v>
                </c:pt>
                <c:pt idx="206">
                  <c:v>16431.06315499737</c:v>
                </c:pt>
                <c:pt idx="207">
                  <c:v>16785.870013098975</c:v>
                </c:pt>
                <c:pt idx="208">
                  <c:v>17143.804930546441</c:v>
                </c:pt>
                <c:pt idx="209">
                  <c:v>17504.276628984244</c:v>
                </c:pt>
                <c:pt idx="210">
                  <c:v>17866.758991291219</c:v>
                </c:pt>
                <c:pt idx="211">
                  <c:v>18230.807663034673</c:v>
                </c:pt>
                <c:pt idx="212">
                  <c:v>18596.075455836795</c:v>
                </c:pt>
                <c:pt idx="213">
                  <c:v>18962.326132588991</c:v>
                </c:pt>
                <c:pt idx="214">
                  <c:v>19329.44621334457</c:v>
                </c:pt>
                <c:pt idx="215">
                  <c:v>19697.45451477695</c:v>
                </c:pt>
                <c:pt idx="216">
                  <c:v>20066.509219840562</c:v>
                </c:pt>
                <c:pt idx="217">
                  <c:v>20436.912361616724</c:v>
                </c:pt>
                <c:pt idx="218">
                  <c:v>20809.111690186131</c:v>
                </c:pt>
                <c:pt idx="219">
                  <c:v>21183.699968294201</c:v>
                </c:pt>
                <c:pt idx="220">
                  <c:v>21561.411806251253</c:v>
                </c:pt>
                <c:pt idx="221">
                  <c:v>21943.118196099676</c:v>
                </c:pt>
                <c:pt idx="222">
                  <c:v>22329.818938359538</c:v>
                </c:pt>
                <c:pt idx="223">
                  <c:v>22722.633171973492</c:v>
                </c:pt>
                <c:pt idx="224">
                  <c:v>23122.788221096518</c:v>
                </c:pt>
                <c:pt idx="225">
                  <c:v>23531.606963825263</c:v>
                </c:pt>
                <c:pt idx="226">
                  <c:v>23950.49391117493</c:v>
                </c:pt>
                <c:pt idx="227">
                  <c:v>24380.920163175986</c:v>
                </c:pt>
                <c:pt idx="228">
                  <c:v>24824.407386358285</c:v>
                </c:pt>
                <c:pt idx="229">
                  <c:v>25282.510936213817</c:v>
                </c:pt>
                <c:pt idx="230">
                  <c:v>25756.802232002239</c:v>
                </c:pt>
                <c:pt idx="231">
                  <c:v>26248.850481330683</c:v>
                </c:pt>
                <c:pt idx="232">
                  <c:v>26760.20384944911</c:v>
                </c:pt>
                <c:pt idx="233">
                  <c:v>27292.37017365584</c:v>
                </c:pt>
                <c:pt idx="234">
                  <c:v>27846.797336554744</c:v>
                </c:pt>
                <c:pt idx="235">
                  <c:v>28424.853432669854</c:v>
                </c:pt>
                <c:pt idx="236">
                  <c:v>29027.806890324257</c:v>
                </c:pt>
                <c:pt idx="237">
                  <c:v>29656.806743758912</c:v>
                </c:pt>
                <c:pt idx="238">
                  <c:v>30312.863288116288</c:v>
                </c:pt>
                <c:pt idx="239">
                  <c:v>30996.82939096375</c:v>
                </c:pt>
                <c:pt idx="240">
                  <c:v>31709.3827771908</c:v>
                </c:pt>
                <c:pt idx="241">
                  <c:v>32451.009647890602</c:v>
                </c:pt>
                <c:pt idx="242">
                  <c:v>33221.990036435272</c:v>
                </c:pt>
                <c:pt idx="243">
                  <c:v>34022.385344137496</c:v>
                </c:pt>
                <c:pt idx="244">
                  <c:v>34852.028530868636</c:v>
                </c:pt>
                <c:pt idx="245">
                  <c:v>35710.517459366427</c:v>
                </c:pt>
                <c:pt idx="246">
                  <c:v>36597.211901719529</c:v>
                </c:pt>
                <c:pt idx="247">
                  <c:v>37511.234708220414</c:v>
                </c:pt>
                <c:pt idx="248">
                  <c:v>38451.477607853631</c:v>
                </c:pt>
                <c:pt idx="249">
                  <c:v>39416.61205184499</c:v>
                </c:pt>
                <c:pt idx="250">
                  <c:v>40405.105423526758</c:v>
                </c:pt>
                <c:pt idx="251">
                  <c:v>41415.242817380276</c:v>
                </c:pt>
                <c:pt idx="252">
                  <c:v>42445.154437794736</c:v>
                </c:pt>
                <c:pt idx="253">
                  <c:v>43492.848486871604</c:v>
                </c:pt>
                <c:pt idx="254">
                  <c:v>44556.249206667169</c:v>
                </c:pt>
                <c:pt idx="255">
                  <c:v>45633.239523929245</c:v>
                </c:pt>
                <c:pt idx="256">
                  <c:v>46721.707526800143</c:v>
                </c:pt>
                <c:pt idx="257">
                  <c:v>47819.595797337352</c:v>
                </c:pt>
                <c:pt idx="258">
                  <c:v>48924.952446129959</c:v>
                </c:pt>
                <c:pt idx="259">
                  <c:v>50035.982560250472</c:v>
                </c:pt>
                <c:pt idx="260">
                  <c:v>51151.098695554472</c:v>
                </c:pt>
                <c:pt idx="261">
                  <c:v>52268.969027472638</c:v>
                </c:pt>
                <c:pt idx="262">
                  <c:v>53388.561824548837</c:v>
                </c:pt>
                <c:pt idx="263">
                  <c:v>54509.185024082886</c:v>
                </c:pt>
                <c:pt idx="264">
                  <c:v>55630.519861744848</c:v>
                </c:pt>
                <c:pt idx="265">
                  <c:v>56752.647724423514</c:v>
                </c:pt>
                <c:pt idx="266">
                  <c:v>57876.06964171381</c:v>
                </c:pt>
                <c:pt idx="267">
                  <c:v>59001.718088304711</c:v>
                </c:pt>
                <c:pt idx="268">
                  <c:v>60130.961019099166</c:v>
                </c:pt>
                <c:pt idx="269">
                  <c:v>61265.598285044362</c:v>
                </c:pt>
                <c:pt idx="270">
                  <c:v>62407.850767602824</c:v>
                </c:pt>
                <c:pt idx="271">
                  <c:v>63560.342715160245</c:v>
                </c:pt>
                <c:pt idx="272">
                  <c:v>64726.077861832557</c:v>
                </c:pt>
                <c:pt idx="273">
                  <c:v>65908.409959127384</c:v>
                </c:pt>
                <c:pt idx="274">
                  <c:v>67111.00835873562</c:v>
                </c:pt>
                <c:pt idx="275">
                  <c:v>68337.819258399919</c:v>
                </c:pt>
                <c:pt idx="276">
                  <c:v>69593.023172192479</c:v>
                </c:pt>
                <c:pt idx="277">
                  <c:v>70880.98912222017</c:v>
                </c:pt>
                <c:pt idx="278">
                  <c:v>72206.225980993579</c:v>
                </c:pt>
                <c:pt idx="279">
                  <c:v>73573.331331543231</c:v>
                </c:pt>
                <c:pt idx="280">
                  <c:v>74986.938163214785</c:v>
                </c:pt>
                <c:pt idx="281">
                  <c:v>76451.659690302782</c:v>
                </c:pt>
                <c:pt idx="282">
                  <c:v>77972.032571627889</c:v>
                </c:pt>
                <c:pt idx="283">
                  <c:v>79552.458823275432</c:v>
                </c:pt>
                <c:pt idx="284">
                  <c:v>81197.146753868205</c:v>
                </c:pt>
                <c:pt idx="285">
                  <c:v>82910.051310597511</c:v>
                </c:pt>
                <c:pt idx="286">
                  <c:v>84694.814302610001</c:v>
                </c:pt>
                <c:pt idx="287">
                  <c:v>86554.705063545072</c:v>
                </c:pt>
                <c:pt idx="288">
                  <c:v>88492.562224036563</c:v>
                </c:pt>
                <c:pt idx="289">
                  <c:v>90510.737384569045</c:v>
                </c:pt>
                <c:pt idx="290">
                  <c:v>92611.04160560832</c:v>
                </c:pt>
                <c:pt idx="291">
                  <c:v>94794.695761179522</c:v>
                </c:pt>
                <c:pt idx="292">
                  <c:v>97062.285928859055</c:v>
                </c:pt>
                <c:pt idx="293">
                  <c:v>99413.725106910642</c:v>
                </c:pt>
                <c:pt idx="294">
                  <c:v>101848.22264974999</c:v>
                </c:pt>
                <c:pt idx="295">
                  <c:v>104364.26288587395</c:v>
                </c:pt>
                <c:pt idx="296">
                  <c:v>106959.59441584081</c:v>
                </c:pt>
                <c:pt idx="297">
                  <c:v>109631.23156848099</c:v>
                </c:pt>
                <c:pt idx="298">
                  <c:v>112375.46940744302</c:v>
                </c:pt>
                <c:pt idx="299">
                  <c:v>115187.9135145152</c:v>
                </c:pt>
                <c:pt idx="300">
                  <c:v>118063.52552058401</c:v>
                </c:pt>
                <c:pt idx="301">
                  <c:v>120996.68500384376</c:v>
                </c:pt>
                <c:pt idx="302">
                  <c:v>123981.26792873499</c:v>
                </c:pt>
                <c:pt idx="303">
                  <c:v>127010.74126708086</c:v>
                </c:pt>
                <c:pt idx="304">
                  <c:v>130078.27284332918</c:v>
                </c:pt>
                <c:pt idx="305">
                  <c:v>133176.85480649312</c:v>
                </c:pt>
                <c:pt idx="306">
                  <c:v>136299.43848853931</c:v>
                </c:pt>
                <c:pt idx="307">
                  <c:v>139439.07780496049</c:v>
                </c:pt>
                <c:pt idx="308">
                  <c:v>142589.07783305558</c:v>
                </c:pt>
                <c:pt idx="309">
                  <c:v>145743.14481018588</c:v>
                </c:pt>
                <c:pt idx="310">
                  <c:v>148895.533564521</c:v>
                </c:pt>
                <c:pt idx="311">
                  <c:v>152041.18834991098</c:v>
                </c:pt>
                <c:pt idx="312">
                  <c:v>155175.873215136</c:v>
                </c:pt>
                <c:pt idx="313">
                  <c:v>158296.2883897209</c:v>
                </c:pt>
                <c:pt idx="314">
                  <c:v>161400.16969076821</c:v>
                </c:pt>
                <c:pt idx="315">
                  <c:v>164486.36861003691</c:v>
                </c:pt>
                <c:pt idx="316">
                  <c:v>167554.91147902867</c:v>
                </c:pt>
                <c:pt idx="317">
                  <c:v>170607.0368775918</c:v>
                </c:pt>
                <c:pt idx="318">
                  <c:v>173645.21119392454</c:v>
                </c:pt>
                <c:pt idx="319">
                  <c:v>176673.12291172444</c:v>
                </c:pt>
                <c:pt idx="320">
                  <c:v>179695.65675444092</c:v>
                </c:pt>
                <c:pt idx="321">
                  <c:v>182718.84923107541</c:v>
                </c:pt>
                <c:pt idx="322">
                  <c:v>185749.82739108402</c:v>
                </c:pt>
                <c:pt idx="323">
                  <c:v>188796.73271009617</c:v>
                </c:pt>
                <c:pt idx="324">
                  <c:v>191868.63200809137</c:v>
                </c:pt>
                <c:pt idx="325">
                  <c:v>194975.41717165371</c:v>
                </c:pt>
                <c:pt idx="326">
                  <c:v>198127.69524243829</c:v>
                </c:pt>
                <c:pt idx="327">
                  <c:v>201336.67017842241</c:v>
                </c:pt>
                <c:pt idx="328">
                  <c:v>204614.01732604823</c:v>
                </c:pt>
                <c:pt idx="329">
                  <c:v>207971.75139046332</c:v>
                </c:pt>
                <c:pt idx="330">
                  <c:v>211422.08848363272</c:v>
                </c:pt>
                <c:pt idx="331">
                  <c:v>214977.30268632827</c:v>
                </c:pt>
                <c:pt idx="332">
                  <c:v>218649.57749384484</c:v>
                </c:pt>
                <c:pt idx="333">
                  <c:v>222450.85253448755</c:v>
                </c:pt>
                <c:pt idx="334">
                  <c:v>226392.66605630409</c:v>
                </c:pt>
                <c:pt idx="335">
                  <c:v>230485.99386796667</c:v>
                </c:pt>
                <c:pt idx="336">
                  <c:v>234741.08568653581</c:v>
                </c:pt>
                <c:pt idx="337">
                  <c:v>239167.30017700393</c:v>
                </c:pt>
                <c:pt idx="338">
                  <c:v>243772.94035221601</c:v>
                </c:pt>
                <c:pt idx="339">
                  <c:v>248565.09142111294</c:v>
                </c:pt>
                <c:pt idx="340">
                  <c:v>253549.46361062556</c:v>
                </c:pt>
                <c:pt idx="341">
                  <c:v>258730.24292275801</c:v>
                </c:pt>
                <c:pt idx="342">
                  <c:v>264109.95320250338</c:v>
                </c:pt>
                <c:pt idx="343">
                  <c:v>269689.33326130518</c:v>
                </c:pt>
                <c:pt idx="344">
                  <c:v>275467.23309950653</c:v>
                </c:pt>
                <c:pt idx="345">
                  <c:v>281440.53347184713</c:v>
                </c:pt>
                <c:pt idx="346">
                  <c:v>287604.09311254544</c:v>
                </c:pt>
                <c:pt idx="347">
                  <c:v>293950.72784954723</c:v>
                </c:pt>
                <c:pt idx="348">
                  <c:v>300471.22556037654</c:v>
                </c:pt>
                <c:pt idx="349">
                  <c:v>307154.40042732935</c:v>
                </c:pt>
                <c:pt idx="350">
                  <c:v>313987.18921725207</c:v>
                </c:pt>
                <c:pt idx="351">
                  <c:v>320954.79133217718</c:v>
                </c:pt>
                <c:pt idx="352">
                  <c:v>328040.85315903072</c:v>
                </c:pt>
                <c:pt idx="353">
                  <c:v>335227.69581702311</c:v>
                </c:pt>
                <c:pt idx="354">
                  <c:v>342496.58381039364</c:v>
                </c:pt>
                <c:pt idx="355">
                  <c:v>349828.03041523515</c:v>
                </c:pt>
                <c:pt idx="356">
                  <c:v>357202.13395607262</c:v>
                </c:pt>
                <c:pt idx="357">
                  <c:v>364598.93756947079</c:v>
                </c:pt>
                <c:pt idx="358">
                  <c:v>371998.80372301082</c:v>
                </c:pt>
                <c:pt idx="359">
                  <c:v>379382.79376826569</c:v>
                </c:pt>
                <c:pt idx="360">
                  <c:v>386733.04224848357</c:v>
                </c:pt>
                <c:pt idx="361">
                  <c:v>394033.11561933608</c:v>
                </c:pt>
                <c:pt idx="362">
                  <c:v>401268.34550015163</c:v>
                </c:pt>
                <c:pt idx="363">
                  <c:v>408426.1275362536</c:v>
                </c:pt>
                <c:pt idx="364">
                  <c:v>415496.17835971795</c:v>
                </c:pt>
                <c:pt idx="365">
                  <c:v>422470.74488719262</c:v>
                </c:pt>
                <c:pt idx="366">
                  <c:v>429344.76216205978</c:v>
                </c:pt>
                <c:pt idx="367">
                  <c:v>436115.95799155399</c:v>
                </c:pt>
                <c:pt idx="368">
                  <c:v>442784.90460419591</c:v>
                </c:pt>
                <c:pt idx="369">
                  <c:v>449355.01932918403</c:v>
                </c:pt>
                <c:pt idx="370">
                  <c:v>455832.51777237828</c:v>
                </c:pt>
                <c:pt idx="371">
                  <c:v>462226.32406143029</c:v>
                </c:pt>
                <c:pt idx="372">
                  <c:v>468547.94342025113</c:v>
                </c:pt>
                <c:pt idx="373">
                  <c:v>474811.30261115852</c:v>
                </c:pt>
                <c:pt idx="374">
                  <c:v>481032.5636841713</c:v>
                </c:pt>
                <c:pt idx="375">
                  <c:v>487229.91605454625</c:v>
                </c:pt>
                <c:pt idx="376">
                  <c:v>493423.35126629542</c:v>
                </c:pt>
                <c:pt idx="377">
                  <c:v>499634.42397456628</c:v>
                </c:pt>
                <c:pt idx="378">
                  <c:v>505886.00177852437</c:v>
                </c:pt>
                <c:pt idx="379">
                  <c:v>512202.00563961244</c:v>
                </c:pt>
                <c:pt idx="380">
                  <c:v>518607.14180005173</c:v>
                </c:pt>
                <c:pt idx="381">
                  <c:v>525126.62543420342</c:v>
                </c:pt>
                <c:pt idx="382">
                  <c:v>531785.89576925058</c:v>
                </c:pt>
                <c:pt idx="383">
                  <c:v>538610.32213682833</c:v>
                </c:pt>
                <c:pt idx="384">
                  <c:v>545624.90038610506</c:v>
                </c:pt>
                <c:pt idx="385">
                  <c:v>552853.93931131775</c:v>
                </c:pt>
                <c:pt idx="386">
                  <c:v>560320.73722093122</c:v>
                </c:pt>
                <c:pt idx="387">
                  <c:v>568047.2494878982</c:v>
                </c:pt>
                <c:pt idx="388">
                  <c:v>576053.7488461145</c:v>
                </c:pt>
                <c:pt idx="389">
                  <c:v>584358.48130113364</c:v>
                </c:pt>
                <c:pt idx="390">
                  <c:v>592977.3217564919</c:v>
                </c:pt>
                <c:pt idx="391">
                  <c:v>601923.43476296542</c:v>
                </c:pt>
                <c:pt idx="392">
                  <c:v>611206.94710898004</c:v>
                </c:pt>
                <c:pt idx="393">
                  <c:v>620834.64020966168</c:v>
                </c:pt>
                <c:pt idx="394">
                  <c:v>630809.67133597587</c:v>
                </c:pt>
                <c:pt idx="395">
                  <c:v>641131.33356594422</c:v>
                </c:pt>
                <c:pt idx="396">
                  <c:v>651794.86484804424</c:v>
                </c:pt>
                <c:pt idx="397">
                  <c:v>662791.31665732258</c:v>
                </c:pt>
                <c:pt idx="398">
                  <c:v>674107.49232159124</c:v>
                </c:pt>
                <c:pt idx="399">
                  <c:v>685725.96413870761</c:v>
                </c:pt>
                <c:pt idx="400">
                  <c:v>697625.17686034064</c:v>
                </c:pt>
                <c:pt idx="401">
                  <c:v>709779.64297836274</c:v>
                </c:pt>
                <c:pt idx="402">
                  <c:v>722160.23255137715</c:v>
                </c:pt>
                <c:pt idx="403">
                  <c:v>734734.5571295924</c:v>
                </c:pt>
                <c:pt idx="404">
                  <c:v>747467.44380205602</c:v>
                </c:pt>
                <c:pt idx="405">
                  <c:v>760321.49167237279</c:v>
                </c:pt>
                <c:pt idx="406">
                  <c:v>773257.69937716716</c:v>
                </c:pt>
                <c:pt idx="407">
                  <c:v>786236.14883110928</c:v>
                </c:pt>
                <c:pt idx="408">
                  <c:v>799216.72745623335</c:v>
                </c:pt>
                <c:pt idx="409">
                  <c:v>812159.86895963503</c:v>
                </c:pt>
                <c:pt idx="410">
                  <c:v>825027.29145186266</c:v>
                </c:pt>
                <c:pt idx="411">
                  <c:v>837782.71147682727</c:v>
                </c:pt>
                <c:pt idx="412">
                  <c:v>850392.51340261789</c:v>
                </c:pt>
                <c:pt idx="413">
                  <c:v>862826.35556300648</c:v>
                </c:pt>
                <c:pt idx="414">
                  <c:v>875057.69741548214</c:v>
                </c:pt>
                <c:pt idx="415">
                  <c:v>887064.23559017351</c:v>
                </c:pt>
                <c:pt idx="416">
                  <c:v>898828.24078446219</c:v>
                </c:pt>
                <c:pt idx="417">
                  <c:v>910336.79171910742</c:v>
                </c:pt>
                <c:pt idx="418">
                  <c:v>921581.90652028832</c:v>
                </c:pt>
                <c:pt idx="419">
                  <c:v>932560.57566149964</c:v>
                </c:pt>
                <c:pt idx="420">
                  <c:v>943274.70377262891</c:v>
                </c:pt>
                <c:pt idx="421">
                  <c:v>953730.97004900267</c:v>
                </c:pt>
                <c:pt idx="422">
                  <c:v>963940.61859124585</c:v>
                </c:pt>
                <c:pt idx="423">
                  <c:v>973919.19076900242</c:v>
                </c:pt>
                <c:pt idx="424">
                  <c:v>983686.21168183011</c:v>
                </c:pt>
                <c:pt idx="425">
                  <c:v>993264.84209203871</c:v>
                </c:pt>
                <c:pt idx="426">
                  <c:v>1002681.5059632408</c:v>
                </c:pt>
                <c:pt idx="427">
                  <c:v>1011965.5021087148</c:v>
                </c:pt>
                <c:pt idx="428">
                  <c:v>1021148.6065924788</c:v>
                </c:pt>
                <c:pt idx="429">
                  <c:v>1030264.6705823627</c:v>
                </c:pt>
                <c:pt idx="430">
                  <c:v>1039349.2164619721</c:v>
                </c:pt>
                <c:pt idx="431">
                  <c:v>1048439.0332808349</c:v>
                </c:pt>
                <c:pt idx="432">
                  <c:v>1057571.7711513899</c:v>
                </c:pt>
                <c:pt idx="433">
                  <c:v>1066785.5330590943</c:v>
                </c:pt>
                <c:pt idx="434">
                  <c:v>1076118.4617900564</c:v>
                </c:pt>
                <c:pt idx="435">
                  <c:v>1085608.319334524</c:v>
                </c:pt>
                <c:pt idx="436">
                  <c:v>1095292.0562145263</c:v>
                </c:pt>
                <c:pt idx="437">
                  <c:v>1105205.3687161251</c:v>
                </c:pt>
                <c:pt idx="438">
                  <c:v>1115382.2429729705</c:v>
                </c:pt>
                <c:pt idx="439">
                  <c:v>1125854.4862247056</c:v>
                </c:pt>
                <c:pt idx="440">
                  <c:v>1136651.2473199891</c:v>
                </c:pt>
                <c:pt idx="441">
                  <c:v>1147798.5305879375</c:v>
                </c:pt>
                <c:pt idx="442">
                  <c:v>1159318.709478881</c:v>
                </c:pt>
                <c:pt idx="443">
                  <c:v>1171230.0487656987</c:v>
                </c:pt>
                <c:pt idx="444">
                  <c:v>1183546.2464655088</c:v>
                </c:pt>
                <c:pt idx="445">
                  <c:v>1196276.0088296018</c:v>
                </c:pt>
                <c:pt idx="446">
                  <c:v>1209422.6735806295</c:v>
                </c:pt>
                <c:pt idx="447">
                  <c:v>1222983.8978641215</c:v>
                </c:pt>
                <c:pt idx="448">
                  <c:v>1236951.4279433698</c:v>
                </c:pt>
                <c:pt idx="449">
                  <c:v>1251310.9673382218</c:v>
                </c:pt>
                <c:pt idx="450">
                  <c:v>1266042.158761563</c:v>
                </c:pt>
                <c:pt idx="451">
                  <c:v>1281118.6927698816</c:v>
                </c:pt>
                <c:pt idx="452">
                  <c:v>1296508.552516266</c:v>
                </c:pt>
                <c:pt idx="453">
                  <c:v>1312174.3994615835</c:v>
                </c:pt>
                <c:pt idx="454">
                  <c:v>1328074.0995410259</c:v>
                </c:pt>
                <c:pt idx="455">
                  <c:v>1344161.3833680032</c:v>
                </c:pt>
                <c:pt idx="456">
                  <c:v>1360386.6279331041</c:v>
                </c:pt>
                <c:pt idx="457">
                  <c:v>1376697.7413251947</c:v>
                </c:pt>
                <c:pt idx="458">
                  <c:v>1393041.1266897097</c:v>
                </c:pt>
                <c:pt idx="459">
                  <c:v>1409362.697354093</c:v>
                </c:pt>
                <c:pt idx="460">
                  <c:v>1425608.9121415806</c:v>
                </c:pt>
                <c:pt idx="461">
                  <c:v>1441727.798614525</c:v>
                </c:pt>
                <c:pt idx="462">
                  <c:v>1457669.932462106</c:v>
                </c:pt>
                <c:pt idx="463">
                  <c:v>1473389.343455293</c:v>
                </c:pt>
                <c:pt idx="464">
                  <c:v>1488844.3221700734</c:v>
                </c:pt>
                <c:pt idx="465">
                  <c:v>1503998.1067353091</c:v>
                </c:pt>
                <c:pt idx="466">
                  <c:v>1518819.4348033725</c:v>
                </c:pt>
                <c:pt idx="467">
                  <c:v>1533282.9523228914</c:v>
                </c:pt>
                <c:pt idx="468">
                  <c:v>1547369.4770562104</c:v>
                </c:pt>
                <c:pt idx="469">
                  <c:v>1561066.120706371</c:v>
                </c:pt>
                <c:pt idx="470">
                  <c:v>1574366.2786475362</c:v>
                </c:pt>
                <c:pt idx="471">
                  <c:v>1587269.5003335532</c:v>
                </c:pt>
                <c:pt idx="472">
                  <c:v>1599781.2563454888</c:v>
                </c:pt>
                <c:pt idx="473">
                  <c:v>1611912.6196920739</c:v>
                </c:pt>
                <c:pt idx="474">
                  <c:v>1623679.8794548309</c:v>
                </c:pt>
                <c:pt idx="475">
                  <c:v>1635104.1043058678</c:v>
                </c:pt>
                <c:pt idx="476">
                  <c:v>1646210.6720072271</c:v>
                </c:pt>
                <c:pt idx="477">
                  <c:v>1657028.7789404788</c:v>
                </c:pt>
                <c:pt idx="478">
                  <c:v>1667590.9412348368</c:v>
                </c:pt>
                <c:pt idx="479">
                  <c:v>1677932.4963712036</c:v>
                </c:pt>
                <c:pt idx="480">
                  <c:v>1688091.1114252321</c:v>
                </c:pt>
                <c:pt idx="481">
                  <c:v>1698106.3015317493</c:v>
                </c:pt>
                <c:pt idx="482">
                  <c:v>1708018.9598310301</c:v>
                </c:pt>
                <c:pt idx="483">
                  <c:v>1717870.8981889407</c:v>
                </c:pt>
                <c:pt idx="484">
                  <c:v>1727704.3964355236</c:v>
                </c:pt>
                <c:pt idx="485">
                  <c:v>1737561.7567854314</c:v>
                </c:pt>
                <c:pt idx="486">
                  <c:v>1747484.8595161699</c:v>
                </c:pt>
                <c:pt idx="487">
                  <c:v>1757514.7158998675</c:v>
                </c:pt>
                <c:pt idx="488">
                  <c:v>1767691.0148129321</c:v>
                </c:pt>
                <c:pt idx="489">
                  <c:v>1778051.6603756603</c:v>
                </c:pt>
                <c:pt idx="490">
                  <c:v>1788632.2993781036</c:v>
                </c:pt>
                <c:pt idx="491">
                  <c:v>1799465.8390907324</c:v>
                </c:pt>
                <c:pt idx="492">
                  <c:v>1810581.9582797971</c:v>
                </c:pt>
                <c:pt idx="493">
                  <c:v>1822006.6167639894</c:v>
                </c:pt>
                <c:pt idx="494">
                  <c:v>1833761.5715477795</c:v>
                </c:pt>
                <c:pt idx="495">
                  <c:v>1845863.9103025282</c:v>
                </c:pt>
                <c:pt idx="496">
                  <c:v>1858325.615562211</c:v>
                </c:pt>
                <c:pt idx="497">
                  <c:v>1871153.1752520441</c:v>
                </c:pt>
                <c:pt idx="498">
                  <c:v>1884347.2568532559</c:v>
                </c:pt>
                <c:pt idx="499">
                  <c:v>1897902.4634002822</c:v>
                </c:pt>
                <c:pt idx="500">
                  <c:v>1911807.1893994086</c:v>
                </c:pt>
                <c:pt idx="501">
                  <c:v>1926043.5934828862</c:v>
                </c:pt>
                <c:pt idx="502">
                  <c:v>1940587.7020689561</c:v>
                </c:pt>
                <c:pt idx="503">
                  <c:v>1955409.6544758137</c:v>
                </c:pt>
                <c:pt idx="504">
                  <c:v>1970474.0949351322</c:v>
                </c:pt>
                <c:pt idx="505">
                  <c:v>1985740.7109853616</c:v>
                </c:pt>
                <c:pt idx="506">
                  <c:v>2001164.9111278458</c:v>
                </c:pt>
                <c:pt idx="507">
                  <c:v>2016698.6278268078</c:v>
                </c:pt>
                <c:pt idx="508">
                  <c:v>2032291.2254168189</c:v>
                </c:pt>
                <c:pt idx="509">
                  <c:v>2047890.4867549955</c:v>
                </c:pt>
                <c:pt idx="510">
                  <c:v>2063443.6479914503</c:v>
                </c:pt>
                <c:pt idx="511">
                  <c:v>2078898.4480142721</c:v>
                </c:pt>
                <c:pt idx="512">
                  <c:v>2094204.1582059702</c:v>
                </c:pt>
                <c:pt idx="513">
                  <c:v>2109312.5592146851</c:v>
                </c:pt>
                <c:pt idx="514">
                  <c:v>2124178.8344085775</c:v>
                </c:pt>
                <c:pt idx="515">
                  <c:v>2138762.3542933669</c:v>
                </c:pt>
                <c:pt idx="516">
                  <c:v>2153027.3320434117</c:v>
                </c:pt>
                <c:pt idx="517">
                  <c:v>2166943.3369476898</c:v>
                </c:pt>
                <c:pt idx="518">
                  <c:v>2180485.6594882859</c:v>
                </c:pt>
                <c:pt idx="519">
                  <c:v>2193635.52845192</c:v>
                </c:pt>
                <c:pt idx="520">
                  <c:v>2206380.1864903579</c:v>
                </c:pt>
                <c:pt idx="521">
                  <c:v>2218712.8355580186</c:v>
                </c:pt>
                <c:pt idx="522">
                  <c:v>2230632.4674484339</c:v>
                </c:pt>
                <c:pt idx="523">
                  <c:v>2242143.5971319689</c:v>
                </c:pt>
                <c:pt idx="524">
                  <c:v>2253255.9177849647</c:v>
                </c:pt>
                <c:pt idx="525">
                  <c:v>2263983.8964076205</c:v>
                </c:pt>
                <c:pt idx="526">
                  <c:v>2274346.3279344095</c:v>
                </c:pt>
                <c:pt idx="527">
                  <c:v>2284365.8639656347</c:v>
                </c:pt>
                <c:pt idx="528">
                  <c:v>2294068.529925744</c:v>
                </c:pt>
                <c:pt idx="529">
                  <c:v>2303483.2418096624</c:v>
                </c:pt>
                <c:pt idx="530">
                  <c:v>2312641.3309174194</c:v>
                </c:pt>
                <c:pt idx="531">
                  <c:v>2321576.0822729114</c:v>
                </c:pt>
                <c:pt idx="532">
                  <c:v>2330322.2899126853</c:v>
                </c:pt>
                <c:pt idx="533">
                  <c:v>2338915.8300184817</c:v>
                </c:pt>
                <c:pt idx="534">
                  <c:v>2347393.2510250518</c:v>
                </c:pt>
                <c:pt idx="535">
                  <c:v>2355791.3784084809</c:v>
                </c:pt>
                <c:pt idx="536">
                  <c:v>2364146.9308760045</c:v>
                </c:pt>
                <c:pt idx="537">
                  <c:v>2372496.1441468308</c:v>
                </c:pt>
                <c:pt idx="538">
                  <c:v>2380874.3984349645</c:v>
                </c:pt>
                <c:pt idx="539">
                  <c:v>2389315.8461108631</c:v>
                </c:pt>
                <c:pt idx="540">
                  <c:v>2397853.0368127022</c:v>
                </c:pt>
                <c:pt idx="541">
                  <c:v>2406516.5384746124</c:v>
                </c:pt>
                <c:pt idx="542">
                  <c:v>2415334.5543010277</c:v>
                </c:pt>
                <c:pt idx="543">
                  <c:v>2424332.5375902522</c:v>
                </c:pt>
                <c:pt idx="544">
                  <c:v>2433532.8084227396</c:v>
                </c:pt>
                <c:pt idx="545">
                  <c:v>2442954.1784830163</c:v>
                </c:pt>
                <c:pt idx="546">
                  <c:v>2452611.5925539443</c:v>
                </c:pt>
                <c:pt idx="547">
                  <c:v>2462515.7973572314</c:v>
                </c:pt>
                <c:pt idx="548">
                  <c:v>2472673.0502408203</c:v>
                </c:pt>
                <c:pt idx="549">
                  <c:v>2483084.8815438012</c:v>
                </c:pt>
                <c:pt idx="550">
                  <c:v>2493747.9251135043</c:v>
                </c:pt>
                <c:pt idx="551">
                  <c:v>2504653.8312352924</c:v>
                </c:pt>
                <c:pt idx="552">
                  <c:v>2515789.2750294069</c:v>
                </c:pt>
                <c:pt idx="553">
                  <c:v>2527136.0710983202</c:v>
                </c:pt>
                <c:pt idx="554">
                  <c:v>2538671.4018812077</c:v>
                </c:pt>
                <c:pt idx="555">
                  <c:v>2550368.162894852</c:v>
                </c:pt>
                <c:pt idx="556">
                  <c:v>2562195.4230201826</c:v>
                </c:pt>
                <c:pt idx="557">
                  <c:v>2574118.9925343189</c:v>
                </c:pt>
                <c:pt idx="558">
                  <c:v>2586102.0860686982</c:v>
                </c:pt>
                <c:pt idx="559">
                  <c:v>2598106.0625171536</c:v>
                </c:pt>
                <c:pt idx="560">
                  <c:v>2610091.219546881</c:v>
                </c:pt>
                <c:pt idx="561">
                  <c:v>2622017.6171574355</c:v>
                </c:pt>
                <c:pt idx="562">
                  <c:v>2633845.9029754763</c:v>
                </c:pt>
                <c:pt idx="563">
                  <c:v>2645538.1118274727</c:v>
                </c:pt>
                <c:pt idx="564">
                  <c:v>2657058.4136150251</c:v>
                </c:pt>
                <c:pt idx="565">
                  <c:v>2668373.7864956134</c:v>
                </c:pt>
                <c:pt idx="566">
                  <c:v>2679454.5965822181</c:v>
                </c:pt>
                <c:pt idx="567">
                  <c:v>2690275.0704558282</c:v>
                </c:pt>
                <c:pt idx="568">
                  <c:v>2700813.6523173708</c:v>
                </c:pt>
                <c:pt idx="569">
                  <c:v>2711053.2431629775</c:v>
                </c:pt>
                <c:pt idx="570">
                  <c:v>2720981.324556937</c:v>
                </c:pt>
                <c:pt idx="571">
                  <c:v>2730589.974078875</c:v>
                </c:pt>
                <c:pt idx="572">
                  <c:v>2739875.7831078316</c:v>
                </c:pt>
                <c:pt idx="573">
                  <c:v>2748839.6901507811</c:v>
                </c:pt>
                <c:pt idx="574">
                  <c:v>2757486.744400789</c:v>
                </c:pt>
                <c:pt idx="575">
                  <c:v>2765825.8146799766</c:v>
                </c:pt>
                <c:pt idx="576">
                  <c:v>2773869.2585095391</c:v>
                </c:pt>
                <c:pt idx="577">
                  <c:v>2781632.5649206433</c:v>
                </c:pt>
                <c:pt idx="578">
                  <c:v>2789133.9829633888</c:v>
                </c:pt>
                <c:pt idx="579">
                  <c:v>2796394.1458744835</c:v>
                </c:pt>
                <c:pt idx="580">
                  <c:v>2803435.6987024141</c:v>
                </c:pt>
                <c:pt idx="581">
                  <c:v>2810282.935012531</c:v>
                </c:pt>
                <c:pt idx="582">
                  <c:v>2816961.4462265875</c:v>
                </c:pt>
                <c:pt idx="583">
                  <c:v>2823497.7852853625</c:v>
                </c:pt>
                <c:pt idx="584">
                  <c:v>2829919.1447257861</c:v>
                </c:pt>
                <c:pt idx="585">
                  <c:v>2836253.0479789996</c:v>
                </c:pt>
                <c:pt idx="586">
                  <c:v>2842527.0517482315</c:v>
                </c:pt>
                <c:pt idx="587">
                  <c:v>2848768.4567267429</c:v>
                </c:pt>
                <c:pt idx="588">
                  <c:v>2855004.0236678766</c:v>
                </c:pt>
                <c:pt idx="589">
                  <c:v>2861259.6919160928</c:v>
                </c:pt>
                <c:pt idx="590">
                  <c:v>2867560.2979381559</c:v>
                </c:pt>
                <c:pt idx="591">
                  <c:v>2873929.2921402203</c:v>
                </c:pt>
                <c:pt idx="592">
                  <c:v>2880388.453294273</c:v>
                </c:pt>
                <c:pt idx="593">
                  <c:v>2886957.6011913335</c:v>
                </c:pt>
                <c:pt idx="594">
                  <c:v>2893654.3096403666</c:v>
                </c:pt>
                <c:pt idx="595">
                  <c:v>2900493.6235758853</c:v>
                </c:pt>
                <c:pt idx="596">
                  <c:v>2907487.7857392277</c:v>
                </c:pt>
                <c:pt idx="597">
                  <c:v>2914645.9800537056</c:v>
                </c:pt>
                <c:pt idx="598">
                  <c:v>2921974.1002986352</c:v>
                </c:pt>
                <c:pt idx="599">
                  <c:v>2929474.5538638853</c:v>
                </c:pt>
                <c:pt idx="600">
                  <c:v>2937146.1110915034</c:v>
                </c:pt>
                <c:pt idx="601">
                  <c:v>2944983.8108469681</c:v>
                </c:pt>
                <c:pt idx="602">
                  <c:v>2952978.9323944123</c:v>
                </c:pt>
                <c:pt idx="603">
                  <c:v>2961119.0423008427</c:v>
                </c:pt>
                <c:pt idx="604">
                  <c:v>2969388.1229431182</c:v>
                </c:pt>
                <c:pt idx="605">
                  <c:v>2977766.7862858702</c:v>
                </c:pt>
                <c:pt idx="606">
                  <c:v>2986232.5730636371</c:v>
                </c:pt>
                <c:pt idx="607">
                  <c:v>2994760.3335367721</c:v>
                </c:pt>
                <c:pt idx="608">
                  <c:v>3003322.6818638532</c:v>
                </c:pt>
                <c:pt idx="609">
                  <c:v>3011890.5121526434</c:v>
                </c:pt>
                <c:pt idx="610">
                  <c:v>3020433.5607402362</c:v>
                </c:pt>
                <c:pt idx="611">
                  <c:v>3028920.9965131101</c:v>
                </c:pt>
                <c:pt idx="612">
                  <c:v>3037322.0193551853</c:v>
                </c:pt>
                <c:pt idx="613">
                  <c:v>3045606.446266335</c:v>
                </c:pt>
                <c:pt idx="614">
                  <c:v>3053745.2653785609</c:v>
                </c:pt>
                <c:pt idx="615">
                  <c:v>3061711.1399522196</c:v>
                </c:pt>
                <c:pt idx="616">
                  <c:v>3069478.8472953341</c:v>
                </c:pt>
                <c:pt idx="617">
                  <c:v>3077025.6411655368</c:v>
                </c:pt>
                <c:pt idx="618">
                  <c:v>3084331.5302831386</c:v>
                </c:pt>
                <c:pt idx="619">
                  <c:v>3091379.4697834705</c:v>
                </c:pt>
                <c:pt idx="620">
                  <c:v>3098155.4664613595</c:v>
                </c:pt>
                <c:pt idx="621">
                  <c:v>3104648.6022502519</c:v>
                </c:pt>
                <c:pt idx="622">
                  <c:v>3110850.9833392794</c:v>
                </c:pt>
                <c:pt idx="623">
                  <c:v>3116757.6245454834</c:v>
                </c:pt>
                <c:pt idx="624">
                  <c:v>3122366.2799842013</c:v>
                </c:pt>
                <c:pt idx="625">
                  <c:v>3127677.2317444002</c:v>
                </c:pt>
                <c:pt idx="626">
                  <c:v>3132693.0482576694</c:v>
                </c:pt>
                <c:pt idx="627">
                  <c:v>3137418.3234659689</c:v>
                </c:pt>
                <c:pt idx="628">
                  <c:v>3141859.4068797044</c:v>
                </c:pt>
                <c:pt idx="629">
                  <c:v>3146024.1333134305</c:v>
                </c:pt>
                <c:pt idx="630">
                  <c:v>3149921.5596218407</c:v>
                </c:pt>
                <c:pt idx="631">
                  <c:v>3153561.714246809</c:v>
                </c:pt>
                <c:pt idx="632">
                  <c:v>3156955.3639181936</c:v>
                </c:pt>
                <c:pt idx="633">
                  <c:v>3160113.8004940292</c:v>
                </c:pt>
                <c:pt idx="634">
                  <c:v>3163048.6497243159</c:v>
                </c:pt>
                <c:pt idx="635">
                  <c:v>3165771.7027010182</c:v>
                </c:pt>
                <c:pt idx="636">
                  <c:v>3168294.7699230304</c:v>
                </c:pt>
                <c:pt idx="637">
                  <c:v>3170629.5572537305</c:v>
                </c:pt>
                <c:pt idx="638">
                  <c:v>3172787.562566577</c:v>
                </c:pt>
                <c:pt idx="639">
                  <c:v>3174779.9915416129</c:v>
                </c:pt>
                <c:pt idx="640">
                  <c:v>3176617.6908706478</c:v>
                </c:pt>
                <c:pt idx="641">
                  <c:v>3178311.0970284641</c:v>
                </c:pt>
                <c:pt idx="642">
                  <c:v>3179870.198749878</c:v>
                </c:pt>
                <c:pt idx="643">
                  <c:v>3181304.5113977827</c:v>
                </c:pt>
                <c:pt idx="644">
                  <c:v>3182623.0614980529</c:v>
                </c:pt>
                <c:pt idx="645">
                  <c:v>3183834.3798384774</c:v>
                </c:pt>
                <c:pt idx="646">
                  <c:v>3184946.5016687214</c:v>
                </c:pt>
                <c:pt idx="647">
                  <c:v>3185966.9726869869</c:v>
                </c:pt>
                <c:pt idx="648">
                  <c:v>3186902.8596493467</c:v>
                </c:pt>
                <c:pt idx="649">
                  <c:v>3187760.764584206</c:v>
                </c:pt>
                <c:pt idx="650">
                  <c:v>3188546.8417332638</c:v>
                </c:pt>
                <c:pt idx="651">
                  <c:v>3189266.8164692861</c:v>
                </c:pt>
                <c:pt idx="652">
                  <c:v>3189926.0055585392</c:v>
                </c:pt>
                <c:pt idx="653">
                  <c:v>3190529.3382413215</c:v>
                </c:pt>
                <c:pt idx="654">
                  <c:v>3191081.3776975158</c:v>
                </c:pt>
                <c:pt idx="655">
                  <c:v>3191586.3425460635</c:v>
                </c:pt>
                <c:pt idx="656">
                  <c:v>3192048.1280981996</c:v>
                </c:pt>
                <c:pt idx="657">
                  <c:v>3192470.32714519</c:v>
                </c:pt>
                <c:pt idx="658">
                  <c:v>3192856.250113002</c:v>
                </c:pt>
                <c:pt idx="659">
                  <c:v>3193208.9444598574</c:v>
                </c:pt>
                <c:pt idx="660">
                  <c:v>3193531.2132288623</c:v>
                </c:pt>
                <c:pt idx="661">
                  <c:v>3193825.6326977927</c:v>
                </c:pt>
                <c:pt idx="662">
                  <c:v>3194094.5690925573</c:v>
                </c:pt>
                <c:pt idx="663">
                  <c:v>3194340.1943504801</c:v>
                </c:pt>
                <c:pt idx="664">
                  <c:v>3194564.5009352546</c:v>
                </c:pt>
                <c:pt idx="665">
                  <c:v>3194769.3157176166</c:v>
                </c:pt>
                <c:pt idx="666">
                  <c:v>3194956.3129452299</c:v>
                </c:pt>
                <c:pt idx="667">
                  <c:v>3195127.026332255</c:v>
                </c:pt>
                <c:pt idx="668">
                  <c:v>3195282.8603041545</c:v>
                </c:pt>
                <c:pt idx="669">
                  <c:v>3195425.1004367494</c:v>
                </c:pt>
                <c:pt idx="670">
                  <c:v>3195554.9231306631</c:v>
                </c:pt>
                <c:pt idx="671">
                  <c:v>3195673.404563434</c:v>
                </c:pt>
                <c:pt idx="672">
                  <c:v>3195781.5289618387</c:v>
                </c:pt>
                <c:pt idx="673">
                  <c:v>3195880.1962365895</c:v>
                </c:pt>
                <c:pt idx="674">
                  <c:v>3195970.2290207301</c:v>
                </c:pt>
                <c:pt idx="675">
                  <c:v>3196052.3791517993</c:v>
                </c:pt>
                <c:pt idx="676">
                  <c:v>3196127.3336363072</c:v>
                </c:pt>
                <c:pt idx="677">
                  <c:v>3196195.720133408</c:v>
                </c:pt>
                <c:pt idx="678">
                  <c:v>3196258.1119927806</c:v>
                </c:pt>
                <c:pt idx="679">
                  <c:v>3196315.0328798834</c:v>
                </c:pt>
                <c:pt idx="680">
                  <c:v>3196366.9610197973</c:v>
                </c:pt>
                <c:pt idx="681">
                  <c:v>3196414.3330889829</c:v>
                </c:pt>
                <c:pt idx="682">
                  <c:v>3196457.5477823778</c:v>
                </c:pt>
                <c:pt idx="683">
                  <c:v>3196496.96908146</c:v>
                </c:pt>
                <c:pt idx="684">
                  <c:v>3196532.9292471008</c:v>
                </c:pt>
                <c:pt idx="685">
                  <c:v>3196565.7315593748</c:v>
                </c:pt>
                <c:pt idx="686">
                  <c:v>3196595.6528248787</c:v>
                </c:pt>
                <c:pt idx="687">
                  <c:v>3196622.9456705744</c:v>
                </c:pt>
                <c:pt idx="688">
                  <c:v>3196647.84064175</c:v>
                </c:pt>
                <c:pt idx="689">
                  <c:v>3196670.5481203422</c:v>
                </c:pt>
                <c:pt idx="690">
                  <c:v>3196691.2600785946</c:v>
                </c:pt>
                <c:pt idx="691">
                  <c:v>3196710.1516818441</c:v>
                </c:pt>
                <c:pt idx="692">
                  <c:v>3196727.3827531529</c:v>
                </c:pt>
                <c:pt idx="693">
                  <c:v>3196743.0991114406</c:v>
                </c:pt>
                <c:pt idx="694">
                  <c:v>3196757.4337938614</c:v>
                </c:pt>
                <c:pt idx="695">
                  <c:v>3196770.5081722788</c:v>
                </c:pt>
                <c:pt idx="696">
                  <c:v>3196782.4329728722</c:v>
                </c:pt>
                <c:pt idx="697">
                  <c:v>3196793.3092071759</c:v>
                </c:pt>
                <c:pt idx="698">
                  <c:v>3196803.2290221481</c:v>
                </c:pt>
                <c:pt idx="699">
                  <c:v>3196812.2764762323</c:v>
                </c:pt>
                <c:pt idx="700">
                  <c:v>3196820.5282477993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F8-4CDB-86E0-282D35DFD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70848"/>
        <c:axId val="297871240"/>
      </c:scatterChart>
      <c:valAx>
        <c:axId val="2978708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1240"/>
        <c:crosses val="autoZero"/>
        <c:crossBetween val="midCat"/>
        <c:majorUnit val="1000"/>
      </c:valAx>
      <c:valAx>
        <c:axId val="297871240"/>
        <c:scaling>
          <c:logBase val="10"/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Dynamic Modulus (psi)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0848"/>
        <c:crossesAt val="1.0000000000000006E-10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401827175449227"/>
          <c:y val="0.5747645997375328"/>
          <c:w val="0.21303295421405657"/>
          <c:h val="0.213578576115485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Relaxation Modulus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Dynamic_Modulus_Calc!$D$50</c:f>
              <c:strCache>
                <c:ptCount val="1"/>
                <c:pt idx="0">
                  <c:v>Sigmoidal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Dynamic_Modulus_Calc!$E$52:$E$752</c:f>
              <c:numCache>
                <c:formatCode>0.00E+00</c:formatCode>
                <c:ptCount val="7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88-4873-A33A-54551D93592F}"/>
            </c:ext>
          </c:extLst>
        </c:ser>
        <c:ser>
          <c:idx val="1"/>
          <c:order val="1"/>
          <c:tx>
            <c:strRef>
              <c:f>Dynamic_Modulus_Calc!$G$50</c:f>
              <c:strCache>
                <c:ptCount val="1"/>
                <c:pt idx="0">
                  <c:v>Prony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Dynamic_Modulus_Calc!$H$52:$H$752</c:f>
              <c:numCache>
                <c:formatCode>0.00E+00</c:formatCode>
                <c:ptCount val="7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88-4873-A33A-54551D935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70848"/>
        <c:axId val="297871240"/>
      </c:scatterChart>
      <c:valAx>
        <c:axId val="2978708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1240"/>
        <c:crosses val="autoZero"/>
        <c:crossBetween val="midCat"/>
        <c:majorUnit val="1000"/>
      </c:valAx>
      <c:valAx>
        <c:axId val="297871240"/>
        <c:scaling>
          <c:logBase val="10"/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Relaxation Modulus (psi)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0848"/>
        <c:crossesAt val="1.0000000000000006E-10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8974482356372124"/>
          <c:y val="0.16851459973753283"/>
          <c:w val="0.21303295421405657"/>
          <c:h val="0.213578576115485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Dynamic Modulus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Dynamic_Modulus_Calc!$O$49</c:f>
              <c:strCache>
                <c:ptCount val="1"/>
                <c:pt idx="0">
                  <c:v>Sigmoidal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Dynamic_Modulus_Calc!$P$52:$P$752</c:f>
              <c:numCache>
                <c:formatCode>0.00E+00</c:formatCode>
                <c:ptCount val="7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AC-409E-9BE7-B15886C1AA1B}"/>
            </c:ext>
          </c:extLst>
        </c:ser>
        <c:ser>
          <c:idx val="1"/>
          <c:order val="1"/>
          <c:tx>
            <c:strRef>
              <c:f>Dynamic_Modulus_Calc!$R$49</c:f>
              <c:strCache>
                <c:ptCount val="1"/>
                <c:pt idx="0">
                  <c:v>Prony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Dynamic_Modulus_Calc!$W$52:$W$752</c:f>
              <c:numCache>
                <c:formatCode>0.00E+00</c:formatCode>
                <c:ptCount val="7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AC-409E-9BE7-B15886C1A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70848"/>
        <c:axId val="297871240"/>
      </c:scatterChart>
      <c:valAx>
        <c:axId val="2978708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1240"/>
        <c:crosses val="autoZero"/>
        <c:crossBetween val="midCat"/>
        <c:majorUnit val="1000"/>
      </c:valAx>
      <c:valAx>
        <c:axId val="297871240"/>
        <c:scaling>
          <c:logBase val="10"/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Dynamic Modulus (psi)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0848"/>
        <c:crossesAt val="1.0000000000000006E-10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401827175449227"/>
          <c:y val="0.5747645997375328"/>
          <c:w val="0.21303295421405657"/>
          <c:h val="0.213578576115485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Relaxation Modulus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Dynamic_Modulus_Calc!$D$50</c:f>
              <c:strCache>
                <c:ptCount val="1"/>
                <c:pt idx="0">
                  <c:v>Sigmoidal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Dynamic_Modulus_Calc!$F$52:$F$752</c:f>
              <c:numCache>
                <c:formatCode>0.00E+00</c:formatCode>
                <c:ptCount val="7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1-4EEE-B236-2883FBF4AB84}"/>
            </c:ext>
          </c:extLst>
        </c:ser>
        <c:ser>
          <c:idx val="1"/>
          <c:order val="1"/>
          <c:tx>
            <c:strRef>
              <c:f>Dynamic_Modulus_Calc!$G$50</c:f>
              <c:strCache>
                <c:ptCount val="1"/>
                <c:pt idx="0">
                  <c:v>Prony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Dynamic_Modulus_Calc!$I$52:$I$752</c:f>
              <c:numCache>
                <c:formatCode>0.00E+00</c:formatCode>
                <c:ptCount val="7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71-4EEE-B236-2883FBF4A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70848"/>
        <c:axId val="297871240"/>
      </c:scatterChart>
      <c:valAx>
        <c:axId val="2978708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1240"/>
        <c:crosses val="autoZero"/>
        <c:crossBetween val="midCat"/>
        <c:majorUnit val="1000"/>
      </c:valAx>
      <c:valAx>
        <c:axId val="297871240"/>
        <c:scaling>
          <c:logBase val="10"/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Relaxation Modulus (psi)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0848"/>
        <c:crossesAt val="1.0000000000000006E-10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8974482356372124"/>
          <c:y val="0.16851459973753283"/>
          <c:w val="0.21303295421405657"/>
          <c:h val="0.213578576115485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Dynamic Modulus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Dynamic_Modulus_Calc!$O$49</c:f>
              <c:strCache>
                <c:ptCount val="1"/>
                <c:pt idx="0">
                  <c:v>Sigmoidal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Dynamic_Modulus_Calc!$Q$52:$Q$752</c:f>
              <c:numCache>
                <c:formatCode>0.00E+00</c:formatCode>
                <c:ptCount val="7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AD-443A-A25B-EF6D09F03957}"/>
            </c:ext>
          </c:extLst>
        </c:ser>
        <c:ser>
          <c:idx val="1"/>
          <c:order val="1"/>
          <c:tx>
            <c:strRef>
              <c:f>Dynamic_Modulus_Calc!$R$49</c:f>
              <c:strCache>
                <c:ptCount val="1"/>
                <c:pt idx="0">
                  <c:v>Prony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Dynamic_Modulus_Calc!$C$52:$C$752</c:f>
              <c:numCache>
                <c:formatCode>0.00E+00</c:formatCode>
                <c:ptCount val="701"/>
                <c:pt idx="0">
                  <c:v>9.9999999999999995E-8</c:v>
                </c:pt>
                <c:pt idx="1">
                  <c:v>1.0471285480508987E-7</c:v>
                </c:pt>
                <c:pt idx="2">
                  <c:v>1.09647819614318E-7</c:v>
                </c:pt>
                <c:pt idx="3">
                  <c:v>1.1481536214968772E-7</c:v>
                </c:pt>
                <c:pt idx="4">
                  <c:v>1.2022644346174069E-7</c:v>
                </c:pt>
                <c:pt idx="5">
                  <c:v>1.2589254117941585E-7</c:v>
                </c:pt>
                <c:pt idx="6">
                  <c:v>1.3182567385563977E-7</c:v>
                </c:pt>
                <c:pt idx="7">
                  <c:v>1.3803842646028722E-7</c:v>
                </c:pt>
                <c:pt idx="8">
                  <c:v>1.4454397707459141E-7</c:v>
                </c:pt>
                <c:pt idx="9">
                  <c:v>1.513561248436194E-7</c:v>
                </c:pt>
                <c:pt idx="10">
                  <c:v>1.5848931924610953E-7</c:v>
                </c:pt>
                <c:pt idx="11">
                  <c:v>1.6595869074375414E-7</c:v>
                </c:pt>
                <c:pt idx="12">
                  <c:v>1.7378008287493518E-7</c:v>
                </c:pt>
                <c:pt idx="13">
                  <c:v>1.8197008586099586E-7</c:v>
                </c:pt>
                <c:pt idx="14">
                  <c:v>1.905460717963217E-7</c:v>
                </c:pt>
                <c:pt idx="15">
                  <c:v>1.9952623149688477E-7</c:v>
                </c:pt>
                <c:pt idx="16">
                  <c:v>2.089296130854002E-7</c:v>
                </c:pt>
                <c:pt idx="17">
                  <c:v>2.1877616239495132E-7</c:v>
                </c:pt>
                <c:pt idx="18">
                  <c:v>2.2908676527677311E-7</c:v>
                </c:pt>
                <c:pt idx="19">
                  <c:v>2.3988329190194416E-7</c:v>
                </c:pt>
                <c:pt idx="20">
                  <c:v>2.5118864315095288E-7</c:v>
                </c:pt>
                <c:pt idx="21">
                  <c:v>2.6302679918953233E-7</c:v>
                </c:pt>
                <c:pt idx="22">
                  <c:v>2.7542287033381039E-7</c:v>
                </c:pt>
                <c:pt idx="23">
                  <c:v>2.8840315031265353E-7</c:v>
                </c:pt>
                <c:pt idx="24">
                  <c:v>3.0199517204019414E-7</c:v>
                </c:pt>
                <c:pt idx="25">
                  <c:v>3.162277660168295E-7</c:v>
                </c:pt>
                <c:pt idx="26">
                  <c:v>3.3113112148258222E-7</c:v>
                </c:pt>
                <c:pt idx="27">
                  <c:v>3.4673685045252222E-7</c:v>
                </c:pt>
                <c:pt idx="28">
                  <c:v>3.6307805477009083E-7</c:v>
                </c:pt>
                <c:pt idx="29">
                  <c:v>3.8018939632055009E-7</c:v>
                </c:pt>
                <c:pt idx="30">
                  <c:v>3.981071705534848E-7</c:v>
                </c:pt>
                <c:pt idx="31">
                  <c:v>4.1686938347032228E-7</c:v>
                </c:pt>
                <c:pt idx="32">
                  <c:v>4.3651583224015138E-7</c:v>
                </c:pt>
                <c:pt idx="33">
                  <c:v>4.570881896148597E-7</c:v>
                </c:pt>
                <c:pt idx="34">
                  <c:v>4.7863009232262136E-7</c:v>
                </c:pt>
                <c:pt idx="35">
                  <c:v>5.0118723362725439E-7</c:v>
                </c:pt>
                <c:pt idx="36">
                  <c:v>5.248074602497538E-7</c:v>
                </c:pt>
                <c:pt idx="37">
                  <c:v>5.4954087385760373E-7</c:v>
                </c:pt>
                <c:pt idx="38">
                  <c:v>5.7543993733713495E-7</c:v>
                </c:pt>
                <c:pt idx="39">
                  <c:v>6.025595860743336E-7</c:v>
                </c:pt>
                <c:pt idx="40">
                  <c:v>6.3095734448016787E-7</c:v>
                </c:pt>
                <c:pt idx="41">
                  <c:v>6.6069344800756806E-7</c:v>
                </c:pt>
                <c:pt idx="42">
                  <c:v>6.9183097091890718E-7</c:v>
                </c:pt>
                <c:pt idx="43">
                  <c:v>7.2443596007495787E-7</c:v>
                </c:pt>
                <c:pt idx="44">
                  <c:v>7.5857757502915E-7</c:v>
                </c:pt>
                <c:pt idx="45">
                  <c:v>7.9432823472424588E-7</c:v>
                </c:pt>
                <c:pt idx="46">
                  <c:v>8.3176377110263212E-7</c:v>
                </c:pt>
                <c:pt idx="47">
                  <c:v>8.709635899560398E-7</c:v>
                </c:pt>
                <c:pt idx="48">
                  <c:v>9.1201083935586517E-7</c:v>
                </c:pt>
                <c:pt idx="49">
                  <c:v>9.5499258602138924E-7</c:v>
                </c:pt>
                <c:pt idx="50">
                  <c:v>9.9999999999994892E-7</c:v>
                </c:pt>
                <c:pt idx="51">
                  <c:v>1.0471285480508458E-6</c:v>
                </c:pt>
                <c:pt idx="52">
                  <c:v>1.0964781961431267E-6</c:v>
                </c:pt>
                <c:pt idx="53">
                  <c:v>1.1481536214968215E-6</c:v>
                </c:pt>
                <c:pt idx="54">
                  <c:v>1.2022644346173486E-6</c:v>
                </c:pt>
                <c:pt idx="55">
                  <c:v>1.2589254117940973E-6</c:v>
                </c:pt>
                <c:pt idx="56">
                  <c:v>1.3182567385563337E-6</c:v>
                </c:pt>
                <c:pt idx="57">
                  <c:v>1.3803842646028052E-6</c:v>
                </c:pt>
                <c:pt idx="58">
                  <c:v>1.4454397707458437E-6</c:v>
                </c:pt>
                <c:pt idx="59">
                  <c:v>1.5135612484361176E-6</c:v>
                </c:pt>
                <c:pt idx="60">
                  <c:v>1.5848931924610182E-6</c:v>
                </c:pt>
                <c:pt idx="61">
                  <c:v>1.6595869074374578E-6</c:v>
                </c:pt>
                <c:pt idx="62">
                  <c:v>1.7378008287492675E-6</c:v>
                </c:pt>
                <c:pt idx="63">
                  <c:v>1.8197008586098699E-6</c:v>
                </c:pt>
                <c:pt idx="64">
                  <c:v>1.9054607179631244E-6</c:v>
                </c:pt>
                <c:pt idx="65">
                  <c:v>1.9952623149687508E-6</c:v>
                </c:pt>
                <c:pt idx="66">
                  <c:v>2.0892961308539005E-6</c:v>
                </c:pt>
                <c:pt idx="67">
                  <c:v>2.1877616239494065E-6</c:v>
                </c:pt>
                <c:pt idx="68">
                  <c:v>2.2908676527676159E-6</c:v>
                </c:pt>
                <c:pt idx="69">
                  <c:v>2.3988329190193254E-6</c:v>
                </c:pt>
                <c:pt idx="70">
                  <c:v>2.5118864315094065E-6</c:v>
                </c:pt>
                <c:pt idx="71">
                  <c:v>2.6302679918951953E-6</c:v>
                </c:pt>
                <c:pt idx="72">
                  <c:v>2.7542287033379702E-6</c:v>
                </c:pt>
                <c:pt idx="73">
                  <c:v>2.8840315031263945E-6</c:v>
                </c:pt>
                <c:pt idx="74">
                  <c:v>3.0199517204017944E-6</c:v>
                </c:pt>
                <c:pt idx="75">
                  <c:v>3.1622776601681408E-6</c:v>
                </c:pt>
                <c:pt idx="76">
                  <c:v>3.3113112148256608E-6</c:v>
                </c:pt>
                <c:pt idx="77">
                  <c:v>3.4673685045250475E-6</c:v>
                </c:pt>
                <c:pt idx="78">
                  <c:v>3.6307805477007312E-6</c:v>
                </c:pt>
                <c:pt idx="79">
                  <c:v>3.8018939632053159E-6</c:v>
                </c:pt>
                <c:pt idx="80">
                  <c:v>3.981071705534654E-6</c:v>
                </c:pt>
                <c:pt idx="81">
                  <c:v>4.1686938347030203E-6</c:v>
                </c:pt>
                <c:pt idx="82">
                  <c:v>4.3651583224013017E-6</c:v>
                </c:pt>
                <c:pt idx="83">
                  <c:v>4.570881896148374E-6</c:v>
                </c:pt>
                <c:pt idx="84">
                  <c:v>4.7863009232259811E-6</c:v>
                </c:pt>
                <c:pt idx="85">
                  <c:v>5.0118723362722998E-6</c:v>
                </c:pt>
                <c:pt idx="86">
                  <c:v>5.2480746024972733E-6</c:v>
                </c:pt>
                <c:pt idx="87">
                  <c:v>5.4954087385757699E-6</c:v>
                </c:pt>
                <c:pt idx="88">
                  <c:v>5.7543993733710704E-6</c:v>
                </c:pt>
                <c:pt idx="89">
                  <c:v>6.0255958607430437E-6</c:v>
                </c:pt>
                <c:pt idx="90">
                  <c:v>6.3095734448013714E-6</c:v>
                </c:pt>
                <c:pt idx="91">
                  <c:v>6.6069344800753596E-6</c:v>
                </c:pt>
                <c:pt idx="92">
                  <c:v>6.9183097091887349E-6</c:v>
                </c:pt>
                <c:pt idx="93">
                  <c:v>7.2443596007492265E-6</c:v>
                </c:pt>
                <c:pt idx="94">
                  <c:v>7.5857757502911301E-6</c:v>
                </c:pt>
                <c:pt idx="95">
                  <c:v>7.9432823472420594E-6</c:v>
                </c:pt>
                <c:pt idx="96">
                  <c:v>8.3176377110259166E-6</c:v>
                </c:pt>
                <c:pt idx="97">
                  <c:v>8.7096358995599738E-6</c:v>
                </c:pt>
                <c:pt idx="98">
                  <c:v>9.120108393558207E-6</c:v>
                </c:pt>
                <c:pt idx="99">
                  <c:v>9.5499258602134269E-6</c:v>
                </c:pt>
                <c:pt idx="100">
                  <c:v>9.999999999999003E-6</c:v>
                </c:pt>
                <c:pt idx="101">
                  <c:v>1.047128548050795E-5</c:v>
                </c:pt>
                <c:pt idx="102">
                  <c:v>1.0964781961430734E-5</c:v>
                </c:pt>
                <c:pt idx="103">
                  <c:v>1.1481536214967657E-5</c:v>
                </c:pt>
                <c:pt idx="104">
                  <c:v>1.202264434617288E-5</c:v>
                </c:pt>
                <c:pt idx="105">
                  <c:v>1.258925411794036E-5</c:v>
                </c:pt>
                <c:pt idx="106">
                  <c:v>1.3182567385562695E-5</c:v>
                </c:pt>
                <c:pt idx="107">
                  <c:v>1.380384264602738E-5</c:v>
                </c:pt>
                <c:pt idx="108">
                  <c:v>1.4454397707457737E-5</c:v>
                </c:pt>
                <c:pt idx="109">
                  <c:v>1.5135612484360438E-5</c:v>
                </c:pt>
                <c:pt idx="110">
                  <c:v>1.5848931924609413E-5</c:v>
                </c:pt>
                <c:pt idx="111">
                  <c:v>1.6595869074373769E-5</c:v>
                </c:pt>
                <c:pt idx="112">
                  <c:v>1.7378008287491829E-5</c:v>
                </c:pt>
                <c:pt idx="113">
                  <c:v>1.8197008586097781E-5</c:v>
                </c:pt>
                <c:pt idx="114">
                  <c:v>1.9054607179630319E-5</c:v>
                </c:pt>
                <c:pt idx="115">
                  <c:v>1.9952623149686537E-5</c:v>
                </c:pt>
                <c:pt idx="116">
                  <c:v>2.089296130853799E-5</c:v>
                </c:pt>
                <c:pt idx="117">
                  <c:v>2.1877616239493002E-5</c:v>
                </c:pt>
                <c:pt idx="118">
                  <c:v>2.2908676527675042E-5</c:v>
                </c:pt>
                <c:pt idx="119">
                  <c:v>2.3988329190192085E-5</c:v>
                </c:pt>
                <c:pt idx="120">
                  <c:v>2.5118864315092803E-5</c:v>
                </c:pt>
                <c:pt idx="121">
                  <c:v>2.6302679918950673E-5</c:v>
                </c:pt>
                <c:pt idx="122">
                  <c:v>2.7542287033378363E-5</c:v>
                </c:pt>
                <c:pt idx="123">
                  <c:v>2.884031503126255E-5</c:v>
                </c:pt>
                <c:pt idx="124">
                  <c:v>3.0199517204016479E-5</c:v>
                </c:pt>
                <c:pt idx="125">
                  <c:v>3.1622776601679872E-5</c:v>
                </c:pt>
                <c:pt idx="126">
                  <c:v>3.3113112148254997E-5</c:v>
                </c:pt>
                <c:pt idx="127">
                  <c:v>3.467368504524879E-5</c:v>
                </c:pt>
                <c:pt idx="128">
                  <c:v>3.6307805477005552E-5</c:v>
                </c:pt>
                <c:pt idx="129">
                  <c:v>3.8018939632051245E-5</c:v>
                </c:pt>
                <c:pt idx="130">
                  <c:v>3.9810717055344612E-5</c:v>
                </c:pt>
                <c:pt idx="131">
                  <c:v>4.1686938347028178E-5</c:v>
                </c:pt>
                <c:pt idx="132">
                  <c:v>4.3651583224010894E-5</c:v>
                </c:pt>
                <c:pt idx="133">
                  <c:v>4.5708818961481526E-5</c:v>
                </c:pt>
                <c:pt idx="134">
                  <c:v>4.7863009232257475E-5</c:v>
                </c:pt>
                <c:pt idx="135">
                  <c:v>5.0118723362720556E-5</c:v>
                </c:pt>
                <c:pt idx="136">
                  <c:v>5.2480746024970172E-5</c:v>
                </c:pt>
                <c:pt idx="137">
                  <c:v>5.4954087385755034E-5</c:v>
                </c:pt>
                <c:pt idx="138">
                  <c:v>5.7543993733707804E-5</c:v>
                </c:pt>
                <c:pt idx="139">
                  <c:v>6.0255958607427498E-5</c:v>
                </c:pt>
                <c:pt idx="140">
                  <c:v>6.3095734448010646E-5</c:v>
                </c:pt>
                <c:pt idx="141">
                  <c:v>6.6069344800750391E-5</c:v>
                </c:pt>
                <c:pt idx="142">
                  <c:v>6.918309709188399E-5</c:v>
                </c:pt>
                <c:pt idx="143">
                  <c:v>7.2443596007488748E-5</c:v>
                </c:pt>
                <c:pt idx="144">
                  <c:v>7.5857757502907625E-5</c:v>
                </c:pt>
                <c:pt idx="145">
                  <c:v>7.9432823472416728E-5</c:v>
                </c:pt>
                <c:pt idx="146">
                  <c:v>8.3176377110255124E-5</c:v>
                </c:pt>
                <c:pt idx="147">
                  <c:v>8.7096358995595357E-5</c:v>
                </c:pt>
                <c:pt idx="148">
                  <c:v>9.1201083935577642E-5</c:v>
                </c:pt>
                <c:pt idx="149">
                  <c:v>9.5499258602129621E-5</c:v>
                </c:pt>
                <c:pt idx="150">
                  <c:v>9.9999999999985178E-5</c:v>
                </c:pt>
                <c:pt idx="151">
                  <c:v>1.0471285480507442E-4</c:v>
                </c:pt>
                <c:pt idx="152">
                  <c:v>1.0964781961430221E-4</c:v>
                </c:pt>
                <c:pt idx="153">
                  <c:v>1.1481536214967139E-4</c:v>
                </c:pt>
                <c:pt idx="154">
                  <c:v>1.2022644346172358E-4</c:v>
                </c:pt>
                <c:pt idx="155">
                  <c:v>1.2589254117939815E-4</c:v>
                </c:pt>
                <c:pt idx="156">
                  <c:v>1.3182567385562125E-4</c:v>
                </c:pt>
                <c:pt idx="157">
                  <c:v>1.3803842646026805E-4</c:v>
                </c:pt>
                <c:pt idx="158">
                  <c:v>1.4454397707457136E-4</c:v>
                </c:pt>
                <c:pt idx="159">
                  <c:v>1.5135612484359838E-4</c:v>
                </c:pt>
                <c:pt idx="160">
                  <c:v>1.5848931924608784E-4</c:v>
                </c:pt>
                <c:pt idx="161">
                  <c:v>1.6595869074373168E-4</c:v>
                </c:pt>
                <c:pt idx="162">
                  <c:v>1.7378008287491199E-4</c:v>
                </c:pt>
                <c:pt idx="163">
                  <c:v>1.8197008586097157E-4</c:v>
                </c:pt>
                <c:pt idx="164">
                  <c:v>1.9054607179629662E-4</c:v>
                </c:pt>
                <c:pt idx="165">
                  <c:v>1.9952623149685849E-4</c:v>
                </c:pt>
                <c:pt idx="166">
                  <c:v>2.0892961308537308E-4</c:v>
                </c:pt>
                <c:pt idx="167">
                  <c:v>2.1877616239492287E-4</c:v>
                </c:pt>
                <c:pt idx="168">
                  <c:v>2.2908676527674376E-4</c:v>
                </c:pt>
                <c:pt idx="169">
                  <c:v>2.3988329190191389E-4</c:v>
                </c:pt>
                <c:pt idx="170">
                  <c:v>2.5118864315092115E-4</c:v>
                </c:pt>
                <c:pt idx="171">
                  <c:v>2.6302679918949954E-4</c:v>
                </c:pt>
                <c:pt idx="172">
                  <c:v>2.7542287033377612E-4</c:v>
                </c:pt>
                <c:pt idx="173">
                  <c:v>2.884031503126181E-4</c:v>
                </c:pt>
                <c:pt idx="174">
                  <c:v>3.0199517204015707E-4</c:v>
                </c:pt>
                <c:pt idx="175">
                  <c:v>3.1622776601679121E-4</c:v>
                </c:pt>
                <c:pt idx="176">
                  <c:v>3.3113112148254269E-4</c:v>
                </c:pt>
                <c:pt idx="177">
                  <c:v>3.4673685045248057E-4</c:v>
                </c:pt>
                <c:pt idx="178">
                  <c:v>3.6307805477004811E-4</c:v>
                </c:pt>
                <c:pt idx="179">
                  <c:v>3.801893963205054E-4</c:v>
                </c:pt>
                <c:pt idx="180">
                  <c:v>3.9810717055343881E-4</c:v>
                </c:pt>
                <c:pt idx="181">
                  <c:v>4.1686938347027409E-4</c:v>
                </c:pt>
                <c:pt idx="182">
                  <c:v>4.3651583224010203E-4</c:v>
                </c:pt>
                <c:pt idx="183">
                  <c:v>4.5708818961480798E-4</c:v>
                </c:pt>
                <c:pt idx="184">
                  <c:v>4.7863009232256806E-4</c:v>
                </c:pt>
                <c:pt idx="185">
                  <c:v>5.0118723362719913E-4</c:v>
                </c:pt>
                <c:pt idx="186">
                  <c:v>5.2480746024969585E-4</c:v>
                </c:pt>
                <c:pt idx="187">
                  <c:v>5.4954087385754411E-4</c:v>
                </c:pt>
                <c:pt idx="188">
                  <c:v>5.7543993733707251E-4</c:v>
                </c:pt>
                <c:pt idx="189">
                  <c:v>6.0255958607426975E-4</c:v>
                </c:pt>
                <c:pt idx="190">
                  <c:v>6.3095734448010104E-4</c:v>
                </c:pt>
                <c:pt idx="191">
                  <c:v>6.6069344800749933E-4</c:v>
                </c:pt>
                <c:pt idx="192">
                  <c:v>6.9183097091883507E-4</c:v>
                </c:pt>
                <c:pt idx="193">
                  <c:v>7.2443596007488434E-4</c:v>
                </c:pt>
                <c:pt idx="194">
                  <c:v>7.5857757502907294E-4</c:v>
                </c:pt>
                <c:pt idx="195">
                  <c:v>7.9432823472416541E-4</c:v>
                </c:pt>
                <c:pt idx="196">
                  <c:v>8.3176377110254923E-4</c:v>
                </c:pt>
                <c:pt idx="197">
                  <c:v>8.7096358995595365E-4</c:v>
                </c:pt>
                <c:pt idx="198">
                  <c:v>9.1201083935577661E-4</c:v>
                </c:pt>
                <c:pt idx="199">
                  <c:v>9.5499258602129637E-4</c:v>
                </c:pt>
                <c:pt idx="200">
                  <c:v>9.9999999999985452E-4</c:v>
                </c:pt>
                <c:pt idx="201">
                  <c:v>1.0471285480507472E-3</c:v>
                </c:pt>
                <c:pt idx="202">
                  <c:v>1.0964781961430251E-3</c:v>
                </c:pt>
                <c:pt idx="203">
                  <c:v>1.1481536214967151E-3</c:v>
                </c:pt>
                <c:pt idx="204">
                  <c:v>1.2022644346172382E-3</c:v>
                </c:pt>
                <c:pt idx="205">
                  <c:v>1.258925411793984E-3</c:v>
                </c:pt>
                <c:pt idx="206">
                  <c:v>1.318256738556215E-3</c:v>
                </c:pt>
                <c:pt idx="207">
                  <c:v>1.3803842646026834E-3</c:v>
                </c:pt>
                <c:pt idx="208">
                  <c:v>1.4454397707457179E-3</c:v>
                </c:pt>
                <c:pt idx="209">
                  <c:v>1.5135612484359882E-3</c:v>
                </c:pt>
                <c:pt idx="210">
                  <c:v>1.5848931924608827E-3</c:v>
                </c:pt>
                <c:pt idx="211">
                  <c:v>1.6595869074373189E-3</c:v>
                </c:pt>
                <c:pt idx="212">
                  <c:v>1.7378008287491234E-3</c:v>
                </c:pt>
                <c:pt idx="213">
                  <c:v>1.8197008586097192E-3</c:v>
                </c:pt>
                <c:pt idx="214">
                  <c:v>1.9054607179629702E-3</c:v>
                </c:pt>
                <c:pt idx="215">
                  <c:v>1.995262314968591E-3</c:v>
                </c:pt>
                <c:pt idx="216">
                  <c:v>2.0892961308537367E-3</c:v>
                </c:pt>
                <c:pt idx="217">
                  <c:v>2.187761623949235E-3</c:v>
                </c:pt>
                <c:pt idx="218">
                  <c:v>2.2908676527674402E-3</c:v>
                </c:pt>
                <c:pt idx="219">
                  <c:v>2.3988329190191434E-3</c:v>
                </c:pt>
                <c:pt idx="220">
                  <c:v>2.5118864315092164E-3</c:v>
                </c:pt>
                <c:pt idx="221">
                  <c:v>2.6302679918950005E-3</c:v>
                </c:pt>
                <c:pt idx="222">
                  <c:v>2.7542287033377666E-3</c:v>
                </c:pt>
                <c:pt idx="223">
                  <c:v>2.8840315031261892E-3</c:v>
                </c:pt>
                <c:pt idx="224">
                  <c:v>3.0199517204015794E-3</c:v>
                </c:pt>
                <c:pt idx="225">
                  <c:v>3.1622776601679214E-3</c:v>
                </c:pt>
                <c:pt idx="226">
                  <c:v>3.3113112148254304E-3</c:v>
                </c:pt>
                <c:pt idx="227">
                  <c:v>3.4673685045248158E-3</c:v>
                </c:pt>
                <c:pt idx="228">
                  <c:v>3.6307805477004888E-3</c:v>
                </c:pt>
                <c:pt idx="229">
                  <c:v>3.8018939632050619E-3</c:v>
                </c:pt>
                <c:pt idx="230">
                  <c:v>3.9810717055343958E-3</c:v>
                </c:pt>
                <c:pt idx="231">
                  <c:v>4.1686938347027525E-3</c:v>
                </c:pt>
                <c:pt idx="232">
                  <c:v>4.3651583224010295E-3</c:v>
                </c:pt>
                <c:pt idx="233">
                  <c:v>4.5708818961480895E-3</c:v>
                </c:pt>
                <c:pt idx="234">
                  <c:v>4.7863009232256941E-3</c:v>
                </c:pt>
                <c:pt idx="235">
                  <c:v>5.0118723362720004E-3</c:v>
                </c:pt>
                <c:pt idx="236">
                  <c:v>5.2480746024969691E-3</c:v>
                </c:pt>
                <c:pt idx="237">
                  <c:v>5.495408738575451E-3</c:v>
                </c:pt>
                <c:pt idx="238">
                  <c:v>5.7543993733707418E-3</c:v>
                </c:pt>
                <c:pt idx="239">
                  <c:v>6.0255958607427097E-3</c:v>
                </c:pt>
                <c:pt idx="240">
                  <c:v>6.309573444801023E-3</c:v>
                </c:pt>
                <c:pt idx="241">
                  <c:v>6.6069344800750059E-3</c:v>
                </c:pt>
                <c:pt idx="242">
                  <c:v>6.9183097091883713E-3</c:v>
                </c:pt>
                <c:pt idx="243">
                  <c:v>7.2443596007488592E-3</c:v>
                </c:pt>
                <c:pt idx="244">
                  <c:v>7.5857757502907457E-3</c:v>
                </c:pt>
                <c:pt idx="245">
                  <c:v>7.9432823472416689E-3</c:v>
                </c:pt>
                <c:pt idx="246">
                  <c:v>8.3176377110255155E-3</c:v>
                </c:pt>
                <c:pt idx="247">
                  <c:v>8.7096358995595539E-3</c:v>
                </c:pt>
                <c:pt idx="248">
                  <c:v>9.1201083935577854E-3</c:v>
                </c:pt>
                <c:pt idx="249">
                  <c:v>9.5499258602129919E-3</c:v>
                </c:pt>
                <c:pt idx="250">
                  <c:v>9.9999999999985656E-3</c:v>
                </c:pt>
                <c:pt idx="251">
                  <c:v>1.0471285480507492E-2</c:v>
                </c:pt>
                <c:pt idx="252">
                  <c:v>1.0964781961430274E-2</c:v>
                </c:pt>
                <c:pt idx="253">
                  <c:v>1.1481536214967183E-2</c:v>
                </c:pt>
                <c:pt idx="254">
                  <c:v>1.2022644346172406E-2</c:v>
                </c:pt>
                <c:pt idx="255">
                  <c:v>1.2589254117939866E-2</c:v>
                </c:pt>
                <c:pt idx="256">
                  <c:v>1.3182567385562177E-2</c:v>
                </c:pt>
                <c:pt idx="257">
                  <c:v>1.3803842646026873E-2</c:v>
                </c:pt>
                <c:pt idx="258">
                  <c:v>1.4454397707457206E-2</c:v>
                </c:pt>
                <c:pt idx="259">
                  <c:v>1.5135612484359911E-2</c:v>
                </c:pt>
                <c:pt idx="260">
                  <c:v>1.5848931924608862E-2</c:v>
                </c:pt>
                <c:pt idx="261">
                  <c:v>1.6595869074373236E-2</c:v>
                </c:pt>
                <c:pt idx="262">
                  <c:v>1.7378008287491271E-2</c:v>
                </c:pt>
                <c:pt idx="263">
                  <c:v>1.8197008586097227E-2</c:v>
                </c:pt>
                <c:pt idx="264">
                  <c:v>1.905460717962975E-2</c:v>
                </c:pt>
                <c:pt idx="265">
                  <c:v>1.9952623149685947E-2</c:v>
                </c:pt>
                <c:pt idx="266">
                  <c:v>2.0892961308537409E-2</c:v>
                </c:pt>
                <c:pt idx="267">
                  <c:v>2.1877616239492404E-2</c:v>
                </c:pt>
                <c:pt idx="268">
                  <c:v>2.2908676527674456E-2</c:v>
                </c:pt>
                <c:pt idx="269">
                  <c:v>2.3988329190191483E-2</c:v>
                </c:pt>
                <c:pt idx="270">
                  <c:v>2.5118864315092214E-2</c:v>
                </c:pt>
                <c:pt idx="271">
                  <c:v>2.6302679918950071E-2</c:v>
                </c:pt>
                <c:pt idx="272">
                  <c:v>2.7542287033377733E-2</c:v>
                </c:pt>
                <c:pt idx="273">
                  <c:v>2.884031503126195E-2</c:v>
                </c:pt>
                <c:pt idx="274">
                  <c:v>3.0199517204015848E-2</c:v>
                </c:pt>
                <c:pt idx="275">
                  <c:v>3.1622776601679288E-2</c:v>
                </c:pt>
                <c:pt idx="276">
                  <c:v>3.3113112148254388E-2</c:v>
                </c:pt>
                <c:pt idx="277">
                  <c:v>3.4673685045248225E-2</c:v>
                </c:pt>
                <c:pt idx="278">
                  <c:v>3.6307805477004969E-2</c:v>
                </c:pt>
                <c:pt idx="279">
                  <c:v>3.8018939632050712E-2</c:v>
                </c:pt>
                <c:pt idx="280">
                  <c:v>3.9810717055344072E-2</c:v>
                </c:pt>
                <c:pt idx="281">
                  <c:v>4.1686938347027608E-2</c:v>
                </c:pt>
                <c:pt idx="282">
                  <c:v>4.3651583224010394E-2</c:v>
                </c:pt>
                <c:pt idx="283">
                  <c:v>4.5708818961481004E-2</c:v>
                </c:pt>
                <c:pt idx="284">
                  <c:v>4.7863009232257045E-2</c:v>
                </c:pt>
                <c:pt idx="285">
                  <c:v>5.0118723362720101E-2</c:v>
                </c:pt>
                <c:pt idx="286">
                  <c:v>5.2480746024969813E-2</c:v>
                </c:pt>
                <c:pt idx="287">
                  <c:v>5.4954087385754649E-2</c:v>
                </c:pt>
                <c:pt idx="288">
                  <c:v>5.7543993733707534E-2</c:v>
                </c:pt>
                <c:pt idx="289">
                  <c:v>6.0255958607427225E-2</c:v>
                </c:pt>
                <c:pt idx="290">
                  <c:v>6.3095734448010379E-2</c:v>
                </c:pt>
                <c:pt idx="291">
                  <c:v>6.6069344800750218E-2</c:v>
                </c:pt>
                <c:pt idx="292">
                  <c:v>6.9183097091883847E-2</c:v>
                </c:pt>
                <c:pt idx="293">
                  <c:v>7.2443596007488759E-2</c:v>
                </c:pt>
                <c:pt idx="294">
                  <c:v>7.5857757502907644E-2</c:v>
                </c:pt>
                <c:pt idx="295">
                  <c:v>7.9432823472416911E-2</c:v>
                </c:pt>
                <c:pt idx="296">
                  <c:v>8.3176377110255328E-2</c:v>
                </c:pt>
                <c:pt idx="297">
                  <c:v>8.7096358995595757E-2</c:v>
                </c:pt>
                <c:pt idx="298">
                  <c:v>9.1201083935578076E-2</c:v>
                </c:pt>
                <c:pt idx="299">
                  <c:v>9.5499258602130113E-2</c:v>
                </c:pt>
                <c:pt idx="300">
                  <c:v>9.9999999999985864E-2</c:v>
                </c:pt>
                <c:pt idx="301">
                  <c:v>0.10471285480507517</c:v>
                </c:pt>
                <c:pt idx="302">
                  <c:v>0.109647819614303</c:v>
                </c:pt>
                <c:pt idx="303">
                  <c:v>0.11481536214967207</c:v>
                </c:pt>
                <c:pt idx="304">
                  <c:v>0.12022644346172431</c:v>
                </c:pt>
                <c:pt idx="305">
                  <c:v>0.12589254117939896</c:v>
                </c:pt>
                <c:pt idx="306">
                  <c:v>0.13182567385562208</c:v>
                </c:pt>
                <c:pt idx="307">
                  <c:v>0.13803842646026901</c:v>
                </c:pt>
                <c:pt idx="308">
                  <c:v>0.14454397707457237</c:v>
                </c:pt>
                <c:pt idx="309">
                  <c:v>0.15135612484359948</c:v>
                </c:pt>
                <c:pt idx="310">
                  <c:v>0.15848931924608903</c:v>
                </c:pt>
                <c:pt idx="311">
                  <c:v>0.16595869074373271</c:v>
                </c:pt>
                <c:pt idx="312">
                  <c:v>0.17378008287491309</c:v>
                </c:pt>
                <c:pt idx="313">
                  <c:v>0.18197008586097271</c:v>
                </c:pt>
                <c:pt idx="314">
                  <c:v>0.19054607179629787</c:v>
                </c:pt>
                <c:pt idx="315">
                  <c:v>0.19952623149685988</c:v>
                </c:pt>
                <c:pt idx="316">
                  <c:v>0.20892961308537461</c:v>
                </c:pt>
                <c:pt idx="317">
                  <c:v>0.21877616239492453</c:v>
                </c:pt>
                <c:pt idx="318">
                  <c:v>0.22908676527674512</c:v>
                </c:pt>
                <c:pt idx="319">
                  <c:v>0.23988329190191537</c:v>
                </c:pt>
                <c:pt idx="320">
                  <c:v>0.25118864315092276</c:v>
                </c:pt>
                <c:pt idx="321">
                  <c:v>0.26302679918950128</c:v>
                </c:pt>
                <c:pt idx="322">
                  <c:v>0.27542287033377799</c:v>
                </c:pt>
                <c:pt idx="323">
                  <c:v>0.28840315031262015</c:v>
                </c:pt>
                <c:pt idx="324">
                  <c:v>0.3019951720401593</c:v>
                </c:pt>
                <c:pt idx="325">
                  <c:v>0.31622776601679359</c:v>
                </c:pt>
                <c:pt idx="326">
                  <c:v>0.33113112148254464</c:v>
                </c:pt>
                <c:pt idx="327">
                  <c:v>0.34673685045248304</c:v>
                </c:pt>
                <c:pt idx="328">
                  <c:v>0.36307805477005051</c:v>
                </c:pt>
                <c:pt idx="329">
                  <c:v>0.38018939632050802</c:v>
                </c:pt>
                <c:pt idx="330">
                  <c:v>0.39810717055344153</c:v>
                </c:pt>
                <c:pt idx="331">
                  <c:v>0.41686938347027708</c:v>
                </c:pt>
                <c:pt idx="332">
                  <c:v>0.43651583224010493</c:v>
                </c:pt>
                <c:pt idx="333">
                  <c:v>0.45708818961481112</c:v>
                </c:pt>
                <c:pt idx="334">
                  <c:v>0.47863009232257148</c:v>
                </c:pt>
                <c:pt idx="335">
                  <c:v>0.50118723362720219</c:v>
                </c:pt>
                <c:pt idx="336">
                  <c:v>0.52480746024969926</c:v>
                </c:pt>
                <c:pt idx="337">
                  <c:v>0.5495408738575478</c:v>
                </c:pt>
                <c:pt idx="338">
                  <c:v>0.57543993733707655</c:v>
                </c:pt>
                <c:pt idx="339">
                  <c:v>0.60255958607427362</c:v>
                </c:pt>
                <c:pt idx="340">
                  <c:v>0.6309573444801051</c:v>
                </c:pt>
                <c:pt idx="341">
                  <c:v>0.66069344800750374</c:v>
                </c:pt>
                <c:pt idx="342">
                  <c:v>0.69183097091883983</c:v>
                </c:pt>
                <c:pt idx="343">
                  <c:v>0.72443596007488886</c:v>
                </c:pt>
                <c:pt idx="344">
                  <c:v>0.75857757502907774</c:v>
                </c:pt>
                <c:pt idx="345">
                  <c:v>0.79432823472417047</c:v>
                </c:pt>
                <c:pt idx="346">
                  <c:v>0.83176377110255484</c:v>
                </c:pt>
                <c:pt idx="347">
                  <c:v>0.87096358995595902</c:v>
                </c:pt>
                <c:pt idx="348">
                  <c:v>0.9120108393557822</c:v>
                </c:pt>
                <c:pt idx="349">
                  <c:v>0.95499258602130266</c:v>
                </c:pt>
                <c:pt idx="350">
                  <c:v>0.99999999999986033</c:v>
                </c:pt>
                <c:pt idx="351">
                  <c:v>1.0471285480507533</c:v>
                </c:pt>
                <c:pt idx="352">
                  <c:v>1.0964781961430319</c:v>
                </c:pt>
                <c:pt idx="353">
                  <c:v>1.1481536214967225</c:v>
                </c:pt>
                <c:pt idx="354">
                  <c:v>1.2022644346172451</c:v>
                </c:pt>
                <c:pt idx="355">
                  <c:v>1.2589254117939914</c:v>
                </c:pt>
                <c:pt idx="356">
                  <c:v>1.3182567385562229</c:v>
                </c:pt>
                <c:pt idx="357">
                  <c:v>1.380384264602692</c:v>
                </c:pt>
                <c:pt idx="358">
                  <c:v>1.4454397707457256</c:v>
                </c:pt>
                <c:pt idx="359">
                  <c:v>1.5135612484359968</c:v>
                </c:pt>
                <c:pt idx="360">
                  <c:v>1.584893192460892</c:v>
                </c:pt>
                <c:pt idx="361">
                  <c:v>1.6595869074373286</c:v>
                </c:pt>
                <c:pt idx="362">
                  <c:v>1.7378008287491327</c:v>
                </c:pt>
                <c:pt idx="363">
                  <c:v>1.8197008586097292</c:v>
                </c:pt>
                <c:pt idx="364">
                  <c:v>1.905460717962981</c:v>
                </c:pt>
                <c:pt idx="365">
                  <c:v>1.9952623149686011</c:v>
                </c:pt>
                <c:pt idx="366">
                  <c:v>2.0892961308537479</c:v>
                </c:pt>
                <c:pt idx="367">
                  <c:v>2.187761623949247</c:v>
                </c:pt>
                <c:pt idx="368">
                  <c:v>2.2908676527674534</c:v>
                </c:pt>
                <c:pt idx="369">
                  <c:v>2.398832919019156</c:v>
                </c:pt>
                <c:pt idx="370">
                  <c:v>2.5118864315092297</c:v>
                </c:pt>
                <c:pt idx="371">
                  <c:v>2.6302679918950154</c:v>
                </c:pt>
                <c:pt idx="372">
                  <c:v>2.7542287033377826</c:v>
                </c:pt>
                <c:pt idx="373">
                  <c:v>2.884031503126204</c:v>
                </c:pt>
                <c:pt idx="374">
                  <c:v>3.0199517204015951</c:v>
                </c:pt>
                <c:pt idx="375">
                  <c:v>3.1622776601679394</c:v>
                </c:pt>
                <c:pt idx="376">
                  <c:v>3.3113112148254502</c:v>
                </c:pt>
                <c:pt idx="377">
                  <c:v>3.4673685045248344</c:v>
                </c:pt>
                <c:pt idx="378">
                  <c:v>3.6307805477005086</c:v>
                </c:pt>
                <c:pt idx="379">
                  <c:v>3.8018939632050834</c:v>
                </c:pt>
                <c:pt idx="380">
                  <c:v>3.9810717055344194</c:v>
                </c:pt>
                <c:pt idx="381">
                  <c:v>4.1686938347027747</c:v>
                </c:pt>
                <c:pt idx="382">
                  <c:v>4.3651583224010535</c:v>
                </c:pt>
                <c:pt idx="383">
                  <c:v>4.5708818961481157</c:v>
                </c:pt>
                <c:pt idx="384">
                  <c:v>4.7863009232257188</c:v>
                </c:pt>
                <c:pt idx="385">
                  <c:v>5.0118723362720274</c:v>
                </c:pt>
                <c:pt idx="386">
                  <c:v>5.248074602496998</c:v>
                </c:pt>
                <c:pt idx="387">
                  <c:v>5.4954087385754828</c:v>
                </c:pt>
                <c:pt idx="388">
                  <c:v>5.754399373370771</c:v>
                </c:pt>
                <c:pt idx="389">
                  <c:v>6.025595860742742</c:v>
                </c:pt>
                <c:pt idx="390">
                  <c:v>6.3095734448010594</c:v>
                </c:pt>
                <c:pt idx="391">
                  <c:v>6.6069344800750454</c:v>
                </c:pt>
                <c:pt idx="392">
                  <c:v>6.9183097091884074</c:v>
                </c:pt>
                <c:pt idx="393">
                  <c:v>7.2443596007488988</c:v>
                </c:pt>
                <c:pt idx="394">
                  <c:v>7.5857757502907868</c:v>
                </c:pt>
                <c:pt idx="395">
                  <c:v>7.9432823472417171</c:v>
                </c:pt>
                <c:pt idx="396">
                  <c:v>8.3176377110255579</c:v>
                </c:pt>
                <c:pt idx="397">
                  <c:v>8.7096358995596024</c:v>
                </c:pt>
                <c:pt idx="398">
                  <c:v>9.1201083935578389</c:v>
                </c:pt>
                <c:pt idx="399">
                  <c:v>9.5499258602130404</c:v>
                </c:pt>
                <c:pt idx="400">
                  <c:v>9.9999999999986215</c:v>
                </c:pt>
                <c:pt idx="401">
                  <c:v>10.47128548050755</c:v>
                </c:pt>
                <c:pt idx="402">
                  <c:v>10.964781961430335</c:v>
                </c:pt>
                <c:pt idx="403">
                  <c:v>11.481536214967242</c:v>
                </c:pt>
                <c:pt idx="404">
                  <c:v>12.022644346172468</c:v>
                </c:pt>
                <c:pt idx="405">
                  <c:v>12.589254117939936</c:v>
                </c:pt>
                <c:pt idx="406">
                  <c:v>13.182567385562249</c:v>
                </c:pt>
                <c:pt idx="407">
                  <c:v>13.803842646026945</c:v>
                </c:pt>
                <c:pt idx="408">
                  <c:v>14.454397707457279</c:v>
                </c:pt>
                <c:pt idx="409">
                  <c:v>15.135612484359996</c:v>
                </c:pt>
                <c:pt idx="410">
                  <c:v>15.848931924608948</c:v>
                </c:pt>
                <c:pt idx="411">
                  <c:v>16.595869074373319</c:v>
                </c:pt>
                <c:pt idx="412">
                  <c:v>17.378008287491358</c:v>
                </c:pt>
                <c:pt idx="413">
                  <c:v>18.197008586097329</c:v>
                </c:pt>
                <c:pt idx="414">
                  <c:v>19.054607179629844</c:v>
                </c:pt>
                <c:pt idx="415">
                  <c:v>19.952623149686051</c:v>
                </c:pt>
                <c:pt idx="416">
                  <c:v>20.892961308537526</c:v>
                </c:pt>
                <c:pt idx="417">
                  <c:v>21.877616239492514</c:v>
                </c:pt>
                <c:pt idx="418">
                  <c:v>22.908676527674583</c:v>
                </c:pt>
                <c:pt idx="419">
                  <c:v>23.988329190191607</c:v>
                </c:pt>
                <c:pt idx="420">
                  <c:v>25.118864315092353</c:v>
                </c:pt>
                <c:pt idx="421">
                  <c:v>26.302679918950204</c:v>
                </c:pt>
                <c:pt idx="422">
                  <c:v>27.542287033377885</c:v>
                </c:pt>
                <c:pt idx="423">
                  <c:v>28.840315031262097</c:v>
                </c:pt>
                <c:pt idx="424">
                  <c:v>30.199517204016018</c:v>
                </c:pt>
                <c:pt idx="425">
                  <c:v>31.622776601679451</c:v>
                </c:pt>
                <c:pt idx="426">
                  <c:v>33.113112148254572</c:v>
                </c:pt>
                <c:pt idx="427">
                  <c:v>34.673685045248405</c:v>
                </c:pt>
                <c:pt idx="428">
                  <c:v>36.307805477005161</c:v>
                </c:pt>
                <c:pt idx="429">
                  <c:v>38.018939632050902</c:v>
                </c:pt>
                <c:pt idx="430">
                  <c:v>39.81071705534427</c:v>
                </c:pt>
                <c:pt idx="431">
                  <c:v>41.686938347027819</c:v>
                </c:pt>
                <c:pt idx="432">
                  <c:v>43.651583224010622</c:v>
                </c:pt>
                <c:pt idx="433">
                  <c:v>45.708818961481256</c:v>
                </c:pt>
                <c:pt idx="434">
                  <c:v>47.863009232257284</c:v>
                </c:pt>
                <c:pt idx="435">
                  <c:v>50.118723362720381</c:v>
                </c:pt>
                <c:pt idx="436">
                  <c:v>52.480746024970081</c:v>
                </c:pt>
                <c:pt idx="437">
                  <c:v>54.954087385754953</c:v>
                </c:pt>
                <c:pt idx="438">
                  <c:v>57.543993733707829</c:v>
                </c:pt>
                <c:pt idx="439">
                  <c:v>60.255958607427523</c:v>
                </c:pt>
                <c:pt idx="440">
                  <c:v>63.095734448010731</c:v>
                </c:pt>
                <c:pt idx="441">
                  <c:v>66.069344800750585</c:v>
                </c:pt>
                <c:pt idx="442">
                  <c:v>69.183097091884193</c:v>
                </c:pt>
                <c:pt idx="443">
                  <c:v>72.443596007489091</c:v>
                </c:pt>
                <c:pt idx="444">
                  <c:v>75.857757502908058</c:v>
                </c:pt>
                <c:pt idx="445">
                  <c:v>79.432823472417326</c:v>
                </c:pt>
                <c:pt idx="446">
                  <c:v>83.176377110255743</c:v>
                </c:pt>
                <c:pt idx="447">
                  <c:v>87.096358995596233</c:v>
                </c:pt>
                <c:pt idx="448">
                  <c:v>91.201083935578581</c:v>
                </c:pt>
                <c:pt idx="449">
                  <c:v>95.499258602130595</c:v>
                </c:pt>
                <c:pt idx="450">
                  <c:v>99.999999999986372</c:v>
                </c:pt>
                <c:pt idx="451">
                  <c:v>104.71285480507565</c:v>
                </c:pt>
                <c:pt idx="452">
                  <c:v>109.64781961430351</c:v>
                </c:pt>
                <c:pt idx="453">
                  <c:v>114.81536214967265</c:v>
                </c:pt>
                <c:pt idx="454">
                  <c:v>120.22644346172491</c:v>
                </c:pt>
                <c:pt idx="455">
                  <c:v>125.89254117939954</c:v>
                </c:pt>
                <c:pt idx="456">
                  <c:v>131.82567385562271</c:v>
                </c:pt>
                <c:pt idx="457">
                  <c:v>138.03842646026973</c:v>
                </c:pt>
                <c:pt idx="458">
                  <c:v>144.54397707457309</c:v>
                </c:pt>
                <c:pt idx="459">
                  <c:v>151.35612484360018</c:v>
                </c:pt>
                <c:pt idx="460">
                  <c:v>158.48931924608971</c:v>
                </c:pt>
                <c:pt idx="461">
                  <c:v>165.95869074373354</c:v>
                </c:pt>
                <c:pt idx="462">
                  <c:v>173.78008287491392</c:v>
                </c:pt>
                <c:pt idx="463">
                  <c:v>181.97008586097357</c:v>
                </c:pt>
                <c:pt idx="464">
                  <c:v>190.54607179629875</c:v>
                </c:pt>
                <c:pt idx="465">
                  <c:v>199.5262314968609</c:v>
                </c:pt>
                <c:pt idx="466">
                  <c:v>208.92961308537556</c:v>
                </c:pt>
                <c:pt idx="467">
                  <c:v>218.77616239492551</c:v>
                </c:pt>
                <c:pt idx="468">
                  <c:v>229.08676527674629</c:v>
                </c:pt>
                <c:pt idx="469">
                  <c:v>239.88329190191652</c:v>
                </c:pt>
                <c:pt idx="470">
                  <c:v>251.18864315092392</c:v>
                </c:pt>
                <c:pt idx="471">
                  <c:v>263.02679918950247</c:v>
                </c:pt>
                <c:pt idx="472">
                  <c:v>275.42287033377943</c:v>
                </c:pt>
                <c:pt idx="473">
                  <c:v>288.40315031262156</c:v>
                </c:pt>
                <c:pt idx="474">
                  <c:v>301.9951720401607</c:v>
                </c:pt>
                <c:pt idx="475">
                  <c:v>316.22776601679499</c:v>
                </c:pt>
                <c:pt idx="476">
                  <c:v>331.13112148254635</c:v>
                </c:pt>
                <c:pt idx="477">
                  <c:v>346.7368504524847</c:v>
                </c:pt>
                <c:pt idx="478">
                  <c:v>363.07805477005218</c:v>
                </c:pt>
                <c:pt idx="479">
                  <c:v>380.18939632050962</c:v>
                </c:pt>
                <c:pt idx="480">
                  <c:v>398.1071705534435</c:v>
                </c:pt>
                <c:pt idx="481">
                  <c:v>416.86938347027905</c:v>
                </c:pt>
                <c:pt idx="482">
                  <c:v>436.51583224010687</c:v>
                </c:pt>
                <c:pt idx="483">
                  <c:v>457.08818961481347</c:v>
                </c:pt>
                <c:pt idx="484">
                  <c:v>478.63009232257383</c:v>
                </c:pt>
                <c:pt idx="485">
                  <c:v>501.18723362720459</c:v>
                </c:pt>
                <c:pt idx="486">
                  <c:v>524.80746024970165</c:v>
                </c:pt>
                <c:pt idx="487">
                  <c:v>549.54087385755065</c:v>
                </c:pt>
                <c:pt idx="488">
                  <c:v>575.43993733707941</c:v>
                </c:pt>
                <c:pt idx="489">
                  <c:v>602.55958607427647</c:v>
                </c:pt>
                <c:pt idx="490">
                  <c:v>630.95734448010796</c:v>
                </c:pt>
                <c:pt idx="491">
                  <c:v>660.69344800750719</c:v>
                </c:pt>
                <c:pt idx="492">
                  <c:v>691.83097091884338</c:v>
                </c:pt>
                <c:pt idx="493">
                  <c:v>724.43596007489236</c:v>
                </c:pt>
                <c:pt idx="494">
                  <c:v>758.57757502908134</c:v>
                </c:pt>
                <c:pt idx="495">
                  <c:v>794.32823472417488</c:v>
                </c:pt>
                <c:pt idx="496">
                  <c:v>831.76377110255919</c:v>
                </c:pt>
                <c:pt idx="497">
                  <c:v>870.96358995596336</c:v>
                </c:pt>
                <c:pt idx="498">
                  <c:v>912.01083935578674</c:v>
                </c:pt>
                <c:pt idx="499">
                  <c:v>954.99258602130783</c:v>
                </c:pt>
                <c:pt idx="500">
                  <c:v>999.99999999986562</c:v>
                </c:pt>
                <c:pt idx="501">
                  <c:v>1047.1285480507586</c:v>
                </c:pt>
                <c:pt idx="502">
                  <c:v>1096.4781961430383</c:v>
                </c:pt>
                <c:pt idx="503">
                  <c:v>1148.1536214967289</c:v>
                </c:pt>
                <c:pt idx="504">
                  <c:v>1202.2644346172515</c:v>
                </c:pt>
                <c:pt idx="505">
                  <c:v>1258.9254117939979</c:v>
                </c:pt>
                <c:pt idx="506">
                  <c:v>1318.2567385562309</c:v>
                </c:pt>
                <c:pt idx="507">
                  <c:v>1380.3842646026999</c:v>
                </c:pt>
                <c:pt idx="508">
                  <c:v>1445.4397707457338</c:v>
                </c:pt>
                <c:pt idx="509">
                  <c:v>1513.5612484360049</c:v>
                </c:pt>
                <c:pt idx="510">
                  <c:v>1584.8931924609017</c:v>
                </c:pt>
                <c:pt idx="511">
                  <c:v>1659.5869074373386</c:v>
                </c:pt>
                <c:pt idx="512">
                  <c:v>1737.8008287491427</c:v>
                </c:pt>
                <c:pt idx="513">
                  <c:v>1819.7008586097393</c:v>
                </c:pt>
                <c:pt idx="514">
                  <c:v>1905.4607179629929</c:v>
                </c:pt>
                <c:pt idx="515">
                  <c:v>1995.2623149686128</c:v>
                </c:pt>
                <c:pt idx="516">
                  <c:v>2089.2961308537597</c:v>
                </c:pt>
                <c:pt idx="517">
                  <c:v>2187.7616239492613</c:v>
                </c:pt>
                <c:pt idx="518">
                  <c:v>2290.8676527674675</c:v>
                </c:pt>
                <c:pt idx="519">
                  <c:v>2398.8329190191703</c:v>
                </c:pt>
                <c:pt idx="520">
                  <c:v>2511.8864315092442</c:v>
                </c:pt>
                <c:pt idx="521">
                  <c:v>2630.2679918950321</c:v>
                </c:pt>
                <c:pt idx="522">
                  <c:v>2754.2287033377993</c:v>
                </c:pt>
                <c:pt idx="523">
                  <c:v>2884.0315031262212</c:v>
                </c:pt>
                <c:pt idx="524">
                  <c:v>3019.9517204016156</c:v>
                </c:pt>
                <c:pt idx="525">
                  <c:v>3162.2776601679589</c:v>
                </c:pt>
                <c:pt idx="526">
                  <c:v>3311.3112148254704</c:v>
                </c:pt>
                <c:pt idx="527">
                  <c:v>3467.3685045248544</c:v>
                </c:pt>
                <c:pt idx="528">
                  <c:v>3630.7805477005286</c:v>
                </c:pt>
                <c:pt idx="529">
                  <c:v>3801.8939632051038</c:v>
                </c:pt>
                <c:pt idx="530">
                  <c:v>3981.0717055344467</c:v>
                </c:pt>
                <c:pt idx="531">
                  <c:v>4168.6938347028026</c:v>
                </c:pt>
                <c:pt idx="532">
                  <c:v>4365.158322401081</c:v>
                </c:pt>
                <c:pt idx="533">
                  <c:v>4570.8818961481438</c:v>
                </c:pt>
                <c:pt idx="534">
                  <c:v>4786.3009232257473</c:v>
                </c:pt>
                <c:pt idx="535">
                  <c:v>5011.8723362720557</c:v>
                </c:pt>
                <c:pt idx="536">
                  <c:v>5248.0746024970267</c:v>
                </c:pt>
                <c:pt idx="537">
                  <c:v>5495.408738575512</c:v>
                </c:pt>
                <c:pt idx="538">
                  <c:v>5754.3993733708103</c:v>
                </c:pt>
                <c:pt idx="539">
                  <c:v>6025.595860742782</c:v>
                </c:pt>
                <c:pt idx="540">
                  <c:v>6309.573444801098</c:v>
                </c:pt>
                <c:pt idx="541">
                  <c:v>6606.934480075085</c:v>
                </c:pt>
                <c:pt idx="542">
                  <c:v>6918.3097091884474</c:v>
                </c:pt>
                <c:pt idx="543">
                  <c:v>7244.3596007489386</c:v>
                </c:pt>
                <c:pt idx="544">
                  <c:v>7585.7757502908289</c:v>
                </c:pt>
                <c:pt idx="545">
                  <c:v>7943.2823472417713</c:v>
                </c:pt>
                <c:pt idx="546">
                  <c:v>8317.6377110256162</c:v>
                </c:pt>
                <c:pt idx="547">
                  <c:v>8709.6358995596584</c:v>
                </c:pt>
                <c:pt idx="548">
                  <c:v>9120.1083935578936</c:v>
                </c:pt>
                <c:pt idx="549">
                  <c:v>9549.9258602130976</c:v>
                </c:pt>
                <c:pt idx="550">
                  <c:v>9999.9999999986758</c:v>
                </c:pt>
                <c:pt idx="551">
                  <c:v>10471.285480507608</c:v>
                </c:pt>
                <c:pt idx="552">
                  <c:v>10964.781961430375</c:v>
                </c:pt>
                <c:pt idx="553">
                  <c:v>11481.53621496728</c:v>
                </c:pt>
                <c:pt idx="554">
                  <c:v>12022.644346172487</c:v>
                </c:pt>
                <c:pt idx="555">
                  <c:v>12589.254117939949</c:v>
                </c:pt>
                <c:pt idx="556">
                  <c:v>13182.567385562264</c:v>
                </c:pt>
                <c:pt idx="557">
                  <c:v>13803.842646026929</c:v>
                </c:pt>
                <c:pt idx="558">
                  <c:v>14454.397707457263</c:v>
                </c:pt>
                <c:pt idx="559">
                  <c:v>15135.612484359945</c:v>
                </c:pt>
                <c:pt idx="560">
                  <c:v>15848.931924608894</c:v>
                </c:pt>
                <c:pt idx="561">
                  <c:v>16595.869074373226</c:v>
                </c:pt>
                <c:pt idx="562">
                  <c:v>17378.008287491259</c:v>
                </c:pt>
                <c:pt idx="563">
                  <c:v>18197.008586097189</c:v>
                </c:pt>
                <c:pt idx="564">
                  <c:v>19054.607179629696</c:v>
                </c:pt>
                <c:pt idx="565">
                  <c:v>19952.623149685885</c:v>
                </c:pt>
                <c:pt idx="566">
                  <c:v>20892.961308537306</c:v>
                </c:pt>
                <c:pt idx="567">
                  <c:v>21877.616239492287</c:v>
                </c:pt>
                <c:pt idx="568">
                  <c:v>22908.676527674295</c:v>
                </c:pt>
                <c:pt idx="569">
                  <c:v>23988.3291901913</c:v>
                </c:pt>
                <c:pt idx="570">
                  <c:v>25118.864315091978</c:v>
                </c:pt>
                <c:pt idx="571">
                  <c:v>26302.679918949812</c:v>
                </c:pt>
                <c:pt idx="572">
                  <c:v>27542.287033377415</c:v>
                </c:pt>
                <c:pt idx="573">
                  <c:v>28840.315031261602</c:v>
                </c:pt>
                <c:pt idx="574">
                  <c:v>30199.51720401549</c:v>
                </c:pt>
                <c:pt idx="575">
                  <c:v>31622.776601678837</c:v>
                </c:pt>
                <c:pt idx="576">
                  <c:v>33113.112148253917</c:v>
                </c:pt>
                <c:pt idx="577">
                  <c:v>34673.685045247657</c:v>
                </c:pt>
                <c:pt idx="578">
                  <c:v>36307.80547700436</c:v>
                </c:pt>
                <c:pt idx="579">
                  <c:v>38018.939632050002</c:v>
                </c:pt>
                <c:pt idx="580">
                  <c:v>39810.71705534331</c:v>
                </c:pt>
                <c:pt idx="581">
                  <c:v>41686.938347026742</c:v>
                </c:pt>
                <c:pt idx="582">
                  <c:v>43651.583224009468</c:v>
                </c:pt>
                <c:pt idx="583">
                  <c:v>45708.818961480029</c:v>
                </c:pt>
                <c:pt idx="584">
                  <c:v>47863.009232255914</c:v>
                </c:pt>
                <c:pt idx="585">
                  <c:v>50118.723362718927</c:v>
                </c:pt>
                <c:pt idx="586">
                  <c:v>52480.746024968459</c:v>
                </c:pt>
                <c:pt idx="587">
                  <c:v>54954.087385753228</c:v>
                </c:pt>
                <c:pt idx="588">
                  <c:v>57543.993733705924</c:v>
                </c:pt>
                <c:pt idx="589">
                  <c:v>60255.958607425528</c:v>
                </c:pt>
                <c:pt idx="590">
                  <c:v>63095.734448008472</c:v>
                </c:pt>
                <c:pt idx="591">
                  <c:v>66069.344800748222</c:v>
                </c:pt>
                <c:pt idx="592">
                  <c:v>69183.097091881718</c:v>
                </c:pt>
                <c:pt idx="593">
                  <c:v>72443.596007486383</c:v>
                </c:pt>
                <c:pt idx="594">
                  <c:v>75857.757502905137</c:v>
                </c:pt>
                <c:pt idx="595">
                  <c:v>79432.823472414137</c:v>
                </c:pt>
                <c:pt idx="596">
                  <c:v>83176.377110252404</c:v>
                </c:pt>
                <c:pt idx="597">
                  <c:v>87096.358995592498</c:v>
                </c:pt>
                <c:pt idx="598">
                  <c:v>91201.083935574658</c:v>
                </c:pt>
                <c:pt idx="599">
                  <c:v>95499.258602126327</c:v>
                </c:pt>
                <c:pt idx="600">
                  <c:v>99999.999999981897</c:v>
                </c:pt>
                <c:pt idx="601">
                  <c:v>104712.85480507098</c:v>
                </c:pt>
                <c:pt idx="602">
                  <c:v>109647.81961429842</c:v>
                </c:pt>
                <c:pt idx="603">
                  <c:v>114815.36214966723</c:v>
                </c:pt>
                <c:pt idx="604">
                  <c:v>120226.44346171901</c:v>
                </c:pt>
                <c:pt idx="605">
                  <c:v>125892.54117939337</c:v>
                </c:pt>
                <c:pt idx="606">
                  <c:v>131825.67385561598</c:v>
                </c:pt>
                <c:pt idx="607">
                  <c:v>138038.42646026259</c:v>
                </c:pt>
                <c:pt idx="608">
                  <c:v>144543.97707456534</c:v>
                </c:pt>
                <c:pt idx="609">
                  <c:v>151356.12484359209</c:v>
                </c:pt>
                <c:pt idx="610">
                  <c:v>158489.31924608123</c:v>
                </c:pt>
                <c:pt idx="611">
                  <c:v>165958.6907437242</c:v>
                </c:pt>
                <c:pt idx="612">
                  <c:v>173780.08287490415</c:v>
                </c:pt>
                <c:pt idx="613">
                  <c:v>181970.08586096301</c:v>
                </c:pt>
                <c:pt idx="614">
                  <c:v>190546.0717962877</c:v>
                </c:pt>
                <c:pt idx="615">
                  <c:v>199526.23149684881</c:v>
                </c:pt>
                <c:pt idx="616">
                  <c:v>208929.61308536289</c:v>
                </c:pt>
                <c:pt idx="617">
                  <c:v>218776.16239491221</c:v>
                </c:pt>
                <c:pt idx="618">
                  <c:v>229086.76527673181</c:v>
                </c:pt>
                <c:pt idx="619">
                  <c:v>239883.29190190136</c:v>
                </c:pt>
                <c:pt idx="620">
                  <c:v>251188.64315090756</c:v>
                </c:pt>
                <c:pt idx="621">
                  <c:v>263026.79918948532</c:v>
                </c:pt>
                <c:pt idx="622">
                  <c:v>275422.87033376074</c:v>
                </c:pt>
                <c:pt idx="623">
                  <c:v>288403.150312602</c:v>
                </c:pt>
                <c:pt idx="624">
                  <c:v>301995.17204013967</c:v>
                </c:pt>
                <c:pt idx="625">
                  <c:v>316227.76601677301</c:v>
                </c:pt>
                <c:pt idx="626">
                  <c:v>331131.12148252304</c:v>
                </c:pt>
                <c:pt idx="627">
                  <c:v>346736.85045245971</c:v>
                </c:pt>
                <c:pt idx="628">
                  <c:v>363078.05477002595</c:v>
                </c:pt>
                <c:pt idx="629">
                  <c:v>380189.39632048149</c:v>
                </c:pt>
                <c:pt idx="630">
                  <c:v>398107.17055341374</c:v>
                </c:pt>
                <c:pt idx="631">
                  <c:v>416869.38347024709</c:v>
                </c:pt>
                <c:pt idx="632">
                  <c:v>436515.83224007342</c:v>
                </c:pt>
                <c:pt idx="633">
                  <c:v>457088.18961477722</c:v>
                </c:pt>
                <c:pt idx="634">
                  <c:v>478630.09232253587</c:v>
                </c:pt>
                <c:pt idx="635">
                  <c:v>501187.23362716485</c:v>
                </c:pt>
                <c:pt idx="636">
                  <c:v>524807.46024965914</c:v>
                </c:pt>
                <c:pt idx="637">
                  <c:v>549540.87385750562</c:v>
                </c:pt>
                <c:pt idx="638">
                  <c:v>575439.93733703124</c:v>
                </c:pt>
                <c:pt idx="639">
                  <c:v>602559.58607422595</c:v>
                </c:pt>
                <c:pt idx="640">
                  <c:v>630957.3444800541</c:v>
                </c:pt>
                <c:pt idx="641">
                  <c:v>660693.44800745009</c:v>
                </c:pt>
                <c:pt idx="642">
                  <c:v>691830.9709187824</c:v>
                </c:pt>
                <c:pt idx="643">
                  <c:v>724435.96007482859</c:v>
                </c:pt>
                <c:pt idx="644">
                  <c:v>758577.57502901449</c:v>
                </c:pt>
                <c:pt idx="645">
                  <c:v>794328.23472410266</c:v>
                </c:pt>
                <c:pt idx="646">
                  <c:v>831763.77110248362</c:v>
                </c:pt>
                <c:pt idx="647">
                  <c:v>870963.58995588263</c:v>
                </c:pt>
                <c:pt idx="648">
                  <c:v>912010.83935570228</c:v>
                </c:pt>
                <c:pt idx="649">
                  <c:v>954992.58602121682</c:v>
                </c:pt>
                <c:pt idx="650">
                  <c:v>999999.99999977043</c:v>
                </c:pt>
                <c:pt idx="651">
                  <c:v>1047128.548050657</c:v>
                </c:pt>
                <c:pt idx="652">
                  <c:v>1096478.1961429308</c:v>
                </c:pt>
                <c:pt idx="653">
                  <c:v>1148153.6214966164</c:v>
                </c:pt>
                <c:pt idx="654">
                  <c:v>1202264.4346171317</c:v>
                </c:pt>
                <c:pt idx="655">
                  <c:v>1258925.4117938725</c:v>
                </c:pt>
                <c:pt idx="656">
                  <c:v>1318256.7385560959</c:v>
                </c:pt>
                <c:pt idx="657">
                  <c:v>1380384.2646025587</c:v>
                </c:pt>
                <c:pt idx="658">
                  <c:v>1445439.7707455831</c:v>
                </c:pt>
                <c:pt idx="659">
                  <c:v>1513561.2484358472</c:v>
                </c:pt>
                <c:pt idx="660">
                  <c:v>1584893.1924607325</c:v>
                </c:pt>
                <c:pt idx="661">
                  <c:v>1659586.9074371613</c:v>
                </c:pt>
                <c:pt idx="662">
                  <c:v>1737800.828748957</c:v>
                </c:pt>
                <c:pt idx="663">
                  <c:v>1819700.8586095418</c:v>
                </c:pt>
                <c:pt idx="664">
                  <c:v>1905460.7179627842</c:v>
                </c:pt>
                <c:pt idx="665">
                  <c:v>1995262.3149683909</c:v>
                </c:pt>
                <c:pt idx="666">
                  <c:v>2089296.1308535275</c:v>
                </c:pt>
                <c:pt idx="667">
                  <c:v>2187761.6239490118</c:v>
                </c:pt>
                <c:pt idx="668">
                  <c:v>2290867.6527672065</c:v>
                </c:pt>
                <c:pt idx="669">
                  <c:v>2398832.9190188926</c:v>
                </c:pt>
                <c:pt idx="670">
                  <c:v>2511886.4315089537</c:v>
                </c:pt>
                <c:pt idx="671">
                  <c:v>2630267.9918947252</c:v>
                </c:pt>
                <c:pt idx="672">
                  <c:v>2754228.7033374733</c:v>
                </c:pt>
                <c:pt idx="673">
                  <c:v>2884031.5031258799</c:v>
                </c:pt>
                <c:pt idx="674">
                  <c:v>3019951.7204012498</c:v>
                </c:pt>
                <c:pt idx="675">
                  <c:v>3162277.6601675763</c:v>
                </c:pt>
                <c:pt idx="676">
                  <c:v>3311311.2148250635</c:v>
                </c:pt>
                <c:pt idx="677">
                  <c:v>3467368.5045244284</c:v>
                </c:pt>
                <c:pt idx="678">
                  <c:v>3630780.5477000829</c:v>
                </c:pt>
                <c:pt idx="679">
                  <c:v>3801893.9632046302</c:v>
                </c:pt>
                <c:pt idx="680">
                  <c:v>3981071.7055339436</c:v>
                </c:pt>
                <c:pt idx="681">
                  <c:v>4168693.8347022682</c:v>
                </c:pt>
                <c:pt idx="682">
                  <c:v>4365158.3224005224</c:v>
                </c:pt>
                <c:pt idx="683">
                  <c:v>4570881.8961475501</c:v>
                </c:pt>
                <c:pt idx="684">
                  <c:v>4786300.9232251262</c:v>
                </c:pt>
                <c:pt idx="685">
                  <c:v>5011872.3362713959</c:v>
                </c:pt>
                <c:pt idx="686">
                  <c:v>5248074.6024963353</c:v>
                </c:pt>
                <c:pt idx="687">
                  <c:v>5495408.7385747889</c:v>
                </c:pt>
                <c:pt idx="688">
                  <c:v>5754399.3733700328</c:v>
                </c:pt>
                <c:pt idx="689">
                  <c:v>6025595.8607419673</c:v>
                </c:pt>
                <c:pt idx="690">
                  <c:v>6309573.4448002335</c:v>
                </c:pt>
                <c:pt idx="691">
                  <c:v>6606934.4800741803</c:v>
                </c:pt>
                <c:pt idx="692">
                  <c:v>6918309.7091874871</c:v>
                </c:pt>
                <c:pt idx="693">
                  <c:v>7244359.6007479327</c:v>
                </c:pt>
                <c:pt idx="694">
                  <c:v>7585775.7502897624</c:v>
                </c:pt>
                <c:pt idx="695">
                  <c:v>7943282.3472406408</c:v>
                </c:pt>
                <c:pt idx="696">
                  <c:v>8317637.7110244315</c:v>
                </c:pt>
                <c:pt idx="697">
                  <c:v>8709635.8995584026</c:v>
                </c:pt>
                <c:pt idx="698">
                  <c:v>9120108.3935565799</c:v>
                </c:pt>
                <c:pt idx="699">
                  <c:v>9549925.8602117207</c:v>
                </c:pt>
                <c:pt idx="700">
                  <c:v>9999999.9999972004</c:v>
                </c:pt>
              </c:numCache>
            </c:numRef>
          </c:xVal>
          <c:yVal>
            <c:numRef>
              <c:f>Dynamic_Modulus_Calc!$Z$52:$Z$752</c:f>
              <c:numCache>
                <c:formatCode>0.00E+00</c:formatCode>
                <c:ptCount val="7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AD-443A-A25B-EF6D09F03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70848"/>
        <c:axId val="297871240"/>
      </c:scatterChart>
      <c:valAx>
        <c:axId val="2978708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1240"/>
        <c:crosses val="autoZero"/>
        <c:crossBetween val="midCat"/>
        <c:majorUnit val="1000"/>
      </c:valAx>
      <c:valAx>
        <c:axId val="297871240"/>
        <c:scaling>
          <c:logBase val="10"/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/>
                  <a:t>Dynamic Modulus (psi)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97870848"/>
        <c:crossesAt val="1.0000000000000006E-10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9401827175449227"/>
          <c:y val="0.5747645997375328"/>
          <c:w val="0.21303295421405657"/>
          <c:h val="0.213578576115485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image" Target="../media/image7.emf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12" Type="http://schemas.openxmlformats.org/officeDocument/2006/relationships/image" Target="../media/image6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chart" Target="../charts/chart5.xml"/><Relationship Id="rId11" Type="http://schemas.openxmlformats.org/officeDocument/2006/relationships/image" Target="../media/image5.emf"/><Relationship Id="rId5" Type="http://schemas.openxmlformats.org/officeDocument/2006/relationships/chart" Target="../charts/chart4.xml"/><Relationship Id="rId10" Type="http://schemas.openxmlformats.org/officeDocument/2006/relationships/image" Target="../media/image4.emf"/><Relationship Id="rId4" Type="http://schemas.openxmlformats.org/officeDocument/2006/relationships/image" Target="../media/image1.png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380998</xdr:colOff>
      <xdr:row>9</xdr:row>
      <xdr:rowOff>64470</xdr:rowOff>
    </xdr:from>
    <xdr:to>
      <xdr:col>28</xdr:col>
      <xdr:colOff>568777</xdr:colOff>
      <xdr:row>32</xdr:row>
      <xdr:rowOff>186934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394608</xdr:colOff>
      <xdr:row>33</xdr:row>
      <xdr:rowOff>167637</xdr:rowOff>
    </xdr:from>
    <xdr:to>
      <xdr:col>28</xdr:col>
      <xdr:colOff>582387</xdr:colOff>
      <xdr:row>57</xdr:row>
      <xdr:rowOff>140423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40821</xdr:colOff>
      <xdr:row>1</xdr:row>
      <xdr:rowOff>68036</xdr:rowOff>
    </xdr:from>
    <xdr:to>
      <xdr:col>4</xdr:col>
      <xdr:colOff>588922</xdr:colOff>
      <xdr:row>5</xdr:row>
      <xdr:rowOff>180093</xdr:rowOff>
    </xdr:to>
    <xdr:pic>
      <xdr:nvPicPr>
        <xdr:cNvPr id="7" name="ARA_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258536"/>
          <a:ext cx="2466708" cy="874057"/>
        </a:xfrm>
        <a:prstGeom prst="rect">
          <a:avLst/>
        </a:prstGeom>
      </xdr:spPr>
    </xdr:pic>
    <xdr:clientData/>
  </xdr:twoCellAnchor>
  <xdr:twoCellAnchor editAs="absolute">
    <xdr:from>
      <xdr:col>9</xdr:col>
      <xdr:colOff>40823</xdr:colOff>
      <xdr:row>23</xdr:row>
      <xdr:rowOff>27218</xdr:rowOff>
    </xdr:from>
    <xdr:to>
      <xdr:col>13</xdr:col>
      <xdr:colOff>530680</xdr:colOff>
      <xdr:row>27</xdr:row>
      <xdr:rowOff>42860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6644" y="4476754"/>
          <a:ext cx="3048000" cy="777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17</xdr:col>
      <xdr:colOff>40821</xdr:colOff>
      <xdr:row>1</xdr:row>
      <xdr:rowOff>68036</xdr:rowOff>
    </xdr:from>
    <xdr:to>
      <xdr:col>20</xdr:col>
      <xdr:colOff>588922</xdr:colOff>
      <xdr:row>5</xdr:row>
      <xdr:rowOff>180093</xdr:rowOff>
    </xdr:to>
    <xdr:pic>
      <xdr:nvPicPr>
        <xdr:cNvPr id="9" name="ARA_Log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258536"/>
          <a:ext cx="2466708" cy="8740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14</xdr:row>
          <xdr:rowOff>66675</xdr:rowOff>
        </xdr:from>
        <xdr:to>
          <xdr:col>12</xdr:col>
          <xdr:colOff>190500</xdr:colOff>
          <xdr:row>17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Import Default Pavement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485775</xdr:colOff>
          <xdr:row>14</xdr:row>
          <xdr:rowOff>57150</xdr:rowOff>
        </xdr:from>
        <xdr:to>
          <xdr:col>15</xdr:col>
          <xdr:colOff>0</xdr:colOff>
          <xdr:row>16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to Default Pavement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72</xdr:row>
          <xdr:rowOff>161925</xdr:rowOff>
        </xdr:from>
        <xdr:to>
          <xdr:col>4</xdr:col>
          <xdr:colOff>104775</xdr:colOff>
          <xdr:row>75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Half-Sine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72</xdr:row>
          <xdr:rowOff>152400</xdr:rowOff>
        </xdr:from>
        <xdr:to>
          <xdr:col>9</xdr:col>
          <xdr:colOff>47625</xdr:colOff>
          <xdr:row>75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Haver-Sine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72</xdr:row>
          <xdr:rowOff>152400</xdr:rowOff>
        </xdr:from>
        <xdr:to>
          <xdr:col>14</xdr:col>
          <xdr:colOff>133350</xdr:colOff>
          <xdr:row>75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Gaussian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78</xdr:row>
          <xdr:rowOff>552450</xdr:rowOff>
        </xdr:from>
        <xdr:to>
          <xdr:col>16</xdr:col>
          <xdr:colOff>257175</xdr:colOff>
          <xdr:row>82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Clear Measured Time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83</xdr:row>
          <xdr:rowOff>0</xdr:rowOff>
        </xdr:from>
        <xdr:to>
          <xdr:col>16</xdr:col>
          <xdr:colOff>257175</xdr:colOff>
          <xdr:row>86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Import Measured Time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13</xdr:row>
          <xdr:rowOff>161925</xdr:rowOff>
        </xdr:from>
        <xdr:to>
          <xdr:col>19</xdr:col>
          <xdr:colOff>504825</xdr:colOff>
          <xdr:row>17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Run Backcalculation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638734</xdr:colOff>
      <xdr:row>15</xdr:row>
      <xdr:rowOff>145675</xdr:rowOff>
    </xdr:from>
    <xdr:to>
      <xdr:col>14</xdr:col>
      <xdr:colOff>490010</xdr:colOff>
      <xdr:row>19</xdr:row>
      <xdr:rowOff>67847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2" y="3003175"/>
          <a:ext cx="3044952" cy="684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15</xdr:row>
      <xdr:rowOff>134471</xdr:rowOff>
    </xdr:from>
    <xdr:to>
      <xdr:col>5</xdr:col>
      <xdr:colOff>133079</xdr:colOff>
      <xdr:row>19</xdr:row>
      <xdr:rowOff>58271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" y="2991971"/>
          <a:ext cx="268802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17</xdr:col>
      <xdr:colOff>110938</xdr:colOff>
      <xdr:row>4</xdr:row>
      <xdr:rowOff>104216</xdr:rowOff>
    </xdr:from>
    <xdr:to>
      <xdr:col>26</xdr:col>
      <xdr:colOff>305920</xdr:colOff>
      <xdr:row>23</xdr:row>
      <xdr:rowOff>142316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27214</xdr:colOff>
      <xdr:row>1</xdr:row>
      <xdr:rowOff>27214</xdr:rowOff>
    </xdr:from>
    <xdr:to>
      <xdr:col>4</xdr:col>
      <xdr:colOff>575315</xdr:colOff>
      <xdr:row>5</xdr:row>
      <xdr:rowOff>139271</xdr:rowOff>
    </xdr:to>
    <xdr:pic>
      <xdr:nvPicPr>
        <xdr:cNvPr id="7" name="ARA_Logo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217714"/>
          <a:ext cx="2466708" cy="874057"/>
        </a:xfrm>
        <a:prstGeom prst="rect">
          <a:avLst/>
        </a:prstGeom>
      </xdr:spPr>
    </xdr:pic>
    <xdr:clientData/>
  </xdr:twoCellAnchor>
  <xdr:twoCellAnchor editAs="absolute">
    <xdr:from>
      <xdr:col>17</xdr:col>
      <xdr:colOff>100853</xdr:colOff>
      <xdr:row>24</xdr:row>
      <xdr:rowOff>100856</xdr:rowOff>
    </xdr:from>
    <xdr:to>
      <xdr:col>26</xdr:col>
      <xdr:colOff>295835</xdr:colOff>
      <xdr:row>43</xdr:row>
      <xdr:rowOff>138956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27</xdr:col>
      <xdr:colOff>21291</xdr:colOff>
      <xdr:row>4</xdr:row>
      <xdr:rowOff>56031</xdr:rowOff>
    </xdr:from>
    <xdr:to>
      <xdr:col>36</xdr:col>
      <xdr:colOff>317126</xdr:colOff>
      <xdr:row>23</xdr:row>
      <xdr:rowOff>94131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27</xdr:col>
      <xdr:colOff>11206</xdr:colOff>
      <xdr:row>24</xdr:row>
      <xdr:rowOff>52671</xdr:rowOff>
    </xdr:from>
    <xdr:to>
      <xdr:col>36</xdr:col>
      <xdr:colOff>307041</xdr:colOff>
      <xdr:row>43</xdr:row>
      <xdr:rowOff>90771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37</xdr:col>
      <xdr:colOff>10085</xdr:colOff>
      <xdr:row>4</xdr:row>
      <xdr:rowOff>11208</xdr:rowOff>
    </xdr:from>
    <xdr:to>
      <xdr:col>46</xdr:col>
      <xdr:colOff>507626</xdr:colOff>
      <xdr:row>23</xdr:row>
      <xdr:rowOff>49308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37</xdr:col>
      <xdr:colOff>0</xdr:colOff>
      <xdr:row>24</xdr:row>
      <xdr:rowOff>7848</xdr:rowOff>
    </xdr:from>
    <xdr:to>
      <xdr:col>46</xdr:col>
      <xdr:colOff>497541</xdr:colOff>
      <xdr:row>43</xdr:row>
      <xdr:rowOff>45948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142875</xdr:rowOff>
        </xdr:from>
        <xdr:to>
          <xdr:col>8</xdr:col>
          <xdr:colOff>533400</xdr:colOff>
          <xdr:row>13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------------&gt;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E(t) to |E*|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14</xdr:row>
          <xdr:rowOff>47625</xdr:rowOff>
        </xdr:from>
        <xdr:to>
          <xdr:col>8</xdr:col>
          <xdr:colOff>552450</xdr:colOff>
          <xdr:row>18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&lt;------------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|E*| to E(t)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235323</xdr:colOff>
      <xdr:row>28</xdr:row>
      <xdr:rowOff>179295</xdr:rowOff>
    </xdr:from>
    <xdr:to>
      <xdr:col>12</xdr:col>
      <xdr:colOff>492498</xdr:colOff>
      <xdr:row>32</xdr:row>
      <xdr:rowOff>150720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3941" y="5513295"/>
          <a:ext cx="2173381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168089</xdr:colOff>
      <xdr:row>34</xdr:row>
      <xdr:rowOff>78439</xdr:rowOff>
    </xdr:from>
    <xdr:to>
      <xdr:col>13</xdr:col>
      <xdr:colOff>541710</xdr:colOff>
      <xdr:row>37</xdr:row>
      <xdr:rowOff>55579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6707" y="6555439"/>
          <a:ext cx="2928562" cy="548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336176</xdr:colOff>
      <xdr:row>37</xdr:row>
      <xdr:rowOff>156880</xdr:rowOff>
    </xdr:from>
    <xdr:to>
      <xdr:col>14</xdr:col>
      <xdr:colOff>328193</xdr:colOff>
      <xdr:row>41</xdr:row>
      <xdr:rowOff>34960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264" y="7205380"/>
          <a:ext cx="1908223" cy="640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369794</xdr:colOff>
      <xdr:row>37</xdr:row>
      <xdr:rowOff>156877</xdr:rowOff>
    </xdr:from>
    <xdr:to>
      <xdr:col>11</xdr:col>
      <xdr:colOff>56702</xdr:colOff>
      <xdr:row>41</xdr:row>
      <xdr:rowOff>34957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0941" y="7205377"/>
          <a:ext cx="2241849" cy="640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AE391"/>
  <sheetViews>
    <sheetView showGridLines="0" tabSelected="1" zoomScale="70" zoomScaleNormal="70" workbookViewId="0">
      <selection activeCell="E12" sqref="E12"/>
    </sheetView>
  </sheetViews>
  <sheetFormatPr defaultRowHeight="15"/>
  <cols>
    <col min="1" max="10" width="9.5703125" style="1" customWidth="1"/>
    <col min="11" max="11" width="9.5703125" style="13" customWidth="1"/>
    <col min="12" max="54" width="9.5703125" style="1" customWidth="1"/>
    <col min="55" max="16384" width="9.140625" style="1"/>
  </cols>
  <sheetData>
    <row r="1" spans="2:31">
      <c r="K1" s="1"/>
    </row>
    <row r="2" spans="2:31" ht="15" customHeight="1">
      <c r="B2" s="2"/>
      <c r="C2" s="2"/>
      <c r="D2" s="2"/>
      <c r="E2" s="2"/>
      <c r="F2" s="134" t="s">
        <v>19</v>
      </c>
      <c r="G2" s="134"/>
      <c r="H2" s="134"/>
      <c r="I2" s="134"/>
      <c r="J2" s="134"/>
      <c r="K2" s="134"/>
      <c r="L2" s="134"/>
      <c r="M2" s="134"/>
      <c r="N2" s="134"/>
      <c r="O2" s="134"/>
      <c r="R2" s="2"/>
      <c r="S2" s="2"/>
      <c r="T2" s="2"/>
      <c r="U2" s="2"/>
      <c r="V2" s="134" t="s">
        <v>19</v>
      </c>
      <c r="W2" s="134"/>
      <c r="X2" s="134"/>
      <c r="Y2" s="134"/>
      <c r="Z2" s="134"/>
      <c r="AA2" s="134"/>
      <c r="AB2" s="134"/>
      <c r="AC2" s="134"/>
      <c r="AD2" s="134"/>
      <c r="AE2" s="134"/>
    </row>
    <row r="3" spans="2:31" ht="15" customHeight="1">
      <c r="B3" s="2"/>
      <c r="C3" s="2"/>
      <c r="D3" s="2"/>
      <c r="E3" s="2"/>
      <c r="F3" s="134"/>
      <c r="G3" s="134"/>
      <c r="H3" s="134"/>
      <c r="I3" s="134"/>
      <c r="J3" s="134"/>
      <c r="K3" s="134"/>
      <c r="L3" s="134"/>
      <c r="M3" s="134"/>
      <c r="N3" s="134"/>
      <c r="O3" s="134"/>
      <c r="R3" s="2"/>
      <c r="S3" s="2"/>
      <c r="T3" s="2"/>
      <c r="U3" s="2"/>
      <c r="V3" s="134"/>
      <c r="W3" s="134"/>
      <c r="X3" s="134"/>
      <c r="Y3" s="134"/>
      <c r="Z3" s="134"/>
      <c r="AA3" s="134"/>
      <c r="AB3" s="134"/>
      <c r="AC3" s="134"/>
      <c r="AD3" s="134"/>
      <c r="AE3" s="134"/>
    </row>
    <row r="4" spans="2:31" ht="15" customHeight="1">
      <c r="B4" s="2"/>
      <c r="C4" s="2"/>
      <c r="D4" s="2"/>
      <c r="E4" s="2"/>
      <c r="F4" s="134"/>
      <c r="G4" s="134"/>
      <c r="H4" s="134"/>
      <c r="I4" s="134"/>
      <c r="J4" s="134"/>
      <c r="K4" s="134"/>
      <c r="L4" s="134"/>
      <c r="M4" s="134"/>
      <c r="N4" s="134"/>
      <c r="O4" s="134"/>
      <c r="R4" s="2"/>
      <c r="S4" s="2"/>
      <c r="T4" s="2"/>
      <c r="U4" s="2"/>
      <c r="V4" s="134"/>
      <c r="W4" s="134"/>
      <c r="X4" s="134"/>
      <c r="Y4" s="134"/>
      <c r="Z4" s="134"/>
      <c r="AA4" s="134"/>
      <c r="AB4" s="134"/>
      <c r="AC4" s="134"/>
      <c r="AD4" s="134"/>
      <c r="AE4" s="134"/>
    </row>
    <row r="5" spans="2:31" ht="15" customHeight="1">
      <c r="F5" s="134"/>
      <c r="G5" s="134"/>
      <c r="H5" s="134"/>
      <c r="I5" s="134"/>
      <c r="J5" s="134"/>
      <c r="K5" s="134"/>
      <c r="L5" s="134"/>
      <c r="M5" s="134"/>
      <c r="N5" s="134"/>
      <c r="O5" s="134"/>
      <c r="V5" s="134"/>
      <c r="W5" s="134"/>
      <c r="X5" s="134"/>
      <c r="Y5" s="134"/>
      <c r="Z5" s="134"/>
      <c r="AA5" s="134"/>
      <c r="AB5" s="134"/>
      <c r="AC5" s="134"/>
      <c r="AD5" s="134"/>
      <c r="AE5" s="134"/>
    </row>
    <row r="6" spans="2:31">
      <c r="K6" s="1"/>
    </row>
    <row r="7" spans="2:31">
      <c r="K7" s="1"/>
      <c r="O7" s="3" t="s">
        <v>21</v>
      </c>
      <c r="AE7" s="3" t="s">
        <v>21</v>
      </c>
    </row>
    <row r="8" spans="2:31" ht="16.5" thickBot="1">
      <c r="B8" s="4" t="s">
        <v>20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R8" s="4" t="s">
        <v>50</v>
      </c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</row>
    <row r="9" spans="2:31" ht="15.75" thickTop="1">
      <c r="K9" s="1"/>
    </row>
    <row r="10" spans="2:31">
      <c r="C10" s="83" t="s">
        <v>22</v>
      </c>
      <c r="D10" s="83"/>
      <c r="E10" s="83"/>
      <c r="F10" s="83"/>
      <c r="G10" s="83"/>
      <c r="H10" s="83"/>
      <c r="I10" s="83"/>
      <c r="J10" s="83"/>
      <c r="K10" s="12" t="s">
        <v>57</v>
      </c>
      <c r="N10" s="83"/>
    </row>
    <row r="11" spans="2:31">
      <c r="C11" s="139" t="s">
        <v>1</v>
      </c>
      <c r="D11" s="139"/>
      <c r="E11" s="69" t="s">
        <v>52</v>
      </c>
      <c r="F11" s="70" t="s">
        <v>53</v>
      </c>
      <c r="G11" s="71" t="s">
        <v>56</v>
      </c>
      <c r="H11" s="69" t="s">
        <v>54</v>
      </c>
      <c r="I11" s="69" t="s">
        <v>55</v>
      </c>
      <c r="J11" s="58"/>
      <c r="K11" s="61" t="s">
        <v>58</v>
      </c>
      <c r="L11" s="62"/>
      <c r="M11" s="109"/>
      <c r="N11" s="109" t="s">
        <v>59</v>
      </c>
      <c r="O11" s="110"/>
    </row>
    <row r="12" spans="2:31">
      <c r="C12" s="140">
        <v>1</v>
      </c>
      <c r="D12" s="140"/>
      <c r="E12" s="76">
        <v>0</v>
      </c>
      <c r="F12" s="77">
        <v>0.35</v>
      </c>
      <c r="G12" s="76">
        <v>140</v>
      </c>
      <c r="H12" s="78">
        <v>12</v>
      </c>
      <c r="I12" s="79">
        <v>0.1</v>
      </c>
      <c r="J12" s="59"/>
      <c r="K12" s="64" t="s">
        <v>61</v>
      </c>
      <c r="L12" s="14"/>
      <c r="M12" s="7"/>
      <c r="N12" s="7" t="s">
        <v>60</v>
      </c>
      <c r="O12" s="111"/>
    </row>
    <row r="13" spans="2:31">
      <c r="C13" s="140">
        <v>2</v>
      </c>
      <c r="D13" s="140"/>
      <c r="E13" s="76">
        <v>15000</v>
      </c>
      <c r="F13" s="77">
        <v>0.4</v>
      </c>
      <c r="G13" s="76">
        <v>120</v>
      </c>
      <c r="H13" s="78">
        <v>12</v>
      </c>
      <c r="I13" s="79">
        <v>0.1</v>
      </c>
      <c r="J13" s="59"/>
      <c r="K13" s="66" t="s">
        <v>62</v>
      </c>
      <c r="L13" s="67"/>
      <c r="M13" s="112"/>
      <c r="N13" s="112"/>
      <c r="O13" s="68"/>
    </row>
    <row r="14" spans="2:31">
      <c r="C14" s="140">
        <v>3</v>
      </c>
      <c r="D14" s="140"/>
      <c r="E14" s="76">
        <v>10000</v>
      </c>
      <c r="F14" s="77">
        <v>0.45</v>
      </c>
      <c r="G14" s="76">
        <v>100</v>
      </c>
      <c r="H14" s="78">
        <v>122.2291330055794</v>
      </c>
      <c r="I14" s="79">
        <v>0.1</v>
      </c>
      <c r="J14" s="59"/>
      <c r="K14" s="7"/>
      <c r="L14" s="14"/>
      <c r="M14" s="7"/>
      <c r="N14" s="7"/>
      <c r="O14" s="7"/>
    </row>
    <row r="15" spans="2:31">
      <c r="C15" s="140">
        <v>4</v>
      </c>
      <c r="D15" s="140"/>
      <c r="E15" s="76"/>
      <c r="F15" s="77"/>
      <c r="G15" s="76"/>
      <c r="H15" s="78"/>
      <c r="I15" s="79"/>
      <c r="J15" s="59"/>
      <c r="K15" s="7"/>
      <c r="L15" s="14"/>
      <c r="M15" s="7"/>
      <c r="N15" s="7"/>
      <c r="O15" s="7"/>
    </row>
    <row r="16" spans="2:31">
      <c r="C16" s="140">
        <v>5</v>
      </c>
      <c r="D16" s="140"/>
      <c r="E16" s="76"/>
      <c r="F16" s="77"/>
      <c r="G16" s="76"/>
      <c r="H16" s="78"/>
      <c r="I16" s="79"/>
      <c r="J16" s="59"/>
      <c r="O16" s="7"/>
    </row>
    <row r="17" spans="1:15">
      <c r="C17" s="140">
        <v>6</v>
      </c>
      <c r="D17" s="140"/>
      <c r="E17" s="76"/>
      <c r="F17" s="77"/>
      <c r="G17" s="76"/>
      <c r="H17" s="78"/>
      <c r="I17" s="79"/>
      <c r="J17" s="59"/>
    </row>
    <row r="18" spans="1:15">
      <c r="J18" s="9"/>
      <c r="K18" s="10"/>
      <c r="L18" s="11"/>
      <c r="M18" s="11"/>
    </row>
    <row r="19" spans="1:15" ht="15.75">
      <c r="B19" s="137" t="s">
        <v>39</v>
      </c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</row>
    <row r="20" spans="1:15" ht="15.75">
      <c r="B20" s="137" t="s">
        <v>25</v>
      </c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</row>
    <row r="21" spans="1:15" ht="15.75">
      <c r="B21" s="137" t="s">
        <v>26</v>
      </c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</row>
    <row r="23" spans="1:15">
      <c r="C23" s="29" t="s">
        <v>9</v>
      </c>
      <c r="D23" s="7"/>
      <c r="E23" s="29"/>
      <c r="F23" s="7"/>
      <c r="G23" s="29"/>
      <c r="H23" s="7"/>
      <c r="I23" s="29"/>
      <c r="J23" s="29" t="s">
        <v>23</v>
      </c>
      <c r="K23" s="14"/>
      <c r="L23" s="14"/>
    </row>
    <row r="24" spans="1:15">
      <c r="C24" s="135" t="s">
        <v>1</v>
      </c>
      <c r="D24" s="135"/>
      <c r="E24" s="46" t="s">
        <v>5</v>
      </c>
      <c r="F24" s="46" t="s">
        <v>6</v>
      </c>
      <c r="G24" s="46" t="s">
        <v>7</v>
      </c>
      <c r="H24" s="46" t="s">
        <v>8</v>
      </c>
      <c r="K24" s="60"/>
      <c r="O24" s="15"/>
    </row>
    <row r="25" spans="1:15">
      <c r="C25" s="136">
        <v>1</v>
      </c>
      <c r="D25" s="136"/>
      <c r="E25" s="80">
        <v>3.12347238317136</v>
      </c>
      <c r="F25" s="80">
        <v>3.4462525832021487</v>
      </c>
      <c r="G25" s="80">
        <v>-0.12802910225571282</v>
      </c>
      <c r="H25" s="80">
        <v>0.55434894372644949</v>
      </c>
      <c r="K25" s="33"/>
      <c r="O25" s="15"/>
    </row>
    <row r="26" spans="1:15">
      <c r="A26" s="12"/>
      <c r="C26" s="136">
        <v>2</v>
      </c>
      <c r="D26" s="136"/>
      <c r="E26" s="80"/>
      <c r="F26" s="80"/>
      <c r="G26" s="80"/>
      <c r="H26" s="80"/>
      <c r="K26" s="32"/>
      <c r="O26" s="15"/>
    </row>
    <row r="27" spans="1:15">
      <c r="A27" s="12"/>
      <c r="C27" s="136">
        <v>3</v>
      </c>
      <c r="D27" s="136"/>
      <c r="E27" s="80"/>
      <c r="F27" s="80"/>
      <c r="G27" s="80"/>
      <c r="H27" s="80"/>
      <c r="K27" s="32"/>
      <c r="O27" s="15"/>
    </row>
    <row r="28" spans="1:15">
      <c r="A28" s="12"/>
      <c r="H28" s="9"/>
      <c r="I28" s="10"/>
      <c r="J28" s="11"/>
      <c r="K28" s="11"/>
      <c r="O28" s="15"/>
    </row>
    <row r="29" spans="1:15" ht="16.5" thickBot="1">
      <c r="B29" s="4" t="s">
        <v>27</v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1:15" ht="15.75" thickTop="1">
      <c r="H30" s="9"/>
      <c r="I30" s="10"/>
      <c r="J30" s="11"/>
      <c r="O30" s="15"/>
    </row>
    <row r="31" spans="1:15">
      <c r="D31" s="22" t="s">
        <v>18</v>
      </c>
      <c r="H31" s="9"/>
      <c r="I31" s="10"/>
      <c r="J31" s="11"/>
      <c r="O31" s="15"/>
    </row>
    <row r="32" spans="1:15">
      <c r="D32" s="30" t="s">
        <v>10</v>
      </c>
      <c r="E32" s="31" t="s">
        <v>11</v>
      </c>
      <c r="F32" s="30" t="s">
        <v>12</v>
      </c>
      <c r="G32" s="30" t="s">
        <v>13</v>
      </c>
      <c r="H32" s="30" t="s">
        <v>14</v>
      </c>
      <c r="I32" s="30" t="s">
        <v>15</v>
      </c>
      <c r="J32" s="31" t="s">
        <v>16</v>
      </c>
      <c r="K32" s="30" t="s">
        <v>2</v>
      </c>
      <c r="L32" s="30" t="s">
        <v>17</v>
      </c>
      <c r="O32" s="15"/>
    </row>
    <row r="33" spans="1:16">
      <c r="C33" s="19"/>
      <c r="D33" s="76">
        <v>0</v>
      </c>
      <c r="E33" s="76">
        <v>8</v>
      </c>
      <c r="F33" s="76">
        <v>12</v>
      </c>
      <c r="G33" s="76">
        <v>18</v>
      </c>
      <c r="H33" s="76">
        <v>24</v>
      </c>
      <c r="I33" s="76">
        <v>36</v>
      </c>
      <c r="J33" s="76">
        <v>48</v>
      </c>
      <c r="K33" s="76">
        <v>60</v>
      </c>
      <c r="L33" s="76"/>
      <c r="O33" s="15"/>
    </row>
    <row r="34" spans="1:16">
      <c r="H34" s="9"/>
      <c r="I34" s="10"/>
      <c r="J34" s="11"/>
      <c r="O34" s="15"/>
    </row>
    <row r="35" spans="1:16" ht="15" customHeight="1">
      <c r="H35" s="9"/>
      <c r="I35" s="10"/>
      <c r="J35" s="11"/>
      <c r="O35" s="15"/>
    </row>
    <row r="36" spans="1:16" ht="15" customHeight="1" thickBot="1">
      <c r="B36" s="4" t="s">
        <v>24</v>
      </c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</row>
    <row r="37" spans="1:16" ht="15" customHeight="1" thickTop="1">
      <c r="H37" s="9"/>
      <c r="I37" s="10"/>
      <c r="J37" s="11"/>
      <c r="K37" s="11"/>
    </row>
    <row r="38" spans="1:16" ht="15" customHeight="1">
      <c r="B38" s="14"/>
      <c r="C38" s="14"/>
      <c r="D38" s="14"/>
      <c r="E38" s="14"/>
      <c r="F38" s="14"/>
      <c r="G38" s="14"/>
      <c r="H38" s="10"/>
      <c r="I38" s="10"/>
      <c r="J38" s="11"/>
      <c r="K38" s="11"/>
      <c r="L38" s="14"/>
      <c r="M38" s="14"/>
      <c r="N38" s="14"/>
      <c r="O38" s="14"/>
    </row>
    <row r="39" spans="1:16" ht="15" customHeight="1">
      <c r="B39" s="34" t="s">
        <v>30</v>
      </c>
      <c r="D39" s="81">
        <v>6</v>
      </c>
      <c r="E39" s="14" t="s">
        <v>28</v>
      </c>
      <c r="F39" s="14"/>
      <c r="G39" s="22" t="s">
        <v>29</v>
      </c>
      <c r="H39" s="14"/>
      <c r="I39" s="44">
        <f>MAX(C80:C379)</f>
        <v>8960.7093729999997</v>
      </c>
      <c r="J39" s="14" t="s">
        <v>31</v>
      </c>
      <c r="K39" s="1"/>
      <c r="L39" s="34" t="s">
        <v>33</v>
      </c>
      <c r="N39" s="43">
        <f>I39/PI()/D39^2</f>
        <v>79.230066129046008</v>
      </c>
      <c r="O39" s="14" t="s">
        <v>32</v>
      </c>
    </row>
    <row r="40" spans="1:16" ht="15" customHeight="1">
      <c r="B40" s="14"/>
      <c r="C40" s="14"/>
      <c r="D40" s="14"/>
      <c r="E40" s="14"/>
      <c r="F40" s="14"/>
      <c r="G40" s="14"/>
      <c r="H40" s="10"/>
      <c r="I40" s="10"/>
      <c r="J40" s="11"/>
      <c r="K40" s="14"/>
      <c r="L40" s="14"/>
      <c r="M40" s="14"/>
      <c r="N40" s="14"/>
      <c r="O40" s="14"/>
    </row>
    <row r="41" spans="1:16" ht="15" customHeight="1">
      <c r="B41" s="14"/>
      <c r="C41" s="14"/>
      <c r="D41" s="14"/>
      <c r="E41" s="14"/>
      <c r="F41" s="14"/>
      <c r="G41" s="14"/>
      <c r="H41" s="10"/>
      <c r="I41" s="10"/>
      <c r="J41" s="11"/>
      <c r="K41" s="14"/>
      <c r="L41" s="14"/>
      <c r="M41" s="14"/>
      <c r="N41" s="14"/>
      <c r="O41" s="14"/>
    </row>
    <row r="42" spans="1:16" ht="15" customHeight="1">
      <c r="B42" s="137" t="s">
        <v>34</v>
      </c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</row>
    <row r="43" spans="1:16" ht="15" customHeight="1">
      <c r="B43" s="137" t="s">
        <v>48</v>
      </c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</row>
    <row r="44" spans="1:16" ht="15" customHeight="1">
      <c r="C44" s="8"/>
      <c r="D44" s="7"/>
      <c r="G44" s="16"/>
      <c r="H44" s="9"/>
      <c r="I44" s="17"/>
      <c r="J44" s="11"/>
      <c r="K44" s="18"/>
    </row>
    <row r="45" spans="1:16" s="14" customFormat="1" ht="15" customHeight="1">
      <c r="A45" s="1"/>
      <c r="B45" s="1"/>
      <c r="C45" s="8"/>
      <c r="D45" s="7"/>
      <c r="G45" s="10"/>
      <c r="H45" s="10"/>
      <c r="I45" s="17"/>
      <c r="J45" s="11"/>
      <c r="K45" s="20"/>
    </row>
    <row r="46" spans="1:16" s="7" customFormat="1" ht="16.5" thickBot="1">
      <c r="A46" s="1"/>
      <c r="B46" s="4" t="s">
        <v>35</v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6" s="14" customFormat="1" ht="15.75" thickTop="1">
      <c r="A47" s="1"/>
      <c r="B47" s="1"/>
      <c r="C47" s="8"/>
      <c r="D47" s="7"/>
      <c r="H47" s="32"/>
      <c r="I47" s="33"/>
      <c r="J47" s="33"/>
      <c r="K47" s="33"/>
      <c r="L47" s="33"/>
    </row>
    <row r="48" spans="1:16" s="14" customFormat="1">
      <c r="A48" s="13"/>
      <c r="B48" s="35" t="s">
        <v>36</v>
      </c>
      <c r="L48" s="53">
        <f>SUMXMY2(T80:AB379,D80:L379)</f>
        <v>246.22535549092242</v>
      </c>
      <c r="N48" s="22" t="s">
        <v>37</v>
      </c>
      <c r="P48" s="19"/>
    </row>
    <row r="49" spans="1:15" s="14" customFormat="1">
      <c r="A49" s="1"/>
      <c r="B49" s="1"/>
    </row>
    <row r="50" spans="1:15" s="14" customFormat="1">
      <c r="A50" s="10"/>
      <c r="B50" s="17"/>
    </row>
    <row r="51" spans="1:15" s="14" customFormat="1">
      <c r="A51" s="10"/>
      <c r="B51" s="17"/>
      <c r="C51" s="12" t="s">
        <v>51</v>
      </c>
    </row>
    <row r="52" spans="1:15" s="14" customFormat="1">
      <c r="A52" s="10"/>
      <c r="B52" s="17"/>
      <c r="F52" s="36" t="s">
        <v>10</v>
      </c>
      <c r="G52" s="37" t="s">
        <v>11</v>
      </c>
      <c r="H52" s="36" t="s">
        <v>12</v>
      </c>
      <c r="I52" s="36" t="s">
        <v>13</v>
      </c>
      <c r="J52" s="36" t="s">
        <v>14</v>
      </c>
      <c r="K52" s="36" t="s">
        <v>15</v>
      </c>
      <c r="L52" s="37" t="s">
        <v>16</v>
      </c>
      <c r="M52" s="36" t="s">
        <v>2</v>
      </c>
      <c r="N52" s="36" t="s">
        <v>17</v>
      </c>
    </row>
    <row r="53" spans="1:15" s="14" customFormat="1">
      <c r="A53" s="10"/>
      <c r="B53" s="17"/>
      <c r="C53" s="138" t="s">
        <v>42</v>
      </c>
      <c r="D53" s="138"/>
      <c r="E53" s="138"/>
      <c r="F53" s="27">
        <f t="shared" ref="F53:N53" si="0">MAX(D80:D379)</f>
        <v>8.1185688159999998</v>
      </c>
      <c r="G53" s="27">
        <f t="shared" si="0"/>
        <v>7.3744623899999997</v>
      </c>
      <c r="H53" s="27">
        <f t="shared" si="0"/>
        <v>6.9963499120000003</v>
      </c>
      <c r="I53" s="27">
        <f t="shared" si="0"/>
        <v>6.2930051000000002</v>
      </c>
      <c r="J53" s="27">
        <f t="shared" si="0"/>
        <v>5.6362251319999999</v>
      </c>
      <c r="K53" s="27">
        <f t="shared" si="0"/>
        <v>4.3949699469999999</v>
      </c>
      <c r="L53" s="27">
        <f t="shared" si="0"/>
        <v>3.364957821</v>
      </c>
      <c r="M53" s="27">
        <f t="shared" si="0"/>
        <v>2.5297608669999998</v>
      </c>
      <c r="N53" s="27">
        <f t="shared" si="0"/>
        <v>0</v>
      </c>
    </row>
    <row r="54" spans="1:15" s="14" customFormat="1">
      <c r="A54" s="22"/>
      <c r="C54" s="138" t="s">
        <v>41</v>
      </c>
      <c r="D54" s="138"/>
      <c r="E54" s="138"/>
      <c r="F54" s="27">
        <f t="shared" ref="F54:N54" si="1">IF(ISERROR(MAX(T80:T379)),0,MAX(T80:T379))</f>
        <v>7.8646757347438587</v>
      </c>
      <c r="G54" s="27">
        <f t="shared" si="1"/>
        <v>7.0512692697021651</v>
      </c>
      <c r="H54" s="27">
        <f t="shared" si="1"/>
        <v>6.5932357905860028</v>
      </c>
      <c r="I54" s="27">
        <f t="shared" si="1"/>
        <v>5.9587244798923615</v>
      </c>
      <c r="J54" s="27">
        <f t="shared" si="1"/>
        <v>5.353345984514239</v>
      </c>
      <c r="K54" s="27">
        <f t="shared" si="1"/>
        <v>4.2020700893051144</v>
      </c>
      <c r="L54" s="27">
        <f t="shared" si="1"/>
        <v>3.230056564695841</v>
      </c>
      <c r="M54" s="27">
        <f t="shared" si="1"/>
        <v>2.4443938122760795</v>
      </c>
      <c r="N54" s="27">
        <f t="shared" si="1"/>
        <v>0</v>
      </c>
    </row>
    <row r="55" spans="1:15" s="14" customFormat="1">
      <c r="C55" s="138" t="s">
        <v>40</v>
      </c>
      <c r="D55" s="138"/>
      <c r="E55" s="138"/>
      <c r="F55" s="27">
        <f t="shared" ref="F55:M55" si="2">IF(ISERROR((F53-F54)^2),0,(F53-F54)^2)</f>
        <v>6.4461696709737448E-2</v>
      </c>
      <c r="G55" s="27">
        <f t="shared" si="2"/>
        <v>0.10445379300785061</v>
      </c>
      <c r="H55" s="27">
        <f t="shared" si="2"/>
        <v>0.1625009948833791</v>
      </c>
      <c r="I55" s="27">
        <f t="shared" si="2"/>
        <v>0.11174353297954746</v>
      </c>
      <c r="J55" s="27">
        <f t="shared" si="2"/>
        <v>8.002061208227082E-2</v>
      </c>
      <c r="K55" s="27">
        <f t="shared" si="2"/>
        <v>3.7210355098707071E-2</v>
      </c>
      <c r="L55" s="27">
        <f t="shared" si="2"/>
        <v>1.8198348952440383E-2</v>
      </c>
      <c r="M55" s="27">
        <f t="shared" si="2"/>
        <v>7.2875340322367957E-3</v>
      </c>
      <c r="N55" s="27">
        <f>IF(ISERROR((N53-N54)^2),0,(N53-N54)^2)</f>
        <v>0</v>
      </c>
    </row>
    <row r="56" spans="1:15" s="14" customFormat="1" ht="15" customHeight="1">
      <c r="A56" s="10"/>
      <c r="B56" s="17"/>
      <c r="C56" s="138" t="s">
        <v>43</v>
      </c>
      <c r="D56" s="138"/>
      <c r="E56" s="138"/>
      <c r="F56" s="38">
        <f>SQRT(SUM(F55:N55)/COUNT(D33:L33))</f>
        <v>0.27061893590115088</v>
      </c>
      <c r="G56" s="8"/>
      <c r="H56" s="8"/>
      <c r="I56" s="8"/>
      <c r="J56" s="8"/>
      <c r="K56" s="8"/>
      <c r="L56" s="8"/>
      <c r="M56" s="8"/>
    </row>
    <row r="57" spans="1:15" s="14" customFormat="1" ht="15" customHeight="1">
      <c r="A57" s="10"/>
      <c r="B57" s="10"/>
      <c r="C57" s="138" t="s">
        <v>3</v>
      </c>
      <c r="D57" s="138"/>
      <c r="E57" s="138"/>
      <c r="F57" s="38">
        <f>F56/AVERAGEIF(F53:N53,"&gt;0",F53:N53)*100</f>
        <v>4.8423927725625138</v>
      </c>
      <c r="G57" s="8"/>
      <c r="H57" s="8"/>
      <c r="I57" s="8"/>
      <c r="J57" s="8"/>
      <c r="K57" s="8"/>
      <c r="L57" s="8"/>
      <c r="M57" s="8"/>
    </row>
    <row r="58" spans="1:15" s="14" customFormat="1" ht="15" customHeight="1">
      <c r="A58" s="10"/>
      <c r="B58" s="10"/>
      <c r="C58" s="39"/>
      <c r="D58" s="39"/>
      <c r="E58" s="39"/>
      <c r="F58" s="21"/>
      <c r="G58" s="8"/>
      <c r="H58" s="8"/>
      <c r="I58" s="8"/>
      <c r="J58" s="8"/>
      <c r="K58" s="8"/>
      <c r="L58" s="8"/>
      <c r="M58" s="8"/>
    </row>
    <row r="59" spans="1:15" s="14" customFormat="1" ht="15" customHeight="1">
      <c r="C59" s="19"/>
      <c r="E59" s="17"/>
      <c r="I59" s="10"/>
      <c r="J59" s="23"/>
      <c r="K59" s="10"/>
    </row>
    <row r="60" spans="1:15" s="14" customFormat="1" ht="15" customHeight="1" thickBot="1">
      <c r="B60" s="4" t="s">
        <v>38</v>
      </c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 s="14" customFormat="1" ht="15" customHeight="1" thickTop="1"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</row>
    <row r="62" spans="1:15" s="14" customFormat="1" ht="15" customHeight="1">
      <c r="B62" s="137" t="s">
        <v>49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</row>
    <row r="63" spans="1:15" s="14" customFormat="1" ht="15" customHeight="1">
      <c r="B63" s="137" t="s">
        <v>46</v>
      </c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</row>
    <row r="64" spans="1:15" s="14" customFormat="1" ht="15" customHeight="1">
      <c r="B64" s="137" t="s">
        <v>666</v>
      </c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</row>
    <row r="65" spans="2:28" s="14" customFormat="1" ht="15" customHeight="1">
      <c r="B65" s="137" t="s">
        <v>47</v>
      </c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</row>
    <row r="66" spans="2:28" s="14" customFormat="1" ht="15" customHeight="1"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</row>
    <row r="67" spans="2:28" s="14" customFormat="1" ht="15" customHeight="1">
      <c r="B67" s="12" t="s">
        <v>70</v>
      </c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</row>
    <row r="68" spans="2:28" s="14" customFormat="1" ht="15" customHeight="1"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</row>
    <row r="69" spans="2:28" s="14" customFormat="1" ht="15" customHeight="1">
      <c r="B69" s="86" t="s">
        <v>71</v>
      </c>
      <c r="C69" s="87"/>
      <c r="D69" s="87"/>
      <c r="E69" s="94"/>
      <c r="G69" s="86" t="s">
        <v>72</v>
      </c>
      <c r="H69" s="87"/>
      <c r="I69" s="87"/>
      <c r="J69" s="94"/>
      <c r="L69" s="86" t="s">
        <v>81</v>
      </c>
      <c r="M69" s="87"/>
      <c r="N69" s="95"/>
      <c r="O69" s="96"/>
    </row>
    <row r="70" spans="2:28" s="14" customFormat="1" ht="15" customHeight="1">
      <c r="B70" s="88" t="s">
        <v>73</v>
      </c>
      <c r="C70" s="89"/>
      <c r="D70" s="97">
        <v>5.0000000000000001E-3</v>
      </c>
      <c r="E70" s="90" t="s">
        <v>75</v>
      </c>
      <c r="G70" s="88" t="s">
        <v>73</v>
      </c>
      <c r="H70" s="89"/>
      <c r="I70" s="97">
        <v>5.0000000000000001E-3</v>
      </c>
      <c r="J70" s="90" t="s">
        <v>75</v>
      </c>
      <c r="L70" s="88" t="s">
        <v>78</v>
      </c>
      <c r="M70" s="89"/>
      <c r="N70" s="97">
        <v>1.7999999999999999E-2</v>
      </c>
      <c r="O70" s="90" t="s">
        <v>75</v>
      </c>
    </row>
    <row r="71" spans="2:28" s="14" customFormat="1" ht="15" customHeight="1">
      <c r="B71" s="88" t="s">
        <v>74</v>
      </c>
      <c r="C71" s="89"/>
      <c r="D71" s="97">
        <v>0.03</v>
      </c>
      <c r="E71" s="90" t="s">
        <v>75</v>
      </c>
      <c r="G71" s="88" t="s">
        <v>74</v>
      </c>
      <c r="H71" s="89"/>
      <c r="I71" s="97">
        <v>0.03</v>
      </c>
      <c r="J71" s="90" t="s">
        <v>75</v>
      </c>
      <c r="L71" s="88" t="s">
        <v>79</v>
      </c>
      <c r="M71" s="89"/>
      <c r="N71" s="97">
        <v>4.0000000000000001E-3</v>
      </c>
      <c r="O71" s="90" t="s">
        <v>75</v>
      </c>
    </row>
    <row r="72" spans="2:28" s="14" customFormat="1" ht="15" customHeight="1">
      <c r="B72" s="88" t="s">
        <v>76</v>
      </c>
      <c r="C72" s="89"/>
      <c r="D72" s="97">
        <v>9000</v>
      </c>
      <c r="E72" s="90" t="s">
        <v>77</v>
      </c>
      <c r="G72" s="88" t="s">
        <v>76</v>
      </c>
      <c r="H72" s="89"/>
      <c r="I72" s="97">
        <v>9000</v>
      </c>
      <c r="J72" s="90" t="s">
        <v>77</v>
      </c>
      <c r="L72" s="88" t="s">
        <v>76</v>
      </c>
      <c r="M72" s="89"/>
      <c r="N72" s="97">
        <v>9000</v>
      </c>
      <c r="O72" s="90" t="s">
        <v>77</v>
      </c>
    </row>
    <row r="73" spans="2:28" s="14" customFormat="1" ht="15" customHeight="1">
      <c r="B73" s="88"/>
      <c r="C73" s="89"/>
      <c r="D73" s="89"/>
      <c r="E73" s="90"/>
      <c r="F73" s="85"/>
      <c r="G73" s="88"/>
      <c r="H73" s="89"/>
      <c r="I73" s="89"/>
      <c r="J73" s="90"/>
      <c r="K73" s="85"/>
      <c r="L73" s="88"/>
      <c r="M73" s="89"/>
      <c r="N73" s="89"/>
      <c r="O73" s="90"/>
    </row>
    <row r="74" spans="2:28" s="14" customFormat="1" ht="15" customHeight="1">
      <c r="B74" s="88"/>
      <c r="C74" s="89"/>
      <c r="D74" s="89"/>
      <c r="E74" s="90"/>
      <c r="F74" s="85"/>
      <c r="G74" s="88"/>
      <c r="H74" s="89"/>
      <c r="I74" s="89"/>
      <c r="J74" s="90"/>
      <c r="K74" s="85"/>
      <c r="L74" s="88"/>
      <c r="M74" s="89"/>
      <c r="N74" s="89"/>
      <c r="O74" s="90"/>
    </row>
    <row r="75" spans="2:28" s="14" customFormat="1" ht="15" customHeight="1">
      <c r="B75" s="88"/>
      <c r="C75" s="89"/>
      <c r="D75" s="89"/>
      <c r="E75" s="90"/>
      <c r="F75" s="85"/>
      <c r="G75" s="88"/>
      <c r="H75" s="89"/>
      <c r="I75" s="89"/>
      <c r="J75" s="90"/>
      <c r="K75" s="85"/>
      <c r="L75" s="88"/>
      <c r="M75" s="89"/>
      <c r="N75" s="89"/>
      <c r="O75" s="90"/>
    </row>
    <row r="76" spans="2:28" s="14" customFormat="1" ht="15" customHeight="1">
      <c r="B76" s="91"/>
      <c r="C76" s="92"/>
      <c r="D76" s="92"/>
      <c r="E76" s="93"/>
      <c r="F76" s="85"/>
      <c r="G76" s="91"/>
      <c r="H76" s="92"/>
      <c r="I76" s="92"/>
      <c r="J76" s="93"/>
      <c r="K76" s="85"/>
      <c r="L76" s="91"/>
      <c r="M76" s="92"/>
      <c r="N76" s="92"/>
      <c r="O76" s="93"/>
    </row>
    <row r="77" spans="2:28" s="14" customFormat="1" ht="15" customHeight="1">
      <c r="C77" s="19"/>
      <c r="E77" s="17"/>
      <c r="I77" s="10"/>
      <c r="J77" s="23"/>
      <c r="K77" s="10"/>
    </row>
    <row r="78" spans="2:28" s="14" customFormat="1" ht="15" customHeight="1">
      <c r="B78" s="24" t="s">
        <v>4</v>
      </c>
      <c r="C78" s="1"/>
      <c r="D78" s="9"/>
      <c r="E78" s="9"/>
      <c r="F78" s="9"/>
      <c r="G78" s="9"/>
      <c r="H78" s="9"/>
      <c r="I78" s="9"/>
      <c r="J78" s="9"/>
      <c r="K78" s="9"/>
      <c r="L78" s="1"/>
      <c r="M78" s="1"/>
      <c r="R78" s="24" t="s">
        <v>45</v>
      </c>
      <c r="S78" s="1"/>
      <c r="U78" s="1"/>
      <c r="V78" s="1"/>
      <c r="W78" s="1"/>
      <c r="X78" s="1"/>
      <c r="Y78" s="1"/>
      <c r="Z78" s="1"/>
      <c r="AA78" s="1"/>
      <c r="AB78" s="72" t="s">
        <v>63</v>
      </c>
    </row>
    <row r="79" spans="2:28" s="14" customFormat="1" ht="43.5">
      <c r="B79" s="25" t="s">
        <v>0</v>
      </c>
      <c r="C79" s="25" t="s">
        <v>64</v>
      </c>
      <c r="D79" s="25" t="s">
        <v>10</v>
      </c>
      <c r="E79" s="25" t="s">
        <v>11</v>
      </c>
      <c r="F79" s="25" t="s">
        <v>12</v>
      </c>
      <c r="G79" s="25" t="s">
        <v>13</v>
      </c>
      <c r="H79" s="25" t="s">
        <v>14</v>
      </c>
      <c r="I79" s="25" t="s">
        <v>15</v>
      </c>
      <c r="J79" s="25" t="s">
        <v>16</v>
      </c>
      <c r="K79" s="25" t="s">
        <v>2</v>
      </c>
      <c r="L79" s="25" t="s">
        <v>17</v>
      </c>
      <c r="M79" s="41"/>
      <c r="R79" s="25" t="s">
        <v>0</v>
      </c>
      <c r="S79" s="25" t="s">
        <v>44</v>
      </c>
      <c r="T79" s="25" t="s">
        <v>10</v>
      </c>
      <c r="U79" s="25" t="s">
        <v>11</v>
      </c>
      <c r="V79" s="25" t="s">
        <v>12</v>
      </c>
      <c r="W79" s="25" t="s">
        <v>13</v>
      </c>
      <c r="X79" s="25" t="s">
        <v>14</v>
      </c>
      <c r="Y79" s="25" t="s">
        <v>15</v>
      </c>
      <c r="Z79" s="25" t="s">
        <v>16</v>
      </c>
      <c r="AA79" s="25" t="s">
        <v>2</v>
      </c>
      <c r="AB79" s="25" t="s">
        <v>17</v>
      </c>
    </row>
    <row r="80" spans="2:28" s="14" customFormat="1" ht="15" customHeight="1">
      <c r="B80" s="52">
        <v>0</v>
      </c>
      <c r="C80" s="40">
        <v>0</v>
      </c>
      <c r="D80" s="27">
        <v>0</v>
      </c>
      <c r="E80" s="27">
        <v>0</v>
      </c>
      <c r="F80" s="27">
        <v>0</v>
      </c>
      <c r="G80" s="27">
        <v>0</v>
      </c>
      <c r="H80" s="27">
        <v>0</v>
      </c>
      <c r="I80" s="27">
        <v>0</v>
      </c>
      <c r="J80" s="27">
        <v>0</v>
      </c>
      <c r="K80" s="27">
        <v>0</v>
      </c>
      <c r="L80" s="27"/>
      <c r="M80" s="42"/>
      <c r="R80" s="73">
        <v>1E-10</v>
      </c>
      <c r="S80" s="74">
        <f t="shared" ref="S80:S143" si="3">C80/$I$39</f>
        <v>0</v>
      </c>
      <c r="T80" s="28">
        <f t="array" ref="T80:AB379">ViscowaveEXL(E25:H27,E12:I17,N39,D39,D33:L33,R80:R430,S80:S430,R81)</f>
        <v>0</v>
      </c>
      <c r="U80" s="28">
        <v>0</v>
      </c>
      <c r="V80" s="28">
        <v>0</v>
      </c>
      <c r="W80" s="28">
        <v>0</v>
      </c>
      <c r="X80" s="28">
        <v>0</v>
      </c>
      <c r="Y80" s="28">
        <v>0</v>
      </c>
      <c r="Z80" s="28">
        <v>0</v>
      </c>
      <c r="AA80" s="28">
        <v>0</v>
      </c>
      <c r="AB80" s="28">
        <v>0</v>
      </c>
    </row>
    <row r="81" spans="2:28" s="14" customFormat="1" ht="15" customHeight="1">
      <c r="B81" s="49">
        <v>2.0000000000000001E-4</v>
      </c>
      <c r="C81" s="40">
        <v>0</v>
      </c>
      <c r="D81" s="27">
        <v>0</v>
      </c>
      <c r="E81" s="27">
        <v>0</v>
      </c>
      <c r="F81" s="27">
        <v>1.185873E-3</v>
      </c>
      <c r="G81" s="27">
        <v>0</v>
      </c>
      <c r="H81" s="27">
        <v>0</v>
      </c>
      <c r="I81" s="27">
        <v>0</v>
      </c>
      <c r="J81" s="27">
        <v>0</v>
      </c>
      <c r="K81" s="27">
        <v>0</v>
      </c>
      <c r="L81" s="27"/>
      <c r="M81" s="42"/>
      <c r="R81" s="75">
        <v>2.0000000000000001E-4</v>
      </c>
      <c r="S81" s="74">
        <f t="shared" si="3"/>
        <v>0</v>
      </c>
      <c r="T81" s="28">
        <v>0</v>
      </c>
      <c r="U81" s="28">
        <v>0</v>
      </c>
      <c r="V81" s="28">
        <v>0</v>
      </c>
      <c r="W81" s="28">
        <v>0</v>
      </c>
      <c r="X81" s="28">
        <v>0</v>
      </c>
      <c r="Y81" s="28">
        <v>0</v>
      </c>
      <c r="Z81" s="28">
        <v>0</v>
      </c>
      <c r="AA81" s="28">
        <v>0</v>
      </c>
      <c r="AB81" s="28">
        <v>0</v>
      </c>
    </row>
    <row r="82" spans="2:28" s="14" customFormat="1" ht="15" customHeight="1">
      <c r="B82" s="49">
        <v>4.0000000000000002E-4</v>
      </c>
      <c r="C82" s="40">
        <v>0</v>
      </c>
      <c r="D82" s="27">
        <v>0</v>
      </c>
      <c r="E82" s="27">
        <v>0</v>
      </c>
      <c r="F82" s="27">
        <v>1.7719389999999999E-3</v>
      </c>
      <c r="G82" s="27">
        <v>0</v>
      </c>
      <c r="H82" s="27">
        <v>0</v>
      </c>
      <c r="I82" s="27">
        <v>0</v>
      </c>
      <c r="J82" s="27">
        <v>0</v>
      </c>
      <c r="K82" s="27">
        <v>0</v>
      </c>
      <c r="L82" s="27"/>
      <c r="M82" s="42"/>
      <c r="R82" s="75">
        <v>4.0000000000000002E-4</v>
      </c>
      <c r="S82" s="74">
        <f t="shared" si="3"/>
        <v>0</v>
      </c>
      <c r="T82" s="28">
        <v>0</v>
      </c>
      <c r="U82" s="28">
        <v>0</v>
      </c>
      <c r="V82" s="28">
        <v>0</v>
      </c>
      <c r="W82" s="28">
        <v>0</v>
      </c>
      <c r="X82" s="28">
        <v>0</v>
      </c>
      <c r="Y82" s="28">
        <v>0</v>
      </c>
      <c r="Z82" s="28">
        <v>0</v>
      </c>
      <c r="AA82" s="28">
        <v>0</v>
      </c>
      <c r="AB82" s="28">
        <v>0</v>
      </c>
    </row>
    <row r="83" spans="2:28" s="14" customFormat="1" ht="15" customHeight="1">
      <c r="B83" s="49">
        <v>5.9999999999999995E-4</v>
      </c>
      <c r="C83" s="40">
        <v>0</v>
      </c>
      <c r="D83" s="27">
        <v>0</v>
      </c>
      <c r="E83" s="27">
        <v>0</v>
      </c>
      <c r="F83" s="27">
        <v>2.3062099999999999E-3</v>
      </c>
      <c r="G83" s="27">
        <v>0</v>
      </c>
      <c r="H83" s="27">
        <v>0</v>
      </c>
      <c r="I83" s="27">
        <v>0</v>
      </c>
      <c r="J83" s="27">
        <v>0</v>
      </c>
      <c r="K83" s="27">
        <v>0</v>
      </c>
      <c r="L83" s="27"/>
      <c r="M83" s="42"/>
      <c r="R83" s="75">
        <v>5.9999999999999995E-4</v>
      </c>
      <c r="S83" s="74">
        <f t="shared" si="3"/>
        <v>0</v>
      </c>
      <c r="T83" s="28">
        <v>0</v>
      </c>
      <c r="U83" s="28">
        <v>0</v>
      </c>
      <c r="V83" s="28">
        <v>0</v>
      </c>
      <c r="W83" s="28">
        <v>0</v>
      </c>
      <c r="X83" s="28">
        <v>0</v>
      </c>
      <c r="Y83" s="28">
        <v>0</v>
      </c>
      <c r="Z83" s="28">
        <v>0</v>
      </c>
      <c r="AA83" s="28">
        <v>0</v>
      </c>
      <c r="AB83" s="28">
        <v>0</v>
      </c>
    </row>
    <row r="84" spans="2:28" s="14" customFormat="1" ht="15" customHeight="1">
      <c r="B84" s="49">
        <v>8.0000000000000004E-4</v>
      </c>
      <c r="C84" s="40">
        <v>0</v>
      </c>
      <c r="D84" s="27">
        <v>0</v>
      </c>
      <c r="E84" s="27">
        <v>0</v>
      </c>
      <c r="F84" s="27">
        <v>3.2563309999999999E-3</v>
      </c>
      <c r="G84" s="27">
        <v>0</v>
      </c>
      <c r="H84" s="27">
        <v>0</v>
      </c>
      <c r="I84" s="27">
        <v>0</v>
      </c>
      <c r="J84" s="27">
        <v>0</v>
      </c>
      <c r="K84" s="27">
        <v>0</v>
      </c>
      <c r="L84" s="27"/>
      <c r="M84" s="42"/>
      <c r="R84" s="75">
        <v>8.0000000000000004E-4</v>
      </c>
      <c r="S84" s="74">
        <f t="shared" si="3"/>
        <v>0</v>
      </c>
      <c r="T84" s="28">
        <v>0</v>
      </c>
      <c r="U84" s="28">
        <v>0</v>
      </c>
      <c r="V84" s="28">
        <v>0</v>
      </c>
      <c r="W84" s="28">
        <v>0</v>
      </c>
      <c r="X84" s="28">
        <v>0</v>
      </c>
      <c r="Y84" s="28">
        <v>0</v>
      </c>
      <c r="Z84" s="28">
        <v>0</v>
      </c>
      <c r="AA84" s="28">
        <v>0</v>
      </c>
      <c r="AB84" s="28">
        <v>0</v>
      </c>
    </row>
    <row r="85" spans="2:28" s="14" customFormat="1" ht="15" customHeight="1">
      <c r="B85" s="49">
        <v>1E-3</v>
      </c>
      <c r="C85" s="40">
        <v>0</v>
      </c>
      <c r="D85" s="27">
        <v>0</v>
      </c>
      <c r="E85" s="27">
        <v>0</v>
      </c>
      <c r="F85" s="27">
        <v>5.5766260000000003E-3</v>
      </c>
      <c r="G85" s="27">
        <v>0</v>
      </c>
      <c r="H85" s="27">
        <v>0</v>
      </c>
      <c r="I85" s="27">
        <v>0</v>
      </c>
      <c r="J85" s="27">
        <v>0</v>
      </c>
      <c r="K85" s="27">
        <v>0</v>
      </c>
      <c r="L85" s="27"/>
      <c r="M85" s="42"/>
      <c r="R85" s="75">
        <v>1E-3</v>
      </c>
      <c r="S85" s="74">
        <f t="shared" si="3"/>
        <v>0</v>
      </c>
      <c r="T85" s="28">
        <v>0</v>
      </c>
      <c r="U85" s="28">
        <v>0</v>
      </c>
      <c r="V85" s="28">
        <v>0</v>
      </c>
      <c r="W85" s="28">
        <v>0</v>
      </c>
      <c r="X85" s="28">
        <v>0</v>
      </c>
      <c r="Y85" s="28">
        <v>0</v>
      </c>
      <c r="Z85" s="28">
        <v>0</v>
      </c>
      <c r="AA85" s="28">
        <v>0</v>
      </c>
      <c r="AB85" s="28">
        <v>0</v>
      </c>
    </row>
    <row r="86" spans="2:28" s="14" customFormat="1" ht="15" customHeight="1">
      <c r="B86" s="49">
        <v>1.1999999999999999E-3</v>
      </c>
      <c r="C86" s="40">
        <v>0</v>
      </c>
      <c r="D86" s="27">
        <v>0</v>
      </c>
      <c r="E86" s="27">
        <v>0</v>
      </c>
      <c r="F86" s="27">
        <v>8.8714540000000008E-3</v>
      </c>
      <c r="G86" s="27">
        <v>0</v>
      </c>
      <c r="H86" s="27">
        <v>0</v>
      </c>
      <c r="I86" s="27">
        <v>0</v>
      </c>
      <c r="J86" s="27">
        <v>0</v>
      </c>
      <c r="K86" s="27">
        <v>0</v>
      </c>
      <c r="L86" s="27"/>
      <c r="M86" s="42"/>
      <c r="R86" s="75">
        <v>1.1999999999999999E-3</v>
      </c>
      <c r="S86" s="74">
        <f t="shared" si="3"/>
        <v>0</v>
      </c>
      <c r="T86" s="28">
        <v>0</v>
      </c>
      <c r="U86" s="28">
        <v>0</v>
      </c>
      <c r="V86" s="28">
        <v>0</v>
      </c>
      <c r="W86" s="28">
        <v>0</v>
      </c>
      <c r="X86" s="28">
        <v>0</v>
      </c>
      <c r="Y86" s="28">
        <v>0</v>
      </c>
      <c r="Z86" s="28">
        <v>0</v>
      </c>
      <c r="AA86" s="28">
        <v>0</v>
      </c>
      <c r="AB86" s="28">
        <v>0</v>
      </c>
    </row>
    <row r="87" spans="2:28" s="14" customFormat="1" ht="15" customHeight="1">
      <c r="B87" s="49">
        <v>1.4E-3</v>
      </c>
      <c r="C87" s="40">
        <v>0</v>
      </c>
      <c r="D87" s="27">
        <v>0</v>
      </c>
      <c r="E87" s="27">
        <v>0</v>
      </c>
      <c r="F87" s="27">
        <v>1.1587873E-2</v>
      </c>
      <c r="G87" s="27">
        <v>0</v>
      </c>
      <c r="H87" s="27">
        <v>0</v>
      </c>
      <c r="I87" s="27">
        <v>0</v>
      </c>
      <c r="J87" s="27">
        <v>0</v>
      </c>
      <c r="K87" s="27">
        <v>0</v>
      </c>
      <c r="L87" s="27"/>
      <c r="M87" s="42"/>
      <c r="R87" s="75">
        <v>1.4E-3</v>
      </c>
      <c r="S87" s="74">
        <f t="shared" si="3"/>
        <v>0</v>
      </c>
      <c r="T87" s="28">
        <v>0</v>
      </c>
      <c r="U87" s="28">
        <v>0</v>
      </c>
      <c r="V87" s="28">
        <v>0</v>
      </c>
      <c r="W87" s="28">
        <v>0</v>
      </c>
      <c r="X87" s="28">
        <v>0</v>
      </c>
      <c r="Y87" s="28">
        <v>0</v>
      </c>
      <c r="Z87" s="28">
        <v>0</v>
      </c>
      <c r="AA87" s="28">
        <v>0</v>
      </c>
      <c r="AB87" s="28">
        <v>0</v>
      </c>
    </row>
    <row r="88" spans="2:28" s="14" customFormat="1" ht="15" customHeight="1">
      <c r="B88" s="49">
        <v>1.6000000000000001E-3</v>
      </c>
      <c r="C88" s="40">
        <v>0</v>
      </c>
      <c r="D88" s="27">
        <v>0</v>
      </c>
      <c r="E88" s="27">
        <v>0</v>
      </c>
      <c r="F88" s="27">
        <v>1.4362332E-2</v>
      </c>
      <c r="G88" s="27">
        <v>0</v>
      </c>
      <c r="H88" s="27">
        <v>0</v>
      </c>
      <c r="I88" s="27">
        <v>0</v>
      </c>
      <c r="J88" s="27">
        <v>0</v>
      </c>
      <c r="K88" s="27">
        <v>0</v>
      </c>
      <c r="L88" s="27"/>
      <c r="M88" s="42"/>
      <c r="R88" s="75">
        <v>1.6000000000000001E-3</v>
      </c>
      <c r="S88" s="74">
        <f t="shared" si="3"/>
        <v>0</v>
      </c>
      <c r="T88" s="28">
        <v>0</v>
      </c>
      <c r="U88" s="28">
        <v>0</v>
      </c>
      <c r="V88" s="28">
        <v>0</v>
      </c>
      <c r="W88" s="28">
        <v>0</v>
      </c>
      <c r="X88" s="28">
        <v>0</v>
      </c>
      <c r="Y88" s="28">
        <v>0</v>
      </c>
      <c r="Z88" s="28">
        <v>0</v>
      </c>
      <c r="AA88" s="28">
        <v>0</v>
      </c>
      <c r="AB88" s="28">
        <v>0</v>
      </c>
    </row>
    <row r="89" spans="2:28" s="14" customFormat="1" ht="15" customHeight="1">
      <c r="B89" s="49">
        <v>1.8E-3</v>
      </c>
      <c r="C89" s="40">
        <v>0</v>
      </c>
      <c r="D89" s="27">
        <v>0</v>
      </c>
      <c r="E89" s="27">
        <v>0</v>
      </c>
      <c r="F89" s="27">
        <v>1.6729719000000001E-2</v>
      </c>
      <c r="G89" s="27">
        <v>0</v>
      </c>
      <c r="H89" s="27">
        <v>0</v>
      </c>
      <c r="I89" s="27">
        <v>0</v>
      </c>
      <c r="J89" s="27">
        <v>0</v>
      </c>
      <c r="K89" s="27">
        <v>0</v>
      </c>
      <c r="L89" s="27"/>
      <c r="M89" s="42"/>
      <c r="R89" s="75">
        <v>1.8E-3</v>
      </c>
      <c r="S89" s="74">
        <f t="shared" si="3"/>
        <v>0</v>
      </c>
      <c r="T89" s="28">
        <v>0</v>
      </c>
      <c r="U89" s="28">
        <v>0</v>
      </c>
      <c r="V89" s="28">
        <v>0</v>
      </c>
      <c r="W89" s="28">
        <v>0</v>
      </c>
      <c r="X89" s="28">
        <v>0</v>
      </c>
      <c r="Y89" s="28">
        <v>0</v>
      </c>
      <c r="Z89" s="28">
        <v>0</v>
      </c>
      <c r="AA89" s="28">
        <v>0</v>
      </c>
      <c r="AB89" s="28">
        <v>0</v>
      </c>
    </row>
    <row r="90" spans="2:28">
      <c r="B90" s="49">
        <v>2E-3</v>
      </c>
      <c r="C90" s="40">
        <v>0</v>
      </c>
      <c r="D90" s="27">
        <v>0</v>
      </c>
      <c r="E90" s="27">
        <v>0</v>
      </c>
      <c r="F90" s="27">
        <v>1.8290685000000001E-2</v>
      </c>
      <c r="G90" s="27">
        <v>0</v>
      </c>
      <c r="H90" s="27">
        <v>0</v>
      </c>
      <c r="I90" s="27">
        <v>0</v>
      </c>
      <c r="J90" s="27">
        <v>0</v>
      </c>
      <c r="K90" s="27">
        <v>0</v>
      </c>
      <c r="L90" s="27"/>
      <c r="M90" s="42"/>
      <c r="R90" s="75">
        <v>2E-3</v>
      </c>
      <c r="S90" s="74">
        <f t="shared" si="3"/>
        <v>0</v>
      </c>
      <c r="T90" s="28">
        <v>0</v>
      </c>
      <c r="U90" s="28">
        <v>0</v>
      </c>
      <c r="V90" s="28">
        <v>0</v>
      </c>
      <c r="W90" s="28">
        <v>0</v>
      </c>
      <c r="X90" s="28">
        <v>0</v>
      </c>
      <c r="Y90" s="28">
        <v>0</v>
      </c>
      <c r="Z90" s="28">
        <v>0</v>
      </c>
      <c r="AA90" s="28">
        <v>0</v>
      </c>
      <c r="AB90" s="28">
        <v>0</v>
      </c>
    </row>
    <row r="91" spans="2:28" s="26" customFormat="1">
      <c r="B91" s="49">
        <v>2.2000000000000001E-3</v>
      </c>
      <c r="C91" s="40">
        <v>0</v>
      </c>
      <c r="D91" s="27">
        <v>0</v>
      </c>
      <c r="E91" s="27">
        <v>0</v>
      </c>
      <c r="F91" s="27">
        <v>1.9579495999999998E-2</v>
      </c>
      <c r="G91" s="27">
        <v>0</v>
      </c>
      <c r="H91" s="27">
        <v>0</v>
      </c>
      <c r="I91" s="27">
        <v>0</v>
      </c>
      <c r="J91" s="27">
        <v>0</v>
      </c>
      <c r="K91" s="27">
        <v>0</v>
      </c>
      <c r="L91" s="27"/>
      <c r="M91" s="42"/>
      <c r="R91" s="75">
        <v>2.2000000000000001E-3</v>
      </c>
      <c r="S91" s="74">
        <f t="shared" si="3"/>
        <v>0</v>
      </c>
      <c r="T91" s="28">
        <v>0</v>
      </c>
      <c r="U91" s="28">
        <v>0</v>
      </c>
      <c r="V91" s="28">
        <v>0</v>
      </c>
      <c r="W91" s="28">
        <v>0</v>
      </c>
      <c r="X91" s="28">
        <v>0</v>
      </c>
      <c r="Y91" s="28">
        <v>0</v>
      </c>
      <c r="Z91" s="28">
        <v>0</v>
      </c>
      <c r="AA91" s="28">
        <v>0</v>
      </c>
      <c r="AB91" s="28">
        <v>0</v>
      </c>
    </row>
    <row r="92" spans="2:28">
      <c r="B92" s="49">
        <v>2.3999999999999998E-3</v>
      </c>
      <c r="C92" s="40">
        <v>0</v>
      </c>
      <c r="D92" s="27">
        <v>0</v>
      </c>
      <c r="E92" s="27">
        <v>0</v>
      </c>
      <c r="F92" s="27">
        <v>2.0868951E-2</v>
      </c>
      <c r="G92" s="27">
        <v>0</v>
      </c>
      <c r="H92" s="27">
        <v>0</v>
      </c>
      <c r="I92" s="27">
        <v>0</v>
      </c>
      <c r="J92" s="27">
        <v>0</v>
      </c>
      <c r="K92" s="27">
        <v>0</v>
      </c>
      <c r="L92" s="27"/>
      <c r="M92" s="42"/>
      <c r="R92" s="75">
        <v>2.3999999999999998E-3</v>
      </c>
      <c r="S92" s="74">
        <f t="shared" si="3"/>
        <v>0</v>
      </c>
      <c r="T92" s="28">
        <v>0</v>
      </c>
      <c r="U92" s="28">
        <v>0</v>
      </c>
      <c r="V92" s="28">
        <v>0</v>
      </c>
      <c r="W92" s="28">
        <v>0</v>
      </c>
      <c r="X92" s="28">
        <v>0</v>
      </c>
      <c r="Y92" s="28">
        <v>0</v>
      </c>
      <c r="Z92" s="28">
        <v>0</v>
      </c>
      <c r="AA92" s="28">
        <v>0</v>
      </c>
      <c r="AB92" s="28">
        <v>0</v>
      </c>
    </row>
    <row r="93" spans="2:28">
      <c r="B93" s="49">
        <v>2.5999999999999999E-3</v>
      </c>
      <c r="C93" s="40">
        <v>0</v>
      </c>
      <c r="D93" s="27">
        <v>0</v>
      </c>
      <c r="E93" s="27">
        <v>0</v>
      </c>
      <c r="F93" s="27">
        <v>2.2438956999999999E-2</v>
      </c>
      <c r="G93" s="27">
        <v>0</v>
      </c>
      <c r="H93" s="27">
        <v>0</v>
      </c>
      <c r="I93" s="27">
        <v>0</v>
      </c>
      <c r="J93" s="27">
        <v>0</v>
      </c>
      <c r="K93" s="27">
        <v>0</v>
      </c>
      <c r="L93" s="27"/>
      <c r="M93" s="42"/>
      <c r="R93" s="75">
        <v>2.5999999999999999E-3</v>
      </c>
      <c r="S93" s="74">
        <f t="shared" si="3"/>
        <v>0</v>
      </c>
      <c r="T93" s="28">
        <v>0</v>
      </c>
      <c r="U93" s="28">
        <v>0</v>
      </c>
      <c r="V93" s="28">
        <v>0</v>
      </c>
      <c r="W93" s="28">
        <v>0</v>
      </c>
      <c r="X93" s="28">
        <v>0</v>
      </c>
      <c r="Y93" s="28">
        <v>0</v>
      </c>
      <c r="Z93" s="28">
        <v>0</v>
      </c>
      <c r="AA93" s="28">
        <v>0</v>
      </c>
      <c r="AB93" s="28">
        <v>0</v>
      </c>
    </row>
    <row r="94" spans="2:28">
      <c r="B94" s="49">
        <v>2.8E-3</v>
      </c>
      <c r="C94" s="40">
        <v>0</v>
      </c>
      <c r="D94" s="27">
        <v>0</v>
      </c>
      <c r="E94" s="27">
        <v>0</v>
      </c>
      <c r="F94" s="27">
        <v>2.5418639999999999E-2</v>
      </c>
      <c r="G94" s="27">
        <v>0</v>
      </c>
      <c r="H94" s="27">
        <v>0</v>
      </c>
      <c r="I94" s="27">
        <v>0</v>
      </c>
      <c r="J94" s="27">
        <v>0</v>
      </c>
      <c r="K94" s="27">
        <v>0</v>
      </c>
      <c r="L94" s="27"/>
      <c r="M94" s="42"/>
      <c r="R94" s="75">
        <v>2.8E-3</v>
      </c>
      <c r="S94" s="74">
        <f t="shared" si="3"/>
        <v>0</v>
      </c>
      <c r="T94" s="28">
        <v>0</v>
      </c>
      <c r="U94" s="28">
        <v>0</v>
      </c>
      <c r="V94" s="28">
        <v>0</v>
      </c>
      <c r="W94" s="28">
        <v>0</v>
      </c>
      <c r="X94" s="28">
        <v>0</v>
      </c>
      <c r="Y94" s="28">
        <v>0</v>
      </c>
      <c r="Z94" s="28">
        <v>0</v>
      </c>
      <c r="AA94" s="28">
        <v>0</v>
      </c>
      <c r="AB94" s="28">
        <v>0</v>
      </c>
    </row>
    <row r="95" spans="2:28">
      <c r="B95" s="49">
        <v>3.0000000000000001E-3</v>
      </c>
      <c r="C95" s="40">
        <v>0</v>
      </c>
      <c r="D95" s="27">
        <v>0</v>
      </c>
      <c r="E95" s="27">
        <v>0</v>
      </c>
      <c r="F95" s="27">
        <v>2.8876801000000001E-2</v>
      </c>
      <c r="G95" s="27">
        <v>0</v>
      </c>
      <c r="H95" s="27">
        <v>0</v>
      </c>
      <c r="I95" s="27">
        <v>0</v>
      </c>
      <c r="J95" s="27">
        <v>0</v>
      </c>
      <c r="K95" s="27">
        <v>0</v>
      </c>
      <c r="L95" s="27"/>
      <c r="M95" s="42"/>
      <c r="R95" s="75">
        <v>3.0000000000000001E-3</v>
      </c>
      <c r="S95" s="74">
        <f t="shared" si="3"/>
        <v>0</v>
      </c>
      <c r="T95" s="28">
        <v>0</v>
      </c>
      <c r="U95" s="28">
        <v>0</v>
      </c>
      <c r="V95" s="28">
        <v>0</v>
      </c>
      <c r="W95" s="28">
        <v>0</v>
      </c>
      <c r="X95" s="28">
        <v>0</v>
      </c>
      <c r="Y95" s="28">
        <v>0</v>
      </c>
      <c r="Z95" s="28">
        <v>0</v>
      </c>
      <c r="AA95" s="28">
        <v>0</v>
      </c>
      <c r="AB95" s="28">
        <v>0</v>
      </c>
    </row>
    <row r="96" spans="2:28">
      <c r="B96" s="49">
        <v>3.2000000000000002E-3</v>
      </c>
      <c r="C96" s="40">
        <v>0</v>
      </c>
      <c r="D96" s="27">
        <v>0</v>
      </c>
      <c r="E96" s="27">
        <v>0</v>
      </c>
      <c r="F96" s="27">
        <v>3.2349560999999999E-2</v>
      </c>
      <c r="G96" s="27">
        <v>0</v>
      </c>
      <c r="H96" s="27">
        <v>0</v>
      </c>
      <c r="I96" s="27">
        <v>0</v>
      </c>
      <c r="J96" s="27">
        <v>0</v>
      </c>
      <c r="K96" s="27">
        <v>0</v>
      </c>
      <c r="L96" s="27"/>
      <c r="M96" s="42"/>
      <c r="R96" s="75">
        <v>3.2000000000000002E-3</v>
      </c>
      <c r="S96" s="74">
        <f t="shared" si="3"/>
        <v>0</v>
      </c>
      <c r="T96" s="28">
        <v>0</v>
      </c>
      <c r="U96" s="28">
        <v>0</v>
      </c>
      <c r="V96" s="28">
        <v>0</v>
      </c>
      <c r="W96" s="28">
        <v>0</v>
      </c>
      <c r="X96" s="28">
        <v>0</v>
      </c>
      <c r="Y96" s="28">
        <v>0</v>
      </c>
      <c r="Z96" s="28">
        <v>0</v>
      </c>
      <c r="AA96" s="28">
        <v>0</v>
      </c>
      <c r="AB96" s="28">
        <v>0</v>
      </c>
    </row>
    <row r="97" spans="2:28">
      <c r="B97" s="49">
        <v>3.3999999999999998E-3</v>
      </c>
      <c r="C97" s="40">
        <v>0</v>
      </c>
      <c r="D97" s="27">
        <v>0</v>
      </c>
      <c r="E97" s="27">
        <v>0</v>
      </c>
      <c r="F97" s="27">
        <v>3.5312896000000003E-2</v>
      </c>
      <c r="G97" s="27">
        <v>0</v>
      </c>
      <c r="H97" s="27">
        <v>0</v>
      </c>
      <c r="I97" s="27">
        <v>0</v>
      </c>
      <c r="J97" s="27">
        <v>0</v>
      </c>
      <c r="K97" s="27">
        <v>0</v>
      </c>
      <c r="L97" s="27"/>
      <c r="M97" s="42"/>
      <c r="R97" s="75">
        <v>3.3999999999999998E-3</v>
      </c>
      <c r="S97" s="74">
        <f t="shared" si="3"/>
        <v>0</v>
      </c>
      <c r="T97" s="28">
        <v>0</v>
      </c>
      <c r="U97" s="28">
        <v>0</v>
      </c>
      <c r="V97" s="28">
        <v>0</v>
      </c>
      <c r="W97" s="28">
        <v>0</v>
      </c>
      <c r="X97" s="28">
        <v>0</v>
      </c>
      <c r="Y97" s="28">
        <v>0</v>
      </c>
      <c r="Z97" s="28">
        <v>0</v>
      </c>
      <c r="AA97" s="28">
        <v>0</v>
      </c>
      <c r="AB97" s="28">
        <v>0</v>
      </c>
    </row>
    <row r="98" spans="2:28">
      <c r="B98" s="49">
        <v>3.5999999999999999E-3</v>
      </c>
      <c r="C98" s="40">
        <v>0</v>
      </c>
      <c r="D98" s="27">
        <v>0</v>
      </c>
      <c r="E98" s="27">
        <v>0</v>
      </c>
      <c r="F98" s="27">
        <v>3.6646866E-2</v>
      </c>
      <c r="G98" s="27">
        <v>0</v>
      </c>
      <c r="H98" s="27">
        <v>0</v>
      </c>
      <c r="I98" s="27">
        <v>0</v>
      </c>
      <c r="J98" s="27">
        <v>0</v>
      </c>
      <c r="K98" s="27">
        <v>0</v>
      </c>
      <c r="L98" s="27"/>
      <c r="M98" s="42"/>
      <c r="R98" s="75">
        <v>3.5999999999999999E-3</v>
      </c>
      <c r="S98" s="74">
        <f t="shared" si="3"/>
        <v>0</v>
      </c>
      <c r="T98" s="28">
        <v>0</v>
      </c>
      <c r="U98" s="28">
        <v>0</v>
      </c>
      <c r="V98" s="28">
        <v>0</v>
      </c>
      <c r="W98" s="28">
        <v>0</v>
      </c>
      <c r="X98" s="28">
        <v>0</v>
      </c>
      <c r="Y98" s="28">
        <v>0</v>
      </c>
      <c r="Z98" s="28">
        <v>0</v>
      </c>
      <c r="AA98" s="28">
        <v>0</v>
      </c>
      <c r="AB98" s="28">
        <v>0</v>
      </c>
    </row>
    <row r="99" spans="2:28">
      <c r="B99" s="49">
        <v>3.8E-3</v>
      </c>
      <c r="C99" s="40">
        <v>0</v>
      </c>
      <c r="D99" s="27">
        <v>0</v>
      </c>
      <c r="E99" s="27">
        <v>0</v>
      </c>
      <c r="F99" s="27">
        <v>3.7232767E-2</v>
      </c>
      <c r="G99" s="27">
        <v>0</v>
      </c>
      <c r="H99" s="27">
        <v>0</v>
      </c>
      <c r="I99" s="27">
        <v>0</v>
      </c>
      <c r="J99" s="27">
        <v>0</v>
      </c>
      <c r="K99" s="27">
        <v>0</v>
      </c>
      <c r="L99" s="27"/>
      <c r="M99" s="42"/>
      <c r="R99" s="75">
        <v>3.8E-3</v>
      </c>
      <c r="S99" s="74">
        <f t="shared" si="3"/>
        <v>0</v>
      </c>
      <c r="T99" s="28">
        <v>0</v>
      </c>
      <c r="U99" s="28">
        <v>0</v>
      </c>
      <c r="V99" s="28">
        <v>0</v>
      </c>
      <c r="W99" s="28">
        <v>0</v>
      </c>
      <c r="X99" s="28">
        <v>0</v>
      </c>
      <c r="Y99" s="28">
        <v>0</v>
      </c>
      <c r="Z99" s="28">
        <v>0</v>
      </c>
      <c r="AA99" s="28">
        <v>0</v>
      </c>
      <c r="AB99" s="28">
        <v>0</v>
      </c>
    </row>
    <row r="100" spans="2:28">
      <c r="B100" s="49">
        <v>4.0000000000000001E-3</v>
      </c>
      <c r="C100" s="40">
        <v>0</v>
      </c>
      <c r="D100" s="27">
        <v>0</v>
      </c>
      <c r="E100" s="27">
        <v>0</v>
      </c>
      <c r="F100" s="27">
        <v>3.7818804999999997E-2</v>
      </c>
      <c r="G100" s="27">
        <v>0</v>
      </c>
      <c r="H100" s="27">
        <v>0</v>
      </c>
      <c r="I100" s="27">
        <v>0</v>
      </c>
      <c r="J100" s="27">
        <v>0</v>
      </c>
      <c r="K100" s="27">
        <v>0</v>
      </c>
      <c r="L100" s="27"/>
      <c r="M100" s="42"/>
      <c r="R100" s="75">
        <v>4.0000000000000001E-3</v>
      </c>
      <c r="S100" s="74">
        <f t="shared" si="3"/>
        <v>0</v>
      </c>
      <c r="T100" s="28">
        <v>0</v>
      </c>
      <c r="U100" s="28">
        <v>0</v>
      </c>
      <c r="V100" s="28">
        <v>0</v>
      </c>
      <c r="W100" s="28">
        <v>0</v>
      </c>
      <c r="X100" s="28">
        <v>0</v>
      </c>
      <c r="Y100" s="28">
        <v>0</v>
      </c>
      <c r="Z100" s="28">
        <v>0</v>
      </c>
      <c r="AA100" s="28">
        <v>0</v>
      </c>
      <c r="AB100" s="28">
        <v>0</v>
      </c>
    </row>
    <row r="101" spans="2:28">
      <c r="B101" s="49">
        <v>4.1999999999999997E-3</v>
      </c>
      <c r="C101" s="40">
        <v>74.268306969999998</v>
      </c>
      <c r="D101" s="27">
        <v>0</v>
      </c>
      <c r="E101" s="27">
        <v>0</v>
      </c>
      <c r="F101" s="27">
        <v>3.8770182E-2</v>
      </c>
      <c r="G101" s="27">
        <v>0</v>
      </c>
      <c r="H101" s="27">
        <v>0</v>
      </c>
      <c r="I101" s="27">
        <v>0</v>
      </c>
      <c r="J101" s="27">
        <v>0</v>
      </c>
      <c r="K101" s="27">
        <v>0</v>
      </c>
      <c r="L101" s="27"/>
      <c r="M101" s="42"/>
      <c r="R101" s="75">
        <v>4.1999999999999997E-3</v>
      </c>
      <c r="S101" s="74">
        <f t="shared" si="3"/>
        <v>8.2882173585254165E-3</v>
      </c>
      <c r="T101" s="28">
        <v>1.2670780531168749E-6</v>
      </c>
      <c r="U101" s="28">
        <v>-1.0210042897325053E-7</v>
      </c>
      <c r="V101" s="28">
        <v>-2.6984770895885993E-9</v>
      </c>
      <c r="W101" s="28">
        <v>-2.057682438196741E-8</v>
      </c>
      <c r="X101" s="28">
        <v>9.9053692100684956E-9</v>
      </c>
      <c r="Y101" s="28">
        <v>-7.2684231504368161E-9</v>
      </c>
      <c r="Z101" s="28">
        <v>3.4935400867082725E-9</v>
      </c>
      <c r="AA101" s="28">
        <v>-2.9910481149582043E-10</v>
      </c>
      <c r="AB101" s="28">
        <v>0</v>
      </c>
    </row>
    <row r="102" spans="2:28">
      <c r="B102" s="49">
        <v>4.4000000000000003E-3</v>
      </c>
      <c r="C102" s="40">
        <v>445.61740909999997</v>
      </c>
      <c r="D102" s="27">
        <v>0</v>
      </c>
      <c r="E102" s="27">
        <v>0</v>
      </c>
      <c r="F102" s="27">
        <v>4.0528311999999997E-2</v>
      </c>
      <c r="G102" s="27">
        <v>0</v>
      </c>
      <c r="H102" s="27">
        <v>0</v>
      </c>
      <c r="I102" s="27">
        <v>0</v>
      </c>
      <c r="J102" s="27">
        <v>0</v>
      </c>
      <c r="K102" s="27">
        <v>0</v>
      </c>
      <c r="L102" s="27"/>
      <c r="M102" s="42"/>
      <c r="R102" s="75">
        <v>4.4000000000000003E-3</v>
      </c>
      <c r="S102" s="74">
        <f t="shared" si="3"/>
        <v>4.973014864679285E-2</v>
      </c>
      <c r="T102" s="28">
        <v>1.2307781522334308E-3</v>
      </c>
      <c r="U102" s="28">
        <v>7.2830531058118225E-4</v>
      </c>
      <c r="V102" s="28">
        <v>5.3287226426783601E-4</v>
      </c>
      <c r="W102" s="28">
        <v>3.2202534803492839E-4</v>
      </c>
      <c r="X102" s="28">
        <v>1.7749944684476658E-4</v>
      </c>
      <c r="Y102" s="28">
        <v>2.7779059335984246E-5</v>
      </c>
      <c r="Z102" s="28">
        <v>-8.831263469237652E-6</v>
      </c>
      <c r="AA102" s="28">
        <v>-8.4237948685674309E-6</v>
      </c>
      <c r="AB102" s="28">
        <v>0</v>
      </c>
    </row>
    <row r="103" spans="2:28">
      <c r="B103" s="49">
        <v>4.5999999999999999E-3</v>
      </c>
      <c r="C103" s="40">
        <v>931.08347979999996</v>
      </c>
      <c r="D103" s="27">
        <v>0</v>
      </c>
      <c r="E103" s="27">
        <v>0</v>
      </c>
      <c r="F103" s="27">
        <v>4.2520328000000003E-2</v>
      </c>
      <c r="G103" s="27">
        <v>0</v>
      </c>
      <c r="H103" s="27">
        <v>7.6250700000000005E-4</v>
      </c>
      <c r="I103" s="27">
        <v>0</v>
      </c>
      <c r="J103" s="27">
        <v>0</v>
      </c>
      <c r="K103" s="27">
        <v>0</v>
      </c>
      <c r="L103" s="27"/>
      <c r="M103" s="42"/>
      <c r="R103" s="75">
        <v>4.5999999999999999E-3</v>
      </c>
      <c r="S103" s="74">
        <f t="shared" si="3"/>
        <v>0.1039073404841695</v>
      </c>
      <c r="T103" s="28">
        <v>8.8600318021316363E-3</v>
      </c>
      <c r="U103" s="28">
        <v>5.3822031340568571E-3</v>
      </c>
      <c r="V103" s="28">
        <v>3.9926987045783915E-3</v>
      </c>
      <c r="W103" s="28">
        <v>2.473546698908599E-3</v>
      </c>
      <c r="X103" s="28">
        <v>1.4085348021558293E-3</v>
      </c>
      <c r="Y103" s="28">
        <v>2.6437935323419181E-4</v>
      </c>
      <c r="Z103" s="28">
        <v>-5.0332772739994075E-5</v>
      </c>
      <c r="AA103" s="28">
        <v>-6.7505148310506385E-5</v>
      </c>
      <c r="AB103" s="28">
        <v>0</v>
      </c>
    </row>
    <row r="104" spans="2:28">
      <c r="B104" s="49">
        <v>4.7999999999999996E-3</v>
      </c>
      <c r="C104" s="40">
        <v>1413.580363</v>
      </c>
      <c r="D104" s="27">
        <v>0</v>
      </c>
      <c r="E104" s="27">
        <v>0</v>
      </c>
      <c r="F104" s="27">
        <v>4.4587162999999999E-2</v>
      </c>
      <c r="G104" s="27">
        <v>0</v>
      </c>
      <c r="H104" s="27">
        <v>9.2497100000000002E-4</v>
      </c>
      <c r="I104" s="27">
        <v>0</v>
      </c>
      <c r="J104" s="27">
        <v>0</v>
      </c>
      <c r="K104" s="27">
        <v>0</v>
      </c>
      <c r="L104" s="27"/>
      <c r="M104" s="42"/>
      <c r="R104" s="75">
        <v>4.7999999999999996E-3</v>
      </c>
      <c r="S104" s="74">
        <f t="shared" si="3"/>
        <v>0.15775317602190467</v>
      </c>
      <c r="T104" s="28">
        <v>2.6028973645021391E-2</v>
      </c>
      <c r="U104" s="28">
        <v>1.6369741473547434E-2</v>
      </c>
      <c r="V104" s="28">
        <v>1.2413641928812868E-2</v>
      </c>
      <c r="W104" s="28">
        <v>7.9773873064779826E-3</v>
      </c>
      <c r="X104" s="28">
        <v>4.7602855336448847E-3</v>
      </c>
      <c r="Y104" s="28">
        <v>1.102609376422652E-3</v>
      </c>
      <c r="Z104" s="28">
        <v>-6.8122600526836601E-5</v>
      </c>
      <c r="AA104" s="28">
        <v>-2.2568855212525793E-4</v>
      </c>
      <c r="AB104" s="28">
        <v>0</v>
      </c>
    </row>
    <row r="105" spans="2:28">
      <c r="B105" s="49">
        <v>5.0000000000000001E-3</v>
      </c>
      <c r="C105" s="40">
        <v>1863.387698</v>
      </c>
      <c r="D105" s="27">
        <v>1.2177500000000001E-3</v>
      </c>
      <c r="E105" s="27">
        <v>0</v>
      </c>
      <c r="F105" s="27">
        <v>4.7491037E-2</v>
      </c>
      <c r="G105" s="27">
        <v>0</v>
      </c>
      <c r="H105" s="27">
        <v>1.3079089999999999E-3</v>
      </c>
      <c r="I105" s="27">
        <v>0</v>
      </c>
      <c r="J105" s="27">
        <v>0</v>
      </c>
      <c r="K105" s="27">
        <v>0</v>
      </c>
      <c r="L105" s="27"/>
      <c r="M105" s="42"/>
      <c r="R105" s="75">
        <v>5.0000000000000001E-3</v>
      </c>
      <c r="S105" s="74">
        <f t="shared" si="3"/>
        <v>0.20795091330767571</v>
      </c>
      <c r="T105" s="28">
        <v>5.3729529449202396E-2</v>
      </c>
      <c r="U105" s="28">
        <v>3.4851662795168818E-2</v>
      </c>
      <c r="V105" s="28">
        <v>2.6950019821289358E-2</v>
      </c>
      <c r="W105" s="28">
        <v>1.7879040469108261E-2</v>
      </c>
      <c r="X105" s="28">
        <v>1.1099512319869366E-2</v>
      </c>
      <c r="Y105" s="28">
        <v>2.9993854732472285E-3</v>
      </c>
      <c r="Z105" s="28">
        <v>7.9415979010146956E-5</v>
      </c>
      <c r="AA105" s="28">
        <v>-4.9663056500086485E-4</v>
      </c>
      <c r="AB105" s="28">
        <v>0</v>
      </c>
    </row>
    <row r="106" spans="2:28">
      <c r="B106" s="49">
        <v>5.1999999999999998E-3</v>
      </c>
      <c r="C106" s="40">
        <v>2211.7884009999998</v>
      </c>
      <c r="D106" s="27">
        <v>7.1931460000000001E-3</v>
      </c>
      <c r="E106" s="27">
        <v>0</v>
      </c>
      <c r="F106" s="27">
        <v>5.0959110000000002E-2</v>
      </c>
      <c r="G106" s="27">
        <v>0</v>
      </c>
      <c r="H106" s="27">
        <v>2.4561219999999998E-3</v>
      </c>
      <c r="I106" s="27">
        <v>0</v>
      </c>
      <c r="J106" s="27">
        <v>0</v>
      </c>
      <c r="K106" s="27">
        <v>0</v>
      </c>
      <c r="L106" s="27"/>
      <c r="M106" s="42"/>
      <c r="R106" s="75">
        <v>5.1999999999999998E-3</v>
      </c>
      <c r="S106" s="74">
        <f t="shared" si="3"/>
        <v>0.24683184209326769</v>
      </c>
      <c r="T106" s="28">
        <v>9.1943376592883708E-2</v>
      </c>
      <c r="U106" s="28">
        <v>6.1230719686397511E-2</v>
      </c>
      <c r="V106" s="28">
        <v>4.812672814515509E-2</v>
      </c>
      <c r="W106" s="28">
        <v>3.2786156607124257E-2</v>
      </c>
      <c r="X106" s="28">
        <v>2.102329964812823E-2</v>
      </c>
      <c r="Y106" s="28">
        <v>6.3736731864570692E-3</v>
      </c>
      <c r="Z106" s="28">
        <v>5.7815485838943234E-4</v>
      </c>
      <c r="AA106" s="28">
        <v>-8.5212504163349159E-4</v>
      </c>
      <c r="AB106" s="28">
        <v>0</v>
      </c>
    </row>
    <row r="107" spans="2:28">
      <c r="B107" s="49">
        <v>5.4000000000000003E-3</v>
      </c>
      <c r="C107" s="40">
        <v>2471.5337049999998</v>
      </c>
      <c r="D107" s="27">
        <v>1.7363072E-2</v>
      </c>
      <c r="E107" s="27">
        <v>2.5627200000000001E-3</v>
      </c>
      <c r="F107" s="27">
        <v>5.4806448000000001E-2</v>
      </c>
      <c r="G107" s="27">
        <v>0</v>
      </c>
      <c r="H107" s="27">
        <v>4.0328839999999996E-3</v>
      </c>
      <c r="I107" s="27">
        <v>0</v>
      </c>
      <c r="J107" s="27">
        <v>0</v>
      </c>
      <c r="K107" s="27">
        <v>0</v>
      </c>
      <c r="L107" s="27"/>
      <c r="M107" s="42"/>
      <c r="R107" s="75">
        <v>5.4000000000000003E-3</v>
      </c>
      <c r="S107" s="74">
        <f t="shared" si="3"/>
        <v>0.27581897839998165</v>
      </c>
      <c r="T107" s="28">
        <v>0.13921407063067737</v>
      </c>
      <c r="U107" s="28">
        <v>9.4879863376563151E-2</v>
      </c>
      <c r="V107" s="28">
        <v>7.5611529925018239E-2</v>
      </c>
      <c r="W107" s="28">
        <v>5.2707674958183494E-2</v>
      </c>
      <c r="X107" s="28">
        <v>3.4742714245765131E-2</v>
      </c>
      <c r="Y107" s="28">
        <v>1.1549270563164711E-2</v>
      </c>
      <c r="Z107" s="28">
        <v>1.6306346059229105E-3</v>
      </c>
      <c r="AA107" s="28">
        <v>-1.2246610643230676E-3</v>
      </c>
      <c r="AB107" s="28">
        <v>0</v>
      </c>
    </row>
    <row r="108" spans="2:28">
      <c r="B108" s="49">
        <v>5.5999999999999999E-3</v>
      </c>
      <c r="C108" s="40">
        <v>2796.7669599999999</v>
      </c>
      <c r="D108" s="27">
        <v>3.3775570999999997E-2</v>
      </c>
      <c r="E108" s="27">
        <v>9.8502639999999992E-3</v>
      </c>
      <c r="F108" s="27">
        <v>6.0081428999999999E-2</v>
      </c>
      <c r="G108" s="27">
        <v>0</v>
      </c>
      <c r="H108" s="27">
        <v>6.125073E-3</v>
      </c>
      <c r="I108" s="27">
        <v>0</v>
      </c>
      <c r="J108" s="27">
        <v>0</v>
      </c>
      <c r="K108" s="27">
        <v>0</v>
      </c>
      <c r="L108" s="27"/>
      <c r="M108" s="42"/>
      <c r="R108" s="75">
        <v>5.5999999999999999E-3</v>
      </c>
      <c r="S108" s="74">
        <f t="shared" si="3"/>
        <v>0.31211445919974712</v>
      </c>
      <c r="T108" s="28">
        <v>0.19377318205976996</v>
      </c>
      <c r="U108" s="28">
        <v>0.1347761539743188</v>
      </c>
      <c r="V108" s="28">
        <v>0.10868540892614942</v>
      </c>
      <c r="W108" s="28">
        <v>7.7298244071425007E-2</v>
      </c>
      <c r="X108" s="28">
        <v>5.2179518134663552E-2</v>
      </c>
      <c r="Y108" s="28">
        <v>1.8712301446789228E-2</v>
      </c>
      <c r="Z108" s="28">
        <v>3.4197553513968435E-3</v>
      </c>
      <c r="AA108" s="28">
        <v>-1.5211919948940797E-3</v>
      </c>
      <c r="AB108" s="28">
        <v>0</v>
      </c>
    </row>
    <row r="109" spans="2:28">
      <c r="B109" s="49">
        <v>5.7999999999999996E-3</v>
      </c>
      <c r="C109" s="40">
        <v>3211.4172229999999</v>
      </c>
      <c r="D109" s="27">
        <v>5.7072583000000003E-2</v>
      </c>
      <c r="E109" s="27">
        <v>2.1927591999999999E-2</v>
      </c>
      <c r="F109" s="27">
        <v>6.7692443000000005E-2</v>
      </c>
      <c r="G109" s="27">
        <v>4.035149E-3</v>
      </c>
      <c r="H109" s="27">
        <v>9.6493849999999999E-3</v>
      </c>
      <c r="I109" s="27">
        <v>0</v>
      </c>
      <c r="J109" s="27">
        <v>0</v>
      </c>
      <c r="K109" s="27">
        <v>0</v>
      </c>
      <c r="L109" s="27"/>
      <c r="M109" s="42"/>
      <c r="R109" s="75">
        <v>5.7999999999999996E-3</v>
      </c>
      <c r="S109" s="74">
        <f t="shared" si="3"/>
        <v>0.35838872675376526</v>
      </c>
      <c r="T109" s="28">
        <v>0.25607715792037644</v>
      </c>
      <c r="U109" s="28">
        <v>0.18110195887977068</v>
      </c>
      <c r="V109" s="28">
        <v>0.14746250976140876</v>
      </c>
      <c r="W109" s="28">
        <v>0.10662647557039323</v>
      </c>
      <c r="X109" s="28">
        <v>7.3405144937430153E-2</v>
      </c>
      <c r="Y109" s="28">
        <v>2.7978112777886567E-2</v>
      </c>
      <c r="Z109" s="28">
        <v>6.0748476364061235E-3</v>
      </c>
      <c r="AA109" s="28">
        <v>-1.656352888846207E-3</v>
      </c>
      <c r="AB109" s="28">
        <v>0</v>
      </c>
    </row>
    <row r="110" spans="2:28">
      <c r="B110" s="49">
        <v>6.0000000000000001E-3</v>
      </c>
      <c r="C110" s="40">
        <v>3515.8008789999999</v>
      </c>
      <c r="D110" s="27">
        <v>8.8195782E-2</v>
      </c>
      <c r="E110" s="27">
        <v>4.0722144000000002E-2</v>
      </c>
      <c r="F110" s="27">
        <v>8.0740069999999997E-2</v>
      </c>
      <c r="G110" s="27">
        <v>1.2332865E-2</v>
      </c>
      <c r="H110" s="27">
        <v>1.5185413E-2</v>
      </c>
      <c r="I110" s="27">
        <v>0</v>
      </c>
      <c r="J110" s="27">
        <v>0</v>
      </c>
      <c r="K110" s="27">
        <v>0</v>
      </c>
      <c r="L110" s="27"/>
      <c r="M110" s="42"/>
      <c r="R110" s="75">
        <v>6.0000000000000001E-3</v>
      </c>
      <c r="S110" s="74">
        <f t="shared" si="3"/>
        <v>0.39235742759313796</v>
      </c>
      <c r="T110" s="28">
        <v>0.32740738235253569</v>
      </c>
      <c r="U110" s="28">
        <v>0.23466750519916896</v>
      </c>
      <c r="V110" s="28">
        <v>0.19258148690353061</v>
      </c>
      <c r="W110" s="28">
        <v>0.14112714595596151</v>
      </c>
      <c r="X110" s="28">
        <v>9.8718656722001405E-2</v>
      </c>
      <c r="Y110" s="28">
        <v>3.9501867549187178E-2</v>
      </c>
      <c r="Z110" s="28">
        <v>9.7022593509685576E-3</v>
      </c>
      <c r="AA110" s="28">
        <v>-1.5658275283385267E-3</v>
      </c>
      <c r="AB110" s="28">
        <v>0</v>
      </c>
    </row>
    <row r="111" spans="2:28">
      <c r="B111" s="49">
        <v>6.1999999999999998E-3</v>
      </c>
      <c r="C111" s="40">
        <v>3736.267194</v>
      </c>
      <c r="D111" s="27">
        <v>0.12703350899999999</v>
      </c>
      <c r="E111" s="27">
        <v>6.6531166000000003E-2</v>
      </c>
      <c r="F111" s="27">
        <v>0.10069086100000001</v>
      </c>
      <c r="G111" s="27">
        <v>2.5061628999999998E-2</v>
      </c>
      <c r="H111" s="27">
        <v>2.3222906000000001E-2</v>
      </c>
      <c r="I111" s="27">
        <v>0</v>
      </c>
      <c r="J111" s="27">
        <v>0</v>
      </c>
      <c r="K111" s="27">
        <v>0</v>
      </c>
      <c r="L111" s="27"/>
      <c r="M111" s="42"/>
      <c r="R111" s="75">
        <v>6.1999999999999998E-3</v>
      </c>
      <c r="S111" s="74">
        <f t="shared" si="3"/>
        <v>0.41696109520725555</v>
      </c>
      <c r="T111" s="28">
        <v>0.40607667013809784</v>
      </c>
      <c r="U111" s="28">
        <v>0.29463823977665604</v>
      </c>
      <c r="V111" s="28">
        <v>0.24354146909269439</v>
      </c>
      <c r="W111" s="28">
        <v>0.18061173597272392</v>
      </c>
      <c r="X111" s="28">
        <v>0.12812410987465223</v>
      </c>
      <c r="Y111" s="28">
        <v>5.3434045729866639E-2</v>
      </c>
      <c r="Z111" s="28">
        <v>1.4437076973675472E-2</v>
      </c>
      <c r="AA111" s="28">
        <v>-1.1760149378027094E-3</v>
      </c>
      <c r="AB111" s="28">
        <v>0</v>
      </c>
    </row>
    <row r="112" spans="2:28">
      <c r="B112" s="49">
        <v>6.4000000000000003E-3</v>
      </c>
      <c r="C112" s="40">
        <v>3960.55</v>
      </c>
      <c r="D112" s="27">
        <v>0.17510000000000001</v>
      </c>
      <c r="E112" s="27">
        <v>9.9299999999999999E-2</v>
      </c>
      <c r="F112" s="27">
        <v>0.12790000000000001</v>
      </c>
      <c r="G112" s="27">
        <v>4.3249999999999997E-2</v>
      </c>
      <c r="H112" s="27">
        <v>3.4250000000000003E-2</v>
      </c>
      <c r="I112" s="27">
        <v>1.3500000000000001E-3</v>
      </c>
      <c r="J112" s="27">
        <v>0</v>
      </c>
      <c r="K112" s="27">
        <v>0</v>
      </c>
      <c r="L112" s="27"/>
      <c r="M112" s="42"/>
      <c r="R112" s="75">
        <v>6.4000000000000003E-3</v>
      </c>
      <c r="S112" s="74">
        <f t="shared" si="3"/>
        <v>0.44199067675755099</v>
      </c>
      <c r="T112" s="28">
        <v>0.49025323802240645</v>
      </c>
      <c r="U112" s="28">
        <v>0.35987698247814792</v>
      </c>
      <c r="V112" s="28">
        <v>0.29951039233528243</v>
      </c>
      <c r="W112" s="28">
        <v>0.22458571662612234</v>
      </c>
      <c r="X112" s="28">
        <v>0.16138016651584586</v>
      </c>
      <c r="Y112" s="28">
        <v>6.9820384445991035E-2</v>
      </c>
      <c r="Z112" s="28">
        <v>2.039979976812584E-2</v>
      </c>
      <c r="AA112" s="28">
        <v>-3.971532030791418E-4</v>
      </c>
      <c r="AB112" s="28">
        <v>0</v>
      </c>
    </row>
    <row r="113" spans="2:28">
      <c r="B113" s="49">
        <v>6.6E-3</v>
      </c>
      <c r="C113" s="40">
        <v>4201.2281199999998</v>
      </c>
      <c r="D113" s="27">
        <v>0.233111189</v>
      </c>
      <c r="E113" s="27">
        <v>0.13959455200000001</v>
      </c>
      <c r="F113" s="27">
        <v>0.162567663</v>
      </c>
      <c r="G113" s="27">
        <v>6.7553017000000007E-2</v>
      </c>
      <c r="H113" s="27">
        <v>4.9510310000000002E-2</v>
      </c>
      <c r="I113" s="27">
        <v>5.320562E-3</v>
      </c>
      <c r="J113" s="27">
        <v>0</v>
      </c>
      <c r="K113" s="27">
        <v>-4.7035700000000002E-4</v>
      </c>
      <c r="L113" s="27"/>
      <c r="M113" s="42"/>
      <c r="R113" s="75">
        <v>6.6E-3</v>
      </c>
      <c r="S113" s="74">
        <f t="shared" si="3"/>
        <v>0.46884994760112947</v>
      </c>
      <c r="T113" s="28">
        <v>0.57943215466813269</v>
      </c>
      <c r="U113" s="28">
        <v>0.42990874054260791</v>
      </c>
      <c r="V113" s="28">
        <v>0.36005565619700514</v>
      </c>
      <c r="W113" s="28">
        <v>0.27271964289454453</v>
      </c>
      <c r="X113" s="28">
        <v>0.19827172554635716</v>
      </c>
      <c r="Y113" s="28">
        <v>8.8642644221387318E-2</v>
      </c>
      <c r="Z113" s="28">
        <v>2.7666988964057088E-2</v>
      </c>
      <c r="AA113" s="28">
        <v>8.5446699087397794E-4</v>
      </c>
      <c r="AB113" s="28">
        <v>0</v>
      </c>
    </row>
    <row r="114" spans="2:28">
      <c r="B114" s="49">
        <v>6.7999999999999996E-3</v>
      </c>
      <c r="C114" s="40">
        <v>4409.1156410000003</v>
      </c>
      <c r="D114" s="27">
        <v>0.30219613400000001</v>
      </c>
      <c r="E114" s="27">
        <v>0.18848031600000001</v>
      </c>
      <c r="F114" s="27">
        <v>0.20438137100000001</v>
      </c>
      <c r="G114" s="27">
        <v>9.8029877000000001E-2</v>
      </c>
      <c r="H114" s="27">
        <v>6.9990684999999997E-2</v>
      </c>
      <c r="I114" s="27">
        <v>1.1577153E-2</v>
      </c>
      <c r="J114" s="27">
        <v>0</v>
      </c>
      <c r="K114" s="27">
        <v>-1.374868E-3</v>
      </c>
      <c r="L114" s="27"/>
      <c r="M114" s="42"/>
      <c r="R114" s="75">
        <v>6.7999999999999996E-3</v>
      </c>
      <c r="S114" s="74">
        <f t="shared" si="3"/>
        <v>0.49204984309449273</v>
      </c>
      <c r="T114" s="28">
        <v>0.67358282570924188</v>
      </c>
      <c r="U114" s="28">
        <v>0.50458315535466702</v>
      </c>
      <c r="V114" s="28">
        <v>0.42499057629926174</v>
      </c>
      <c r="W114" s="28">
        <v>0.32484086846271715</v>
      </c>
      <c r="X114" s="28">
        <v>0.2386672205888643</v>
      </c>
      <c r="Y114" s="28">
        <v>0.10987854890869965</v>
      </c>
      <c r="Z114" s="28">
        <v>3.6287543463159599E-2</v>
      </c>
      <c r="AA114" s="28">
        <v>2.6469823601490677E-3</v>
      </c>
      <c r="AB114" s="28">
        <v>0</v>
      </c>
    </row>
    <row r="115" spans="2:28">
      <c r="B115" s="49">
        <v>7.0000000000000001E-3</v>
      </c>
      <c r="C115" s="40">
        <v>4659.0546569999997</v>
      </c>
      <c r="D115" s="27">
        <v>0.38263374300000003</v>
      </c>
      <c r="E115" s="27">
        <v>0.24640316300000001</v>
      </c>
      <c r="F115" s="27">
        <v>0.25479718800000001</v>
      </c>
      <c r="G115" s="27">
        <v>0.13539947299999999</v>
      </c>
      <c r="H115" s="27">
        <v>9.6427065000000006E-2</v>
      </c>
      <c r="I115" s="27">
        <v>2.0372408000000002E-2</v>
      </c>
      <c r="J115" s="27">
        <v>5.0615100000000003E-5</v>
      </c>
      <c r="K115" s="27">
        <v>-1.601582E-3</v>
      </c>
      <c r="L115" s="27"/>
      <c r="M115" s="42"/>
      <c r="R115" s="75">
        <v>7.0000000000000001E-3</v>
      </c>
      <c r="S115" s="74">
        <f t="shared" si="3"/>
        <v>0.51994261425757771</v>
      </c>
      <c r="T115" s="28">
        <v>0.77194241529785723</v>
      </c>
      <c r="U115" s="28">
        <v>0.58338162103403102</v>
      </c>
      <c r="V115" s="28">
        <v>0.49391121194354182</v>
      </c>
      <c r="W115" s="28">
        <v>0.3806700775966913</v>
      </c>
      <c r="X115" s="28">
        <v>0.2823904397828661</v>
      </c>
      <c r="Y115" s="28">
        <v>0.13349720746246091</v>
      </c>
      <c r="Z115" s="28">
        <v>4.6306276403486765E-2</v>
      </c>
      <c r="AA115" s="28">
        <v>5.0412760837493581E-3</v>
      </c>
      <c r="AB115" s="28">
        <v>0</v>
      </c>
    </row>
    <row r="116" spans="2:28">
      <c r="B116" s="49">
        <v>7.1999999999999998E-3</v>
      </c>
      <c r="C116" s="40">
        <v>4935.4553599999999</v>
      </c>
      <c r="D116" s="27">
        <v>0.47559683699999999</v>
      </c>
      <c r="E116" s="27">
        <v>0.314710135</v>
      </c>
      <c r="F116" s="27">
        <v>0.31502917400000002</v>
      </c>
      <c r="G116" s="27">
        <v>0.180817165</v>
      </c>
      <c r="H116" s="27">
        <v>0.12896133600000001</v>
      </c>
      <c r="I116" s="27">
        <v>3.3630755999999998E-2</v>
      </c>
      <c r="J116" s="27">
        <v>4.0435849999999997E-3</v>
      </c>
      <c r="K116" s="27">
        <v>-1.7374929999999999E-3</v>
      </c>
      <c r="L116" s="27"/>
      <c r="M116" s="42"/>
      <c r="R116" s="75">
        <v>7.1999999999999998E-3</v>
      </c>
      <c r="S116" s="74">
        <f t="shared" si="3"/>
        <v>0.55078846490338018</v>
      </c>
      <c r="T116" s="28">
        <v>0.87484367446524869</v>
      </c>
      <c r="U116" s="28">
        <v>0.66640869977006967</v>
      </c>
      <c r="V116" s="28">
        <v>0.5668604201705143</v>
      </c>
      <c r="W116" s="28">
        <v>0.44017873983298328</v>
      </c>
      <c r="X116" s="28">
        <v>0.32938716495017822</v>
      </c>
      <c r="Y116" s="28">
        <v>0.15946566790296718</v>
      </c>
      <c r="Z116" s="28">
        <v>5.7748722417390694E-2</v>
      </c>
      <c r="AA116" s="28">
        <v>8.0870553140530727E-3</v>
      </c>
      <c r="AB116" s="28">
        <v>0</v>
      </c>
    </row>
    <row r="117" spans="2:28">
      <c r="B117" s="49">
        <v>7.4000000000000003E-3</v>
      </c>
      <c r="C117" s="40">
        <v>5163.9314770000001</v>
      </c>
      <c r="D117" s="27">
        <v>0.57964794799999997</v>
      </c>
      <c r="E117" s="27">
        <v>0.39332256700000001</v>
      </c>
      <c r="F117" s="27">
        <v>0.38370123099999998</v>
      </c>
      <c r="G117" s="27">
        <v>0.23375040999999999</v>
      </c>
      <c r="H117" s="27">
        <v>0.16809484199999999</v>
      </c>
      <c r="I117" s="27">
        <v>5.0385052999999999E-2</v>
      </c>
      <c r="J117" s="27">
        <v>9.5325319999999998E-3</v>
      </c>
      <c r="K117" s="27">
        <v>-1.7562719999999999E-3</v>
      </c>
      <c r="L117" s="27"/>
      <c r="M117" s="42"/>
      <c r="R117" s="75">
        <v>7.4000000000000003E-3</v>
      </c>
      <c r="S117" s="74">
        <f t="shared" si="3"/>
        <v>0.57628601286408443</v>
      </c>
      <c r="T117" s="28">
        <v>0.98266688711315742</v>
      </c>
      <c r="U117" s="28">
        <v>0.75387255377328366</v>
      </c>
      <c r="V117" s="28">
        <v>0.64398064787428022</v>
      </c>
      <c r="W117" s="28">
        <v>0.50343773047120965</v>
      </c>
      <c r="X117" s="28">
        <v>0.37968519465835032</v>
      </c>
      <c r="Y117" s="28">
        <v>0.18778730290587728</v>
      </c>
      <c r="Z117" s="28">
        <v>7.0637735088099049E-2</v>
      </c>
      <c r="AA117" s="28">
        <v>1.182313115906696E-2</v>
      </c>
      <c r="AB117" s="28">
        <v>0</v>
      </c>
    </row>
    <row r="118" spans="2:28">
      <c r="B118" s="49">
        <v>7.6E-3</v>
      </c>
      <c r="C118" s="40">
        <v>5392.411599</v>
      </c>
      <c r="D118" s="27">
        <v>0.69504698300000001</v>
      </c>
      <c r="E118" s="27">
        <v>0.48267299400000002</v>
      </c>
      <c r="F118" s="27">
        <v>0.46145957799999998</v>
      </c>
      <c r="G118" s="27">
        <v>0.29494258899999998</v>
      </c>
      <c r="H118" s="27">
        <v>0.21401007599999999</v>
      </c>
      <c r="I118" s="27">
        <v>7.0954892000000006E-2</v>
      </c>
      <c r="J118" s="27">
        <v>1.5881781000000001E-2</v>
      </c>
      <c r="K118" s="27">
        <v>-1.2343289999999999E-3</v>
      </c>
      <c r="L118" s="27"/>
      <c r="M118" s="42"/>
      <c r="R118" s="75">
        <v>7.6E-3</v>
      </c>
      <c r="S118" s="74">
        <f t="shared" si="3"/>
        <v>0.60178400777601027</v>
      </c>
      <c r="T118" s="28">
        <v>1.0946779413972787</v>
      </c>
      <c r="U118" s="28">
        <v>0.84534727359978878</v>
      </c>
      <c r="V118" s="28">
        <v>0.72495989251724313</v>
      </c>
      <c r="W118" s="28">
        <v>0.57026578414976714</v>
      </c>
      <c r="X118" s="28">
        <v>0.43319222448971656</v>
      </c>
      <c r="Y118" s="28">
        <v>0.21846783262319303</v>
      </c>
      <c r="Z118" s="28">
        <v>8.5009215028774704E-2</v>
      </c>
      <c r="AA118" s="28">
        <v>1.6291695060602487E-2</v>
      </c>
      <c r="AB118" s="28">
        <v>0</v>
      </c>
    </row>
    <row r="119" spans="2:28">
      <c r="B119" s="49">
        <v>7.7999999999999996E-3</v>
      </c>
      <c r="C119" s="40">
        <v>5672.2710020000004</v>
      </c>
      <c r="D119" s="27">
        <v>0.82338910399999998</v>
      </c>
      <c r="E119" s="27">
        <v>0.58240351499999998</v>
      </c>
      <c r="F119" s="27">
        <v>0.54940333900000005</v>
      </c>
      <c r="G119" s="27">
        <v>0.36444463999999999</v>
      </c>
      <c r="H119" s="27">
        <v>0.26678101900000001</v>
      </c>
      <c r="I119" s="27">
        <v>9.5957820999999999E-2</v>
      </c>
      <c r="J119" s="27">
        <v>2.3942707000000001E-2</v>
      </c>
      <c r="K119" s="27">
        <v>-7.1880499999999999E-4</v>
      </c>
      <c r="L119" s="27"/>
      <c r="M119" s="42"/>
      <c r="R119" s="75">
        <v>7.7999999999999996E-3</v>
      </c>
      <c r="S119" s="74">
        <f t="shared" si="3"/>
        <v>0.63301584348795292</v>
      </c>
      <c r="T119" s="28">
        <v>1.2106652644338129</v>
      </c>
      <c r="U119" s="28">
        <v>0.94063911727161931</v>
      </c>
      <c r="V119" s="28">
        <v>0.80962294007217694</v>
      </c>
      <c r="W119" s="28">
        <v>0.64052455583121892</v>
      </c>
      <c r="X119" s="28">
        <v>0.48981110624895957</v>
      </c>
      <c r="Y119" s="28">
        <v>0.25148620770496777</v>
      </c>
      <c r="Z119" s="28">
        <v>0.10089016221190909</v>
      </c>
      <c r="AA119" s="28">
        <v>2.1536141140086326E-2</v>
      </c>
      <c r="AB119" s="28">
        <v>0</v>
      </c>
    </row>
    <row r="120" spans="2:28">
      <c r="B120" s="49">
        <v>8.0000000000000002E-3</v>
      </c>
      <c r="C120" s="40">
        <v>5943.9071510000003</v>
      </c>
      <c r="D120" s="27">
        <v>0.96465551000000005</v>
      </c>
      <c r="E120" s="27">
        <v>0.69313915599999998</v>
      </c>
      <c r="F120" s="27">
        <v>0.64716248499999995</v>
      </c>
      <c r="G120" s="27">
        <v>0.44248499400000002</v>
      </c>
      <c r="H120" s="27">
        <v>0.32692022300000001</v>
      </c>
      <c r="I120" s="27">
        <v>0.12545381</v>
      </c>
      <c r="J120" s="27">
        <v>3.5214008999999998E-2</v>
      </c>
      <c r="K120" s="27">
        <v>2.75147E-4</v>
      </c>
      <c r="L120" s="27"/>
      <c r="M120" s="42"/>
      <c r="R120" s="75">
        <v>8.0000000000000002E-3</v>
      </c>
      <c r="S120" s="74">
        <f t="shared" si="3"/>
        <v>0.66332997797137694</v>
      </c>
      <c r="T120" s="28">
        <v>1.3313316972242593</v>
      </c>
      <c r="U120" s="28">
        <v>1.0401114211371842</v>
      </c>
      <c r="V120" s="28">
        <v>0.89820456273812221</v>
      </c>
      <c r="W120" s="28">
        <v>0.71432521791315062</v>
      </c>
      <c r="X120" s="28">
        <v>0.5495808843977894</v>
      </c>
      <c r="Y120" s="28">
        <v>0.28683752110563654</v>
      </c>
      <c r="Z120" s="28">
        <v>0.11829433390120515</v>
      </c>
      <c r="AA120" s="28">
        <v>2.7590206634689633E-2</v>
      </c>
      <c r="AB120" s="28">
        <v>0</v>
      </c>
    </row>
    <row r="121" spans="2:28">
      <c r="B121" s="49">
        <v>8.2000000000000007E-3</v>
      </c>
      <c r="C121" s="40">
        <v>6173.1517869999998</v>
      </c>
      <c r="D121" s="27">
        <v>1.1177862329999999</v>
      </c>
      <c r="E121" s="27">
        <v>0.81514897500000005</v>
      </c>
      <c r="F121" s="27">
        <v>0.75616156999999995</v>
      </c>
      <c r="G121" s="27">
        <v>0.52931956599999996</v>
      </c>
      <c r="H121" s="27">
        <v>0.39479472799999998</v>
      </c>
      <c r="I121" s="27">
        <v>0.159665319</v>
      </c>
      <c r="J121" s="27">
        <v>4.9360807999999999E-2</v>
      </c>
      <c r="K121" s="27">
        <v>2.2359110000000001E-3</v>
      </c>
      <c r="L121" s="27"/>
      <c r="M121" s="42"/>
      <c r="R121" s="75">
        <v>8.2000000000000007E-3</v>
      </c>
      <c r="S121" s="74">
        <f t="shared" si="3"/>
        <v>0.68891329135176049</v>
      </c>
      <c r="T121" s="28">
        <v>1.4566321306113794</v>
      </c>
      <c r="U121" s="28">
        <v>1.1437670898169514</v>
      </c>
      <c r="V121" s="28">
        <v>0.99071761045489504</v>
      </c>
      <c r="W121" s="28">
        <v>0.79168879166740413</v>
      </c>
      <c r="X121" s="28">
        <v>0.61252333215528465</v>
      </c>
      <c r="Y121" s="28">
        <v>0.32454252428814695</v>
      </c>
      <c r="Z121" s="28">
        <v>0.13724602044619874</v>
      </c>
      <c r="AA121" s="28">
        <v>3.4484976410769468E-2</v>
      </c>
      <c r="AB121" s="28">
        <v>0</v>
      </c>
    </row>
    <row r="122" spans="2:28">
      <c r="B122" s="49">
        <v>8.3999999999999995E-3</v>
      </c>
      <c r="C122" s="40">
        <v>6349.8</v>
      </c>
      <c r="D122" s="27">
        <v>1.28127163</v>
      </c>
      <c r="E122" s="27">
        <v>0.94802749100000006</v>
      </c>
      <c r="F122" s="27">
        <v>0.87680990599999997</v>
      </c>
      <c r="G122" s="27">
        <v>0.62641524000000004</v>
      </c>
      <c r="H122" s="27">
        <v>0.47091735099999998</v>
      </c>
      <c r="I122" s="27">
        <v>0.19969900400000001</v>
      </c>
      <c r="J122" s="27">
        <v>6.634197E-2</v>
      </c>
      <c r="K122" s="27">
        <v>5.7871040000000004E-3</v>
      </c>
      <c r="L122" s="27"/>
      <c r="M122" s="42"/>
      <c r="R122" s="75">
        <v>8.3999999999999995E-3</v>
      </c>
      <c r="S122" s="74">
        <f t="shared" si="3"/>
        <v>0.70862693294494383</v>
      </c>
      <c r="T122" s="28">
        <v>1.5858178380881676</v>
      </c>
      <c r="U122" s="28">
        <v>1.2511681645617252</v>
      </c>
      <c r="V122" s="28">
        <v>1.0868501557285617</v>
      </c>
      <c r="W122" s="28">
        <v>0.87243182773473738</v>
      </c>
      <c r="X122" s="28">
        <v>0.67854385325207733</v>
      </c>
      <c r="Y122" s="28">
        <v>0.36460197590357812</v>
      </c>
      <c r="Z122" s="28">
        <v>0.15777819207556371</v>
      </c>
      <c r="AA122" s="28">
        <v>4.2258339161226434E-2</v>
      </c>
      <c r="AB122" s="28">
        <v>0</v>
      </c>
    </row>
    <row r="123" spans="2:28">
      <c r="B123" s="49">
        <v>8.6E-3</v>
      </c>
      <c r="C123" s="40">
        <v>6530.7316929999997</v>
      </c>
      <c r="D123" s="27">
        <v>1.4521254830000001</v>
      </c>
      <c r="E123" s="27">
        <v>1.0905946689999999</v>
      </c>
      <c r="F123" s="27">
        <v>1.007382601</v>
      </c>
      <c r="G123" s="27">
        <v>0.73303790300000005</v>
      </c>
      <c r="H123" s="27">
        <v>0.55499654399999998</v>
      </c>
      <c r="I123" s="27">
        <v>0.24525495</v>
      </c>
      <c r="J123" s="27">
        <v>8.6345986999999999E-2</v>
      </c>
      <c r="K123" s="27">
        <v>1.0475570999999999E-2</v>
      </c>
      <c r="L123" s="27"/>
      <c r="M123" s="42"/>
      <c r="R123" s="75">
        <v>8.6E-3</v>
      </c>
      <c r="S123" s="74">
        <f t="shared" si="3"/>
        <v>0.72881860365632456</v>
      </c>
      <c r="T123" s="28">
        <v>1.7177972996652715</v>
      </c>
      <c r="U123" s="28">
        <v>1.3615994410272669</v>
      </c>
      <c r="V123" s="28">
        <v>1.1860502701825399</v>
      </c>
      <c r="W123" s="28">
        <v>0.95618840059109322</v>
      </c>
      <c r="X123" s="28">
        <v>0.74741923329913307</v>
      </c>
      <c r="Y123" s="28">
        <v>0.40697059403065516</v>
      </c>
      <c r="Z123" s="28">
        <v>0.17991855687559194</v>
      </c>
      <c r="AA123" s="28">
        <v>5.0954933946533339E-2</v>
      </c>
      <c r="AB123" s="28">
        <v>0</v>
      </c>
    </row>
    <row r="124" spans="2:28">
      <c r="B124" s="49">
        <v>8.8000000000000005E-3</v>
      </c>
      <c r="C124" s="40">
        <v>6673.4991209999998</v>
      </c>
      <c r="D124" s="27">
        <v>1.6278021090000001</v>
      </c>
      <c r="E124" s="27">
        <v>1.240635677</v>
      </c>
      <c r="F124" s="27">
        <v>1.1469115990000001</v>
      </c>
      <c r="G124" s="27">
        <v>0.84812636200000002</v>
      </c>
      <c r="H124" s="27">
        <v>0.64730351500000005</v>
      </c>
      <c r="I124" s="27">
        <v>0.296413708</v>
      </c>
      <c r="J124" s="27">
        <v>0.110228822</v>
      </c>
      <c r="K124" s="27">
        <v>1.7224252999999998E-2</v>
      </c>
      <c r="L124" s="27"/>
      <c r="M124" s="42"/>
      <c r="R124" s="75">
        <v>8.8000000000000005E-3</v>
      </c>
      <c r="S124" s="74">
        <f t="shared" si="3"/>
        <v>0.7447512069868355</v>
      </c>
      <c r="T124" s="28">
        <v>1.8523221195213595</v>
      </c>
      <c r="U124" s="28">
        <v>1.4747752321622742</v>
      </c>
      <c r="V124" s="28">
        <v>1.2880335924151991</v>
      </c>
      <c r="W124" s="28">
        <v>1.0427122584489787</v>
      </c>
      <c r="X124" s="28">
        <v>0.81895739172596649</v>
      </c>
      <c r="Y124" s="28">
        <v>0.45157218439823121</v>
      </c>
      <c r="Z124" s="28">
        <v>0.2036711683383351</v>
      </c>
      <c r="AA124" s="28">
        <v>6.061492551386425E-2</v>
      </c>
      <c r="AB124" s="28">
        <v>0</v>
      </c>
    </row>
    <row r="125" spans="2:28">
      <c r="B125" s="49">
        <v>8.9999999999999993E-3</v>
      </c>
      <c r="C125" s="40">
        <v>6816.3314769999997</v>
      </c>
      <c r="D125" s="27">
        <v>1.8070609609999999</v>
      </c>
      <c r="E125" s="27">
        <v>1.395457503</v>
      </c>
      <c r="F125" s="27">
        <v>1.2928427899999999</v>
      </c>
      <c r="G125" s="27">
        <v>0.97057379799999999</v>
      </c>
      <c r="H125" s="27">
        <v>0.74663135999999997</v>
      </c>
      <c r="I125" s="27">
        <v>0.35322332899999997</v>
      </c>
      <c r="J125" s="27">
        <v>0.138188218</v>
      </c>
      <c r="K125" s="27">
        <v>2.6149179000000002E-2</v>
      </c>
      <c r="L125" s="27"/>
      <c r="M125" s="42"/>
      <c r="R125" s="75">
        <v>8.9999999999999993E-3</v>
      </c>
      <c r="S125" s="74">
        <f t="shared" si="3"/>
        <v>0.76069105617225552</v>
      </c>
      <c r="T125" s="28">
        <v>1.988589905899081</v>
      </c>
      <c r="U125" s="28">
        <v>1.5901175816134063</v>
      </c>
      <c r="V125" s="28">
        <v>1.3923211544816829</v>
      </c>
      <c r="W125" s="28">
        <v>1.1316512631683986</v>
      </c>
      <c r="X125" s="28">
        <v>0.89291213792538404</v>
      </c>
      <c r="Y125" s="28">
        <v>0.49831658821075259</v>
      </c>
      <c r="Z125" s="28">
        <v>0.22903271310989018</v>
      </c>
      <c r="AA125" s="28">
        <v>7.127385391833542E-2</v>
      </c>
      <c r="AB125" s="28">
        <v>0</v>
      </c>
    </row>
    <row r="126" spans="2:28">
      <c r="B126" s="49">
        <v>9.1999999999999998E-3</v>
      </c>
      <c r="C126" s="40">
        <v>6959.1741069999998</v>
      </c>
      <c r="D126" s="27">
        <v>1.988190334</v>
      </c>
      <c r="E126" s="27">
        <v>1.553418102</v>
      </c>
      <c r="F126" s="27">
        <v>1.4423023429999999</v>
      </c>
      <c r="G126" s="27">
        <v>1.0984895139999999</v>
      </c>
      <c r="H126" s="27">
        <v>0.85216104299999995</v>
      </c>
      <c r="I126" s="27">
        <v>0.41516660799999999</v>
      </c>
      <c r="J126" s="27">
        <v>0.16981300499999999</v>
      </c>
      <c r="K126" s="27">
        <v>3.6818921999999997E-2</v>
      </c>
      <c r="L126" s="27"/>
      <c r="M126" s="42"/>
      <c r="R126" s="75">
        <v>9.1999999999999998E-3</v>
      </c>
      <c r="S126" s="74">
        <f t="shared" si="3"/>
        <v>0.77663205191868689</v>
      </c>
      <c r="T126" s="28">
        <v>2.1263097108673867</v>
      </c>
      <c r="U126" s="28">
        <v>1.7073213906708748</v>
      </c>
      <c r="V126" s="28">
        <v>1.4986226984512676</v>
      </c>
      <c r="W126" s="28">
        <v>1.2227460049206655</v>
      </c>
      <c r="X126" s="28">
        <v>0.96907015808739538</v>
      </c>
      <c r="Y126" s="28">
        <v>0.54709536628709521</v>
      </c>
      <c r="Z126" s="28">
        <v>0.25598383273853315</v>
      </c>
      <c r="AA126" s="28">
        <v>8.2960461135973815E-2</v>
      </c>
      <c r="AB126" s="28">
        <v>0</v>
      </c>
    </row>
    <row r="127" spans="2:28">
      <c r="B127" s="49">
        <v>9.4000000000000004E-3</v>
      </c>
      <c r="C127" s="40">
        <v>7077.5033409999996</v>
      </c>
      <c r="D127" s="27">
        <v>2.1695448420000001</v>
      </c>
      <c r="E127" s="27">
        <v>1.7134883350000001</v>
      </c>
      <c r="F127" s="27">
        <v>1.593056858</v>
      </c>
      <c r="G127" s="27">
        <v>1.2301718639999999</v>
      </c>
      <c r="H127" s="27">
        <v>0.96296213399999997</v>
      </c>
      <c r="I127" s="27">
        <v>0.48237116099999999</v>
      </c>
      <c r="J127" s="27">
        <v>0.20528827699999999</v>
      </c>
      <c r="K127" s="27">
        <v>4.9351114000000001E-2</v>
      </c>
      <c r="L127" s="27"/>
      <c r="M127" s="42"/>
      <c r="R127" s="75">
        <v>9.4000000000000004E-3</v>
      </c>
      <c r="S127" s="74">
        <f t="shared" si="3"/>
        <v>0.78983739416051246</v>
      </c>
      <c r="T127" s="28">
        <v>2.2652894325341189</v>
      </c>
      <c r="U127" s="28">
        <v>1.8261721599023226</v>
      </c>
      <c r="V127" s="28">
        <v>1.6067301216770562</v>
      </c>
      <c r="W127" s="28">
        <v>1.315798057603673</v>
      </c>
      <c r="X127" s="28">
        <v>1.0472571866689233</v>
      </c>
      <c r="Y127" s="28">
        <v>0.59780440668833834</v>
      </c>
      <c r="Z127" s="28">
        <v>0.28449588825692357</v>
      </c>
      <c r="AA127" s="28">
        <v>9.5694520621440279E-2</v>
      </c>
      <c r="AB127" s="28">
        <v>0</v>
      </c>
    </row>
    <row r="128" spans="2:28">
      <c r="B128" s="49">
        <v>9.5999999999999992E-3</v>
      </c>
      <c r="C128" s="40">
        <v>7214.2892789999996</v>
      </c>
      <c r="D128" s="27">
        <v>2.3505975979999998</v>
      </c>
      <c r="E128" s="27">
        <v>1.874070006</v>
      </c>
      <c r="F128" s="27">
        <v>1.7443189219999999</v>
      </c>
      <c r="G128" s="27">
        <v>1.363716755</v>
      </c>
      <c r="H128" s="27">
        <v>1.076914353</v>
      </c>
      <c r="I128" s="27">
        <v>0.55488441700000002</v>
      </c>
      <c r="J128" s="27">
        <v>0.24505536</v>
      </c>
      <c r="K128" s="27">
        <v>6.4127064999999997E-2</v>
      </c>
      <c r="L128" s="27"/>
      <c r="M128" s="42"/>
      <c r="R128" s="75">
        <v>9.5999999999999992E-3</v>
      </c>
      <c r="S128" s="74">
        <f t="shared" si="3"/>
        <v>0.80510247333071272</v>
      </c>
      <c r="T128" s="28">
        <v>2.4050209711310964</v>
      </c>
      <c r="U128" s="28">
        <v>1.9462819967376397</v>
      </c>
      <c r="V128" s="28">
        <v>1.7163098990541648</v>
      </c>
      <c r="W128" s="28">
        <v>1.4105425802935398</v>
      </c>
      <c r="X128" s="28">
        <v>1.1272686797557654</v>
      </c>
      <c r="Y128" s="28">
        <v>0.65033961407655649</v>
      </c>
      <c r="Z128" s="28">
        <v>0.31453810360057222</v>
      </c>
      <c r="AA128" s="28">
        <v>0.109491710172617</v>
      </c>
      <c r="AB128" s="28">
        <v>0</v>
      </c>
    </row>
    <row r="129" spans="2:28">
      <c r="B129" s="49">
        <v>9.7999999999999997E-3</v>
      </c>
      <c r="C129" s="40">
        <v>7359.3578209999996</v>
      </c>
      <c r="D129" s="27">
        <v>2.5312560629999998</v>
      </c>
      <c r="E129" s="27">
        <v>2.0339903339999998</v>
      </c>
      <c r="F129" s="27">
        <v>1.895737786</v>
      </c>
      <c r="G129" s="27">
        <v>1.497753076</v>
      </c>
      <c r="H129" s="27">
        <v>1.191735677</v>
      </c>
      <c r="I129" s="27">
        <v>0.63131792600000003</v>
      </c>
      <c r="J129" s="27">
        <v>0.28916080799999999</v>
      </c>
      <c r="K129" s="27">
        <v>8.1533040000000001E-2</v>
      </c>
      <c r="L129" s="27"/>
      <c r="M129" s="42"/>
      <c r="R129" s="75">
        <v>9.7999999999999997E-3</v>
      </c>
      <c r="S129" s="74">
        <f t="shared" si="3"/>
        <v>0.82129187708898144</v>
      </c>
      <c r="T129" s="28">
        <v>2.5456458826517987</v>
      </c>
      <c r="U129" s="28">
        <v>2.0676294371107566</v>
      </c>
      <c r="V129" s="28">
        <v>1.8272859478530241</v>
      </c>
      <c r="W129" s="28">
        <v>1.5068594368585539</v>
      </c>
      <c r="X129" s="28">
        <v>1.2089712553464365</v>
      </c>
      <c r="Y129" s="28">
        <v>0.70459843517873932</v>
      </c>
      <c r="Z129" s="28">
        <v>0.3460689480672246</v>
      </c>
      <c r="AA129" s="28">
        <v>0.12436040081520444</v>
      </c>
      <c r="AB129" s="28">
        <v>0</v>
      </c>
    </row>
    <row r="130" spans="2:28">
      <c r="B130" s="49">
        <v>0.01</v>
      </c>
      <c r="C130" s="40">
        <v>7544.8116060000002</v>
      </c>
      <c r="D130" s="27">
        <v>2.7120400349999998</v>
      </c>
      <c r="E130" s="27">
        <v>2.194267526</v>
      </c>
      <c r="F130" s="27">
        <v>2.0473953690000002</v>
      </c>
      <c r="G130" s="27">
        <v>1.6321854629999999</v>
      </c>
      <c r="H130" s="27">
        <v>1.3071848770000001</v>
      </c>
      <c r="I130" s="27">
        <v>0.71091189899999996</v>
      </c>
      <c r="J130" s="27">
        <v>0.336820281</v>
      </c>
      <c r="K130" s="27">
        <v>0.10170691699999999</v>
      </c>
      <c r="L130" s="27"/>
      <c r="M130" s="42"/>
      <c r="R130" s="75">
        <v>0.01</v>
      </c>
      <c r="S130" s="74">
        <f t="shared" si="3"/>
        <v>0.84198820561390841</v>
      </c>
      <c r="T130" s="28">
        <v>2.6872807371369092</v>
      </c>
      <c r="U130" s="28">
        <v>2.1902272270135938</v>
      </c>
      <c r="V130" s="28">
        <v>1.9396308417778658</v>
      </c>
      <c r="W130" s="28">
        <v>1.6046825866643659</v>
      </c>
      <c r="X130" s="28">
        <v>1.2922789005074871</v>
      </c>
      <c r="Y130" s="28">
        <v>0.76049954078951698</v>
      </c>
      <c r="Z130" s="28">
        <v>0.37904671022840736</v>
      </c>
      <c r="AA130" s="28">
        <v>0.14030172766751942</v>
      </c>
      <c r="AB130" s="28">
        <v>0</v>
      </c>
    </row>
    <row r="131" spans="2:28">
      <c r="B131" s="49">
        <v>1.0200000000000001E-2</v>
      </c>
      <c r="C131" s="40">
        <v>7697.5352670000002</v>
      </c>
      <c r="D131" s="27">
        <v>2.8927898650000001</v>
      </c>
      <c r="E131" s="27">
        <v>2.3551265959999999</v>
      </c>
      <c r="F131" s="27">
        <v>2.1992309309999998</v>
      </c>
      <c r="G131" s="27">
        <v>1.767411541</v>
      </c>
      <c r="H131" s="27">
        <v>1.4240436439999999</v>
      </c>
      <c r="I131" s="27">
        <v>0.79265008800000003</v>
      </c>
      <c r="J131" s="27">
        <v>0.38764264799999998</v>
      </c>
      <c r="K131" s="27">
        <v>0.124643117</v>
      </c>
      <c r="L131" s="27"/>
      <c r="M131" s="42"/>
      <c r="R131" s="75">
        <v>1.0200000000000001E-2</v>
      </c>
      <c r="S131" s="74">
        <f t="shared" si="3"/>
        <v>0.85903190769626592</v>
      </c>
      <c r="T131" s="28">
        <v>2.8306030572807708</v>
      </c>
      <c r="U131" s="28">
        <v>2.3144449162960172</v>
      </c>
      <c r="V131" s="28">
        <v>2.0535892668599236</v>
      </c>
      <c r="W131" s="28">
        <v>1.7041242592596026</v>
      </c>
      <c r="X131" s="28">
        <v>1.377215297050588</v>
      </c>
      <c r="Y131" s="28">
        <v>0.81799062827204483</v>
      </c>
      <c r="Z131" s="28">
        <v>0.41342875427920139</v>
      </c>
      <c r="AA131" s="28">
        <v>0.15730917358472735</v>
      </c>
      <c r="AB131" s="28">
        <v>0</v>
      </c>
    </row>
    <row r="132" spans="2:28">
      <c r="B132" s="49">
        <v>1.04E-2</v>
      </c>
      <c r="C132" s="40">
        <v>7817.4884009999996</v>
      </c>
      <c r="D132" s="27">
        <v>3.072496954</v>
      </c>
      <c r="E132" s="27">
        <v>2.515618688</v>
      </c>
      <c r="F132" s="27">
        <v>2.3517323960000001</v>
      </c>
      <c r="G132" s="27">
        <v>1.9029475689999999</v>
      </c>
      <c r="H132" s="27">
        <v>1.5422627419999999</v>
      </c>
      <c r="I132" s="27">
        <v>0.87574323399999998</v>
      </c>
      <c r="J132" s="27">
        <v>0.441022847</v>
      </c>
      <c r="K132" s="27">
        <v>0.15030216800000001</v>
      </c>
      <c r="L132" s="27"/>
      <c r="M132" s="42"/>
      <c r="R132" s="75">
        <v>1.04E-2</v>
      </c>
      <c r="S132" s="74">
        <f t="shared" si="3"/>
        <v>0.87241847442963594</v>
      </c>
      <c r="T132" s="28">
        <v>2.9752203571367968</v>
      </c>
      <c r="U132" s="28">
        <v>2.4400807807595446</v>
      </c>
      <c r="V132" s="28">
        <v>2.1690253212145501</v>
      </c>
      <c r="W132" s="28">
        <v>1.8051041140436097</v>
      </c>
      <c r="X132" s="28">
        <v>1.4637279895748283</v>
      </c>
      <c r="Y132" s="28">
        <v>0.87703685024901035</v>
      </c>
      <c r="Z132" s="28">
        <v>0.44919047631799314</v>
      </c>
      <c r="AA132" s="28">
        <v>0.17537840362749213</v>
      </c>
      <c r="AB132" s="28">
        <v>0</v>
      </c>
    </row>
    <row r="133" spans="2:28">
      <c r="B133" s="49">
        <v>1.06E-2</v>
      </c>
      <c r="C133" s="40">
        <v>7956.1700639999999</v>
      </c>
      <c r="D133" s="27">
        <v>3.2501666079999998</v>
      </c>
      <c r="E133" s="27">
        <v>2.675498653</v>
      </c>
      <c r="F133" s="27">
        <v>2.5053728180000001</v>
      </c>
      <c r="G133" s="27">
        <v>2.039195313</v>
      </c>
      <c r="H133" s="27">
        <v>1.6620849440000001</v>
      </c>
      <c r="I133" s="27">
        <v>0.96061898099999998</v>
      </c>
      <c r="J133" s="27">
        <v>0.49683503200000001</v>
      </c>
      <c r="K133" s="27">
        <v>0.179148272</v>
      </c>
      <c r="L133" s="27"/>
      <c r="M133" s="42"/>
      <c r="R133" s="75">
        <v>1.06E-2</v>
      </c>
      <c r="S133" s="74">
        <f t="shared" si="3"/>
        <v>0.8878951133013161</v>
      </c>
      <c r="T133" s="28">
        <v>3.1205437954566504</v>
      </c>
      <c r="U133" s="28">
        <v>2.5667507807613226</v>
      </c>
      <c r="V133" s="28">
        <v>2.2856373310428766</v>
      </c>
      <c r="W133" s="28">
        <v>1.9074141646060501</v>
      </c>
      <c r="X133" s="28">
        <v>1.5516768730280603</v>
      </c>
      <c r="Y133" s="28">
        <v>0.93757935913372981</v>
      </c>
      <c r="Z133" s="28">
        <v>0.48631054982043492</v>
      </c>
      <c r="AA133" s="28">
        <v>0.19451173765490251</v>
      </c>
      <c r="AB133" s="28">
        <v>0</v>
      </c>
    </row>
    <row r="134" spans="2:28">
      <c r="B134" s="49">
        <v>1.0800000000000001E-2</v>
      </c>
      <c r="C134" s="40">
        <v>8070.3165200000003</v>
      </c>
      <c r="D134" s="27">
        <v>3.4245637960000002</v>
      </c>
      <c r="E134" s="27">
        <v>2.8345050970000001</v>
      </c>
      <c r="F134" s="27">
        <v>2.658924077</v>
      </c>
      <c r="G134" s="27">
        <v>2.1760435849999999</v>
      </c>
      <c r="H134" s="27">
        <v>1.781822496</v>
      </c>
      <c r="I134" s="27">
        <v>1.0464397190000001</v>
      </c>
      <c r="J134" s="27">
        <v>0.55425975400000005</v>
      </c>
      <c r="K134" s="27">
        <v>0.20989226699999999</v>
      </c>
      <c r="L134" s="27"/>
      <c r="M134" s="42"/>
      <c r="R134" s="75">
        <v>1.0800000000000001E-2</v>
      </c>
      <c r="S134" s="74">
        <f t="shared" si="3"/>
        <v>0.90063366459770577</v>
      </c>
      <c r="T134" s="28">
        <v>3.2667389190128122</v>
      </c>
      <c r="U134" s="28">
        <v>2.6944752475344438</v>
      </c>
      <c r="V134" s="28">
        <v>2.4033944728780301</v>
      </c>
      <c r="W134" s="28">
        <v>2.0109847195864492</v>
      </c>
      <c r="X134" s="28">
        <v>1.6409781138335247</v>
      </c>
      <c r="Y134" s="28">
        <v>0.99954892864693357</v>
      </c>
      <c r="Z134" s="28">
        <v>0.5247554066797635</v>
      </c>
      <c r="AA134" s="28">
        <v>0.21470834958210361</v>
      </c>
      <c r="AB134" s="28">
        <v>0</v>
      </c>
    </row>
    <row r="135" spans="2:28">
      <c r="B135" s="49">
        <v>1.0999999999999999E-2</v>
      </c>
      <c r="C135" s="40">
        <v>8162.511606</v>
      </c>
      <c r="D135" s="27">
        <v>3.5955926730000001</v>
      </c>
      <c r="E135" s="27">
        <v>2.9914366349999999</v>
      </c>
      <c r="F135" s="27">
        <v>2.8112054510000002</v>
      </c>
      <c r="G135" s="27">
        <v>2.3123338219999998</v>
      </c>
      <c r="H135" s="27">
        <v>1.9018981239999999</v>
      </c>
      <c r="I135" s="27">
        <v>1.132820516</v>
      </c>
      <c r="J135" s="27">
        <v>0.61330844100000004</v>
      </c>
      <c r="K135" s="27">
        <v>0.241896366</v>
      </c>
      <c r="L135" s="27"/>
      <c r="M135" s="42"/>
      <c r="R135" s="75">
        <v>1.0999999999999999E-2</v>
      </c>
      <c r="S135" s="74">
        <f t="shared" si="3"/>
        <v>0.91092248015485333</v>
      </c>
      <c r="T135" s="28">
        <v>3.4134127149695614</v>
      </c>
      <c r="U135" s="28">
        <v>2.8229846635471878</v>
      </c>
      <c r="V135" s="28">
        <v>2.5220728280226568</v>
      </c>
      <c r="W135" s="28">
        <v>2.1156494284833935</v>
      </c>
      <c r="X135" s="28">
        <v>1.731507897268074</v>
      </c>
      <c r="Y135" s="28">
        <v>1.0628796458525336</v>
      </c>
      <c r="Z135" s="28">
        <v>0.56449404346748111</v>
      </c>
      <c r="AA135" s="28">
        <v>0.23596579303579429</v>
      </c>
      <c r="AB135" s="28">
        <v>0</v>
      </c>
    </row>
    <row r="136" spans="2:28">
      <c r="B136" s="49">
        <v>1.12E-2</v>
      </c>
      <c r="C136" s="40">
        <v>8219.6410660000001</v>
      </c>
      <c r="D136" s="27">
        <v>3.762222789</v>
      </c>
      <c r="E136" s="27">
        <v>3.1455970710000001</v>
      </c>
      <c r="F136" s="27">
        <v>2.9607092559999999</v>
      </c>
      <c r="G136" s="27">
        <v>2.4460707670000001</v>
      </c>
      <c r="H136" s="27">
        <v>2.0209698889999999</v>
      </c>
      <c r="I136" s="27">
        <v>1.219905448</v>
      </c>
      <c r="J136" s="27">
        <v>0.67351628600000002</v>
      </c>
      <c r="K136" s="27">
        <v>0.27553966000000002</v>
      </c>
      <c r="L136" s="27"/>
      <c r="M136" s="42"/>
      <c r="R136" s="75">
        <v>1.12E-2</v>
      </c>
      <c r="S136" s="74">
        <f t="shared" si="3"/>
        <v>0.91729803119907527</v>
      </c>
      <c r="T136" s="28">
        <v>3.5600942391295254</v>
      </c>
      <c r="U136" s="28">
        <v>2.9519354612235391</v>
      </c>
      <c r="V136" s="28">
        <v>2.6413866792576419</v>
      </c>
      <c r="W136" s="28">
        <v>2.2211896301203162</v>
      </c>
      <c r="X136" s="28">
        <v>1.8231024951522992</v>
      </c>
      <c r="Y136" s="28">
        <v>1.1274875394924853</v>
      </c>
      <c r="Z136" s="28">
        <v>0.60549274893741811</v>
      </c>
      <c r="AA136" s="28">
        <v>0.25828220999895002</v>
      </c>
      <c r="AB136" s="28">
        <v>0</v>
      </c>
    </row>
    <row r="137" spans="2:28">
      <c r="B137" s="49">
        <v>1.14E-2</v>
      </c>
      <c r="C137" s="40">
        <v>8276.7799059999998</v>
      </c>
      <c r="D137" s="27">
        <v>3.9238912130000001</v>
      </c>
      <c r="E137" s="27">
        <v>3.2966597540000002</v>
      </c>
      <c r="F137" s="27">
        <v>3.1063355010000002</v>
      </c>
      <c r="G137" s="27">
        <v>2.5762781490000002</v>
      </c>
      <c r="H137" s="27">
        <v>2.1380735789999998</v>
      </c>
      <c r="I137" s="27">
        <v>1.306677563</v>
      </c>
      <c r="J137" s="27">
        <v>0.73401072099999998</v>
      </c>
      <c r="K137" s="27">
        <v>0.31082026899999998</v>
      </c>
      <c r="L137" s="27"/>
      <c r="M137" s="42"/>
      <c r="R137" s="75">
        <v>1.14E-2</v>
      </c>
      <c r="S137" s="74">
        <f t="shared" si="3"/>
        <v>0.92367462903542152</v>
      </c>
      <c r="T137" s="28">
        <v>3.7060501638143712</v>
      </c>
      <c r="U137" s="28">
        <v>3.0808093499184688</v>
      </c>
      <c r="V137" s="28">
        <v>2.7609159180621137</v>
      </c>
      <c r="W137" s="28">
        <v>2.3272935774001509</v>
      </c>
      <c r="X137" s="28">
        <v>1.9155365632850359</v>
      </c>
      <c r="Y137" s="28">
        <v>1.193266172953414</v>
      </c>
      <c r="Z137" s="28">
        <v>0.64771313519598861</v>
      </c>
      <c r="AA137" s="28">
        <v>0.28165594237323544</v>
      </c>
      <c r="AB137" s="28">
        <v>0</v>
      </c>
    </row>
    <row r="138" spans="2:28">
      <c r="B138" s="49">
        <v>1.1599999999999999E-2</v>
      </c>
      <c r="C138" s="40">
        <v>8333.8870459999998</v>
      </c>
      <c r="D138" s="27">
        <v>4.080568113</v>
      </c>
      <c r="E138" s="27">
        <v>3.4433321810000002</v>
      </c>
      <c r="F138" s="27">
        <v>3.2471875149999998</v>
      </c>
      <c r="G138" s="27">
        <v>2.7029572100000001</v>
      </c>
      <c r="H138" s="27">
        <v>2.253158558</v>
      </c>
      <c r="I138" s="27">
        <v>1.393401055</v>
      </c>
      <c r="J138" s="27">
        <v>0.79498141899999997</v>
      </c>
      <c r="K138" s="27">
        <v>0.34674624900000001</v>
      </c>
      <c r="L138" s="27"/>
      <c r="M138" s="42"/>
      <c r="R138" s="75">
        <v>1.1599999999999999E-2</v>
      </c>
      <c r="S138" s="74">
        <f t="shared" si="3"/>
        <v>0.93004768920542025</v>
      </c>
      <c r="T138" s="28">
        <v>3.8510829902876584</v>
      </c>
      <c r="U138" s="28">
        <v>3.2093678466562348</v>
      </c>
      <c r="V138" s="28">
        <v>2.880418872867899</v>
      </c>
      <c r="W138" s="28">
        <v>2.4337356507553216</v>
      </c>
      <c r="X138" s="28">
        <v>2.0086140147560996</v>
      </c>
      <c r="Y138" s="28">
        <v>1.2600949347692065</v>
      </c>
      <c r="Z138" s="28">
        <v>0.69110215774772477</v>
      </c>
      <c r="AA138" s="28">
        <v>0.30608027948906791</v>
      </c>
      <c r="AB138" s="28">
        <v>0</v>
      </c>
    </row>
    <row r="139" spans="2:28">
      <c r="B139" s="49">
        <v>1.18E-2</v>
      </c>
      <c r="C139" s="40">
        <v>8422.2082599999994</v>
      </c>
      <c r="D139" s="27">
        <v>4.2323840070000003</v>
      </c>
      <c r="E139" s="27">
        <v>3.584292091</v>
      </c>
      <c r="F139" s="27">
        <v>3.3829875220000001</v>
      </c>
      <c r="G139" s="27">
        <v>2.8256534270000002</v>
      </c>
      <c r="H139" s="27">
        <v>2.3660427070000001</v>
      </c>
      <c r="I139" s="27">
        <v>1.4801776799999999</v>
      </c>
      <c r="J139" s="27">
        <v>0.85669543100000001</v>
      </c>
      <c r="K139" s="27">
        <v>0.38321476300000001</v>
      </c>
      <c r="L139" s="27"/>
      <c r="M139" s="42"/>
      <c r="R139" s="75">
        <v>1.18E-2</v>
      </c>
      <c r="S139" s="74">
        <f t="shared" si="3"/>
        <v>0.93990418720390745</v>
      </c>
      <c r="T139" s="28">
        <v>3.995098421307588</v>
      </c>
      <c r="U139" s="28">
        <v>3.3374617090017202</v>
      </c>
      <c r="V139" s="28">
        <v>2.9997320063196877</v>
      </c>
      <c r="W139" s="28">
        <v>2.5403480336719166</v>
      </c>
      <c r="X139" s="28">
        <v>2.1021760900454676</v>
      </c>
      <c r="Y139" s="28">
        <v>1.3278591071579786</v>
      </c>
      <c r="Z139" s="28">
        <v>0.73559966572576718</v>
      </c>
      <c r="AA139" s="28">
        <v>0.33154101339824593</v>
      </c>
      <c r="AB139" s="28">
        <v>0</v>
      </c>
    </row>
    <row r="140" spans="2:28">
      <c r="B140" s="49">
        <v>1.2E-2</v>
      </c>
      <c r="C140" s="40">
        <v>8544.0848179999994</v>
      </c>
      <c r="D140" s="27">
        <v>4.3807845839999997</v>
      </c>
      <c r="E140" s="27">
        <v>3.7209353460000001</v>
      </c>
      <c r="F140" s="27">
        <v>3.5143419699999998</v>
      </c>
      <c r="G140" s="27">
        <v>2.945430129</v>
      </c>
      <c r="H140" s="27">
        <v>2.476561958</v>
      </c>
      <c r="I140" s="27">
        <v>1.565463482</v>
      </c>
      <c r="J140" s="27">
        <v>0.91852110200000003</v>
      </c>
      <c r="K140" s="27">
        <v>0.42032262599999998</v>
      </c>
      <c r="L140" s="27"/>
      <c r="M140" s="42"/>
      <c r="R140" s="75">
        <v>1.2E-2</v>
      </c>
      <c r="S140" s="74">
        <f t="shared" si="3"/>
        <v>0.95350540480027679</v>
      </c>
      <c r="T140" s="28">
        <v>4.1385568907386316</v>
      </c>
      <c r="U140" s="28">
        <v>3.4652954264977929</v>
      </c>
      <c r="V140" s="28">
        <v>3.1189631696661944</v>
      </c>
      <c r="W140" s="28">
        <v>2.6471374843223083</v>
      </c>
      <c r="X140" s="28">
        <v>2.1961677198671277</v>
      </c>
      <c r="Y140" s="28">
        <v>1.396464730349243</v>
      </c>
      <c r="Z140" s="28">
        <v>0.78113977404629453</v>
      </c>
      <c r="AA140" s="28">
        <v>0.35801472871216911</v>
      </c>
      <c r="AB140" s="28">
        <v>0</v>
      </c>
    </row>
    <row r="141" spans="2:28">
      <c r="B141" s="49">
        <v>1.2200000000000001E-2</v>
      </c>
      <c r="C141" s="40">
        <v>8675.1363799999999</v>
      </c>
      <c r="D141" s="27">
        <v>4.5267296430000004</v>
      </c>
      <c r="E141" s="27">
        <v>3.8543035149999998</v>
      </c>
      <c r="F141" s="27">
        <v>3.6417811360000001</v>
      </c>
      <c r="G141" s="27">
        <v>3.0625630930000001</v>
      </c>
      <c r="H141" s="27">
        <v>2.5841450500000001</v>
      </c>
      <c r="I141" s="27">
        <v>1.6494915640000001</v>
      </c>
      <c r="J141" s="27">
        <v>0.98082565899999996</v>
      </c>
      <c r="K141" s="27">
        <v>0.45873303999999998</v>
      </c>
      <c r="L141" s="27"/>
      <c r="M141" s="42"/>
      <c r="R141" s="75">
        <v>1.2200000000000001E-2</v>
      </c>
      <c r="S141" s="74">
        <f t="shared" si="3"/>
        <v>0.96813053731432519</v>
      </c>
      <c r="T141" s="28">
        <v>4.2820968567898445</v>
      </c>
      <c r="U141" s="28">
        <v>3.5932451389794773</v>
      </c>
      <c r="V141" s="28">
        <v>3.2383795928297849</v>
      </c>
      <c r="W141" s="28">
        <v>2.7542411809062797</v>
      </c>
      <c r="X141" s="28">
        <v>2.2906322227243892</v>
      </c>
      <c r="Y141" s="28">
        <v>1.4658574663997399</v>
      </c>
      <c r="Z141" s="28">
        <v>0.82766154144416915</v>
      </c>
      <c r="AA141" s="28">
        <v>0.38547004453401268</v>
      </c>
      <c r="AB141" s="28">
        <v>0</v>
      </c>
    </row>
    <row r="142" spans="2:28">
      <c r="B142" s="49">
        <v>1.24E-2</v>
      </c>
      <c r="C142" s="40">
        <v>8773.3625069999998</v>
      </c>
      <c r="D142" s="27">
        <v>4.6706124779999998</v>
      </c>
      <c r="E142" s="27">
        <v>3.9855231990000002</v>
      </c>
      <c r="F142" s="27">
        <v>3.7666833039999998</v>
      </c>
      <c r="G142" s="27">
        <v>3.177965554</v>
      </c>
      <c r="H142" s="27">
        <v>2.6886699470000002</v>
      </c>
      <c r="I142" s="27">
        <v>1.732425366</v>
      </c>
      <c r="J142" s="27">
        <v>1.042580785</v>
      </c>
      <c r="K142" s="27">
        <v>0.49801130599999999</v>
      </c>
      <c r="L142" s="27"/>
      <c r="M142" s="42"/>
      <c r="R142" s="75">
        <v>1.24E-2</v>
      </c>
      <c r="S142" s="74">
        <f t="shared" si="3"/>
        <v>0.97909240683951826</v>
      </c>
      <c r="T142" s="28">
        <v>4.4260510079294013</v>
      </c>
      <c r="U142" s="28">
        <v>3.7215540182457203</v>
      </c>
      <c r="V142" s="28">
        <v>3.3581737903743401</v>
      </c>
      <c r="W142" s="28">
        <v>2.8617816694693445</v>
      </c>
      <c r="X142" s="28">
        <v>2.3856313845144452</v>
      </c>
      <c r="Y142" s="28">
        <v>1.5360155717129096</v>
      </c>
      <c r="Z142" s="28">
        <v>0.87511841852690286</v>
      </c>
      <c r="AA142" s="28">
        <v>0.41387470020858513</v>
      </c>
      <c r="AB142" s="28">
        <v>0</v>
      </c>
    </row>
    <row r="143" spans="2:28">
      <c r="B143" s="49">
        <v>1.26E-2</v>
      </c>
      <c r="C143" s="40">
        <v>8838.835932</v>
      </c>
      <c r="D143" s="27">
        <v>4.8129842910000002</v>
      </c>
      <c r="E143" s="27">
        <v>4.1160017580000003</v>
      </c>
      <c r="F143" s="27">
        <v>3.889983763</v>
      </c>
      <c r="G143" s="27">
        <v>3.292040563</v>
      </c>
      <c r="H143" s="27">
        <v>2.790643904</v>
      </c>
      <c r="I143" s="27">
        <v>1.8132525209999999</v>
      </c>
      <c r="J143" s="27">
        <v>1.1033378659999999</v>
      </c>
      <c r="K143" s="27">
        <v>0.53776060999999997</v>
      </c>
      <c r="L143" s="27"/>
      <c r="M143" s="42"/>
      <c r="R143" s="75">
        <v>1.26E-2</v>
      </c>
      <c r="S143" s="74">
        <f t="shared" si="3"/>
        <v>0.98639913025555503</v>
      </c>
      <c r="T143" s="28">
        <v>4.570019011360964</v>
      </c>
      <c r="U143" s="28">
        <v>3.850028693904652</v>
      </c>
      <c r="V143" s="28">
        <v>3.4782191391741728</v>
      </c>
      <c r="W143" s="28">
        <v>2.969694289906875</v>
      </c>
      <c r="X143" s="28">
        <v>2.4811325998496998</v>
      </c>
      <c r="Y143" s="28">
        <v>1.6069170943140592</v>
      </c>
      <c r="Z143" s="28">
        <v>0.92347993676939633</v>
      </c>
      <c r="AA143" s="28">
        <v>0.44320385909107129</v>
      </c>
      <c r="AB143" s="28">
        <v>0</v>
      </c>
    </row>
    <row r="144" spans="2:28">
      <c r="B144" s="49">
        <v>1.2800000000000001E-2</v>
      </c>
      <c r="C144" s="40">
        <v>8896</v>
      </c>
      <c r="D144" s="27">
        <v>4.9535</v>
      </c>
      <c r="E144" s="27">
        <v>4.2461000000000002</v>
      </c>
      <c r="F144" s="27">
        <v>4.0125000000000002</v>
      </c>
      <c r="G144" s="27">
        <v>3.4045999999999998</v>
      </c>
      <c r="H144" s="27">
        <v>2.8908</v>
      </c>
      <c r="I144" s="27">
        <v>1.8922000000000001</v>
      </c>
      <c r="J144" s="27">
        <v>1.1632</v>
      </c>
      <c r="K144" s="27">
        <v>0.57799999999999996</v>
      </c>
      <c r="L144" s="27"/>
      <c r="M144" s="42"/>
      <c r="R144" s="75">
        <v>1.2800000000000001E-2</v>
      </c>
      <c r="S144" s="74">
        <f t="shared" ref="S144:S207" si="4">C144/$I$39</f>
        <v>0.99277854349400296</v>
      </c>
      <c r="T144" s="28">
        <v>4.7134265876973975</v>
      </c>
      <c r="U144" s="28">
        <v>3.9783090625656055</v>
      </c>
      <c r="V144" s="28">
        <v>3.5982340028720334</v>
      </c>
      <c r="W144" s="28">
        <v>3.0777903982069961</v>
      </c>
      <c r="X144" s="28">
        <v>2.5770148785668434</v>
      </c>
      <c r="Y144" s="28">
        <v>1.6785119454739341</v>
      </c>
      <c r="Z144" s="28">
        <v>0.97271746563717165</v>
      </c>
      <c r="AA144" s="28">
        <v>0.47344031983030438</v>
      </c>
      <c r="AB144" s="28">
        <v>0</v>
      </c>
    </row>
    <row r="145" spans="2:28">
      <c r="B145" s="49">
        <v>1.2999999999999999E-2</v>
      </c>
      <c r="C145" s="40">
        <v>8948.8906210000005</v>
      </c>
      <c r="D145" s="27">
        <v>5.0890558620000004</v>
      </c>
      <c r="E145" s="27">
        <v>4.3744971279999998</v>
      </c>
      <c r="F145" s="27">
        <v>4.1336040450000002</v>
      </c>
      <c r="G145" s="27">
        <v>3.515592673</v>
      </c>
      <c r="H145" s="27">
        <v>2.989372157</v>
      </c>
      <c r="I145" s="27">
        <v>1.9694150640000001</v>
      </c>
      <c r="J145" s="27">
        <v>1.221901465</v>
      </c>
      <c r="K145" s="27">
        <v>0.61800504099999998</v>
      </c>
      <c r="L145" s="27"/>
      <c r="M145" s="42"/>
      <c r="R145" s="75">
        <v>1.2999999999999999E-2</v>
      </c>
      <c r="S145" s="74">
        <f t="shared" si="4"/>
        <v>0.99868104728007234</v>
      </c>
      <c r="T145" s="28">
        <v>4.8560109724307967</v>
      </c>
      <c r="U145" s="28">
        <v>4.1061763249195504</v>
      </c>
      <c r="V145" s="28">
        <v>3.7180157658283441</v>
      </c>
      <c r="W145" s="28">
        <v>3.1859024381703143</v>
      </c>
      <c r="X145" s="28">
        <v>2.6731479333659047</v>
      </c>
      <c r="Y145" s="28">
        <v>1.7507276076778182</v>
      </c>
      <c r="Z145" s="28">
        <v>1.0227930626407138</v>
      </c>
      <c r="AA145" s="28">
        <v>0.50456748926084349</v>
      </c>
      <c r="AB145" s="28">
        <v>0</v>
      </c>
    </row>
    <row r="146" spans="2:28">
      <c r="B146" s="49">
        <v>1.32E-2</v>
      </c>
      <c r="C146" s="40">
        <v>8960.7093729999997</v>
      </c>
      <c r="D146" s="27">
        <v>5.2199171059999996</v>
      </c>
      <c r="E146" s="27">
        <v>4.4995321029999999</v>
      </c>
      <c r="F146" s="27">
        <v>4.2533692439999999</v>
      </c>
      <c r="G146" s="27">
        <v>3.6246648509999999</v>
      </c>
      <c r="H146" s="27">
        <v>3.0863636200000002</v>
      </c>
      <c r="I146" s="27">
        <v>2.0459552429999999</v>
      </c>
      <c r="J146" s="27">
        <v>1.2798531929999999</v>
      </c>
      <c r="K146" s="27">
        <v>0.65755430599999998</v>
      </c>
      <c r="L146" s="27"/>
      <c r="M146" s="42"/>
      <c r="R146" s="75">
        <v>1.32E-2</v>
      </c>
      <c r="S146" s="74">
        <f t="shared" si="4"/>
        <v>1</v>
      </c>
      <c r="T146" s="28">
        <v>4.9976061017193292</v>
      </c>
      <c r="U146" s="28">
        <v>4.2334767516246776</v>
      </c>
      <c r="V146" s="28">
        <v>3.8374135072620055</v>
      </c>
      <c r="W146" s="28">
        <v>3.2938921818171654</v>
      </c>
      <c r="X146" s="28">
        <v>2.7694139835771669</v>
      </c>
      <c r="Y146" s="28">
        <v>1.823485372814478</v>
      </c>
      <c r="Z146" s="28">
        <v>1.0736619288425171</v>
      </c>
      <c r="AA146" s="28">
        <v>0.53656542647594463</v>
      </c>
      <c r="AB146" s="28">
        <v>0</v>
      </c>
    </row>
    <row r="147" spans="2:28">
      <c r="B147" s="49">
        <v>1.34E-2</v>
      </c>
      <c r="C147" s="40">
        <v>8944.7000000000007</v>
      </c>
      <c r="D147" s="27">
        <v>5.3458878150000002</v>
      </c>
      <c r="E147" s="27">
        <v>4.619452431</v>
      </c>
      <c r="F147" s="27">
        <v>4.370627592</v>
      </c>
      <c r="G147" s="27">
        <v>3.7308909780000001</v>
      </c>
      <c r="H147" s="27">
        <v>3.1820121270000001</v>
      </c>
      <c r="I147" s="27">
        <v>2.1221028710000001</v>
      </c>
      <c r="J147" s="27">
        <v>1.337512244</v>
      </c>
      <c r="K147" s="27">
        <v>0.69676696000000005</v>
      </c>
      <c r="L147" s="27"/>
      <c r="M147" s="42"/>
      <c r="R147" s="75">
        <v>1.34E-2</v>
      </c>
      <c r="S147" s="74">
        <f t="shared" si="4"/>
        <v>0.99821338106911073</v>
      </c>
      <c r="T147" s="28">
        <v>5.137453971818478</v>
      </c>
      <c r="U147" s="28">
        <v>4.3597161236946729</v>
      </c>
      <c r="V147" s="28">
        <v>3.9560375707667563</v>
      </c>
      <c r="W147" s="28">
        <v>3.4014803570395724</v>
      </c>
      <c r="X147" s="28">
        <v>2.8656187528721069</v>
      </c>
      <c r="Y147" s="28">
        <v>1.8966918057317361</v>
      </c>
      <c r="Z147" s="28">
        <v>1.1252802021547206</v>
      </c>
      <c r="AA147" s="28">
        <v>0.56941493243822283</v>
      </c>
      <c r="AB147" s="28">
        <v>0</v>
      </c>
    </row>
    <row r="148" spans="2:28">
      <c r="B148" s="49">
        <v>1.3599999999999999E-2</v>
      </c>
      <c r="C148" s="40">
        <v>8927.9919699999991</v>
      </c>
      <c r="D148" s="27">
        <v>5.466994959</v>
      </c>
      <c r="E148" s="27">
        <v>4.7337007619999998</v>
      </c>
      <c r="F148" s="27">
        <v>4.4830006449999997</v>
      </c>
      <c r="G148" s="27">
        <v>3.8346689330000001</v>
      </c>
      <c r="H148" s="27">
        <v>3.276474619</v>
      </c>
      <c r="I148" s="27">
        <v>2.1974046889999999</v>
      </c>
      <c r="J148" s="27">
        <v>1.39</v>
      </c>
      <c r="K148" s="27">
        <v>0.73558991799999995</v>
      </c>
      <c r="L148" s="27"/>
      <c r="M148" s="42"/>
      <c r="R148" s="75">
        <v>1.3599999999999999E-2</v>
      </c>
      <c r="S148" s="74">
        <f t="shared" si="4"/>
        <v>0.99634879319950009</v>
      </c>
      <c r="T148" s="28">
        <v>5.274890676958722</v>
      </c>
      <c r="U148" s="28">
        <v>4.4844063270656491</v>
      </c>
      <c r="V148" s="28">
        <v>4.073478227076536</v>
      </c>
      <c r="W148" s="28">
        <v>3.5083485986795107</v>
      </c>
      <c r="X148" s="28">
        <v>2.9615252293028238</v>
      </c>
      <c r="Y148" s="28">
        <v>1.9702251984411152</v>
      </c>
      <c r="Z148" s="28">
        <v>1.1775946419993533</v>
      </c>
      <c r="AA148" s="28">
        <v>0.60309676005500135</v>
      </c>
      <c r="AB148" s="28">
        <v>0</v>
      </c>
    </row>
    <row r="149" spans="2:28">
      <c r="B149" s="49">
        <v>1.38E-2</v>
      </c>
      <c r="C149" s="40">
        <v>8899.4305800000002</v>
      </c>
      <c r="D149" s="27">
        <v>5.5835370830000004</v>
      </c>
      <c r="E149" s="27">
        <v>4.8427509669999997</v>
      </c>
      <c r="F149" s="27">
        <v>4.5896602809999996</v>
      </c>
      <c r="G149" s="27">
        <v>3.9349773290000001</v>
      </c>
      <c r="H149" s="27">
        <v>3.3687052720000001</v>
      </c>
      <c r="I149" s="27">
        <v>2.272229877</v>
      </c>
      <c r="J149" s="27">
        <v>1.4505216169999999</v>
      </c>
      <c r="K149" s="27">
        <v>0.77400245999999995</v>
      </c>
      <c r="L149" s="27"/>
      <c r="M149" s="42"/>
      <c r="R149" s="75">
        <v>1.38E-2</v>
      </c>
      <c r="S149" s="74">
        <f t="shared" si="4"/>
        <v>0.99316139041573626</v>
      </c>
      <c r="T149" s="28">
        <v>5.4097104119648858</v>
      </c>
      <c r="U149" s="28">
        <v>4.6073118337100825</v>
      </c>
      <c r="V149" s="28">
        <v>4.1894950105742463</v>
      </c>
      <c r="W149" s="28">
        <v>3.6142672683863259</v>
      </c>
      <c r="X149" s="28">
        <v>3.0569322369197369</v>
      </c>
      <c r="Y149" s="28">
        <v>2.0439536899130046</v>
      </c>
      <c r="Z149" s="28">
        <v>1.2305376234165404</v>
      </c>
      <c r="AA149" s="28">
        <v>0.63758552133340385</v>
      </c>
      <c r="AB149" s="28">
        <v>0</v>
      </c>
    </row>
    <row r="150" spans="2:28">
      <c r="B150" s="49">
        <v>1.4E-2</v>
      </c>
      <c r="C150" s="40">
        <v>8895.2419699999991</v>
      </c>
      <c r="D150" s="27">
        <v>5.6965233880000001</v>
      </c>
      <c r="E150" s="27">
        <v>4.947299707</v>
      </c>
      <c r="F150" s="27">
        <v>4.6903381590000004</v>
      </c>
      <c r="G150" s="27">
        <v>4.0309542790000004</v>
      </c>
      <c r="H150" s="27">
        <v>3.4583927320000001</v>
      </c>
      <c r="I150" s="27">
        <v>2.3462012900000002</v>
      </c>
      <c r="J150" s="27">
        <v>1.5060632469999999</v>
      </c>
      <c r="K150" s="27">
        <v>0.81199413799999998</v>
      </c>
      <c r="L150" s="27"/>
      <c r="M150" s="42"/>
      <c r="R150" s="75">
        <v>1.4E-2</v>
      </c>
      <c r="S150" s="74">
        <f t="shared" si="4"/>
        <v>0.99269394862897087</v>
      </c>
      <c r="T150" s="28">
        <v>5.5416364644230578</v>
      </c>
      <c r="U150" s="28">
        <v>4.7281800139781502</v>
      </c>
      <c r="V150" s="28">
        <v>4.303845263299098</v>
      </c>
      <c r="W150" s="28">
        <v>3.7190167846235194</v>
      </c>
      <c r="X150" s="28">
        <v>3.1516501479349763</v>
      </c>
      <c r="Y150" s="28">
        <v>2.1177489869961104</v>
      </c>
      <c r="Z150" s="28">
        <v>1.2840361522301829</v>
      </c>
      <c r="AA150" s="28">
        <v>0.67284977362314891</v>
      </c>
      <c r="AB150" s="28">
        <v>0</v>
      </c>
    </row>
    <row r="151" spans="2:28">
      <c r="B151" s="49">
        <v>1.4200000000000001E-2</v>
      </c>
      <c r="C151" s="40">
        <v>8876.5600470000008</v>
      </c>
      <c r="D151" s="27">
        <v>5.8067067369999998</v>
      </c>
      <c r="E151" s="27">
        <v>5.0490431170000001</v>
      </c>
      <c r="F151" s="27">
        <v>4.7857014649999998</v>
      </c>
      <c r="G151" s="27">
        <v>4.1231729350000004</v>
      </c>
      <c r="H151" s="27">
        <v>3.5443735790000002</v>
      </c>
      <c r="I151" s="27">
        <v>2.4176561799999998</v>
      </c>
      <c r="J151" s="27">
        <v>1.561111892</v>
      </c>
      <c r="K151" s="27">
        <v>0.84958629200000002</v>
      </c>
      <c r="L151" s="27"/>
      <c r="M151" s="42"/>
      <c r="R151" s="75">
        <v>1.4200000000000001E-2</v>
      </c>
      <c r="S151" s="74">
        <f t="shared" si="4"/>
        <v>0.99060907764138029</v>
      </c>
      <c r="T151" s="28">
        <v>5.6709826642441801</v>
      </c>
      <c r="U151" s="28">
        <v>4.8471163731137468</v>
      </c>
      <c r="V151" s="28">
        <v>4.4165553041359038</v>
      </c>
      <c r="W151" s="28">
        <v>3.8225429757512783</v>
      </c>
      <c r="X151" s="28">
        <v>3.2455814044587266</v>
      </c>
      <c r="Y151" s="28">
        <v>2.1914956716707876</v>
      </c>
      <c r="Z151" s="28">
        <v>1.3380097543088334</v>
      </c>
      <c r="AA151" s="28">
        <v>0.70884986646676718</v>
      </c>
      <c r="AB151" s="28">
        <v>0</v>
      </c>
    </row>
    <row r="152" spans="2:28">
      <c r="B152" s="49">
        <v>1.44E-2</v>
      </c>
      <c r="C152" s="40">
        <v>8896</v>
      </c>
      <c r="D152" s="27">
        <v>5.9164056240000003</v>
      </c>
      <c r="E152" s="27">
        <v>5.1500811950000003</v>
      </c>
      <c r="F152" s="27">
        <v>4.8787817220000003</v>
      </c>
      <c r="G152" s="27">
        <v>4.2129819570000002</v>
      </c>
      <c r="H152" s="27">
        <v>3.6270449330000001</v>
      </c>
      <c r="I152" s="27">
        <v>2.4871957230000001</v>
      </c>
      <c r="J152" s="27">
        <v>1.615284124</v>
      </c>
      <c r="K152" s="27">
        <v>0.88784756899999995</v>
      </c>
      <c r="L152" s="27"/>
      <c r="M152" s="42"/>
      <c r="R152" s="75">
        <v>1.44E-2</v>
      </c>
      <c r="S152" s="74">
        <f t="shared" si="4"/>
        <v>0.99277854349400296</v>
      </c>
      <c r="T152" s="28">
        <v>5.7975682883318118</v>
      </c>
      <c r="U152" s="28">
        <v>4.9639873984366298</v>
      </c>
      <c r="V152" s="28">
        <v>4.5275076027523031</v>
      </c>
      <c r="W152" s="28">
        <v>3.9247359413875942</v>
      </c>
      <c r="X152" s="28">
        <v>3.3386205701107565</v>
      </c>
      <c r="Y152" s="28">
        <v>2.2650975564292359</v>
      </c>
      <c r="Z152" s="28">
        <v>1.3923855003548267</v>
      </c>
      <c r="AA152" s="28">
        <v>0.74554297409293935</v>
      </c>
      <c r="AB152" s="28">
        <v>0</v>
      </c>
    </row>
    <row r="153" spans="2:28">
      <c r="B153" s="49">
        <v>1.46E-2</v>
      </c>
      <c r="C153" s="40">
        <v>8909.3441970000003</v>
      </c>
      <c r="D153" s="27">
        <v>6.0274376910000003</v>
      </c>
      <c r="E153" s="27">
        <v>5.2512609609999998</v>
      </c>
      <c r="F153" s="27">
        <v>4.9714686400000003</v>
      </c>
      <c r="G153" s="27">
        <v>4.3012623090000002</v>
      </c>
      <c r="H153" s="27">
        <v>3.7073793670000001</v>
      </c>
      <c r="I153" s="27">
        <v>2.5545447829999999</v>
      </c>
      <c r="J153" s="27">
        <v>1.6691477139999999</v>
      </c>
      <c r="K153" s="27">
        <v>0.92697561500000003</v>
      </c>
      <c r="L153" s="27"/>
      <c r="M153" s="42"/>
      <c r="R153" s="75">
        <v>1.46E-2</v>
      </c>
      <c r="S153" s="74">
        <f t="shared" si="4"/>
        <v>0.99426773329411056</v>
      </c>
      <c r="T153" s="28">
        <v>5.922021897237931</v>
      </c>
      <c r="U153" s="28">
        <v>5.079121592454892</v>
      </c>
      <c r="V153" s="28">
        <v>4.6369113453241226</v>
      </c>
      <c r="W153" s="28">
        <v>4.025678626249614</v>
      </c>
      <c r="X153" s="28">
        <v>3.4307662774693481</v>
      </c>
      <c r="Y153" s="28">
        <v>2.3384769911651673</v>
      </c>
      <c r="Z153" s="28">
        <v>1.4470868985512604</v>
      </c>
      <c r="AA153" s="28">
        <v>0.78288117266181589</v>
      </c>
      <c r="AB153" s="28">
        <v>0</v>
      </c>
    </row>
    <row r="154" spans="2:28">
      <c r="B154" s="49">
        <v>1.4800000000000001E-2</v>
      </c>
      <c r="C154" s="40">
        <v>8920.4</v>
      </c>
      <c r="D154" s="27">
        <v>6.1408834800000003</v>
      </c>
      <c r="E154" s="27">
        <v>5.353036028</v>
      </c>
      <c r="F154" s="27">
        <v>5.065623199</v>
      </c>
      <c r="G154" s="27">
        <v>4.3884634450000002</v>
      </c>
      <c r="H154" s="27">
        <v>3.7862599299999999</v>
      </c>
      <c r="I154" s="27">
        <v>2.61956239</v>
      </c>
      <c r="J154" s="27">
        <v>1.7218149380000001</v>
      </c>
      <c r="K154" s="27">
        <v>0.966136204</v>
      </c>
      <c r="L154" s="27"/>
      <c r="M154" s="42"/>
      <c r="R154" s="75">
        <v>1.4800000000000001E-2</v>
      </c>
      <c r="S154" s="74">
        <f t="shared" si="4"/>
        <v>0.99550154219693154</v>
      </c>
      <c r="T154" s="28">
        <v>6.0444194818031045</v>
      </c>
      <c r="U154" s="28">
        <v>5.1925836949524626</v>
      </c>
      <c r="V154" s="28">
        <v>4.7448171315469319</v>
      </c>
      <c r="W154" s="28">
        <v>4.1253956485704828</v>
      </c>
      <c r="X154" s="28">
        <v>3.5220136425179724</v>
      </c>
      <c r="Y154" s="28">
        <v>2.4115842311421796</v>
      </c>
      <c r="Z154" s="28">
        <v>1.5020505320043203</v>
      </c>
      <c r="AA154" s="28">
        <v>0.82081562995899648</v>
      </c>
      <c r="AB154" s="28">
        <v>0</v>
      </c>
    </row>
    <row r="155" spans="2:28">
      <c r="B155" s="49">
        <v>1.4999999999999999E-2</v>
      </c>
      <c r="C155" s="40">
        <v>8942.037961</v>
      </c>
      <c r="D155" s="27">
        <v>6.2560984770000001</v>
      </c>
      <c r="E155" s="27">
        <v>5.4560377859999996</v>
      </c>
      <c r="F155" s="27">
        <v>5.1619512600000004</v>
      </c>
      <c r="G155" s="27">
        <v>4.4751933800000003</v>
      </c>
      <c r="H155" s="27">
        <v>3.864493087</v>
      </c>
      <c r="I155" s="27">
        <v>2.683084359</v>
      </c>
      <c r="J155" s="27">
        <v>1.772945577</v>
      </c>
      <c r="K155" s="27">
        <v>1.0053301109999999</v>
      </c>
      <c r="L155" s="27"/>
      <c r="M155" s="42"/>
      <c r="R155" s="75">
        <v>1.4999999999999999E-2</v>
      </c>
      <c r="S155" s="74">
        <f t="shared" si="4"/>
        <v>0.99791630202221937</v>
      </c>
      <c r="T155" s="28">
        <v>6.1648224042437683</v>
      </c>
      <c r="U155" s="28">
        <v>5.304410411377428</v>
      </c>
      <c r="V155" s="28">
        <v>4.8512467930540906</v>
      </c>
      <c r="W155" s="28">
        <v>4.2238913641888933</v>
      </c>
      <c r="X155" s="28">
        <v>3.6123472908225733</v>
      </c>
      <c r="Y155" s="28">
        <v>2.4843746711313588</v>
      </c>
      <c r="Z155" s="28">
        <v>1.5572203364188086</v>
      </c>
      <c r="AA155" s="28">
        <v>0.85930062792187234</v>
      </c>
      <c r="AB155" s="28">
        <v>0</v>
      </c>
    </row>
    <row r="156" spans="2:28">
      <c r="B156" s="49">
        <v>1.52E-2</v>
      </c>
      <c r="C156" s="40">
        <v>8892.9410659999994</v>
      </c>
      <c r="D156" s="27">
        <v>6.3723495019999996</v>
      </c>
      <c r="E156" s="27">
        <v>5.5613041589999996</v>
      </c>
      <c r="F156" s="27">
        <v>5.2607531339999998</v>
      </c>
      <c r="G156" s="27">
        <v>4.5629639129999999</v>
      </c>
      <c r="H156" s="27">
        <v>3.9432311069999999</v>
      </c>
      <c r="I156" s="27">
        <v>2.746253544</v>
      </c>
      <c r="J156" s="27">
        <v>1.8235514939999999</v>
      </c>
      <c r="K156" s="27">
        <v>1.0442246630000001</v>
      </c>
      <c r="L156" s="27"/>
      <c r="M156" s="42"/>
      <c r="R156" s="75">
        <v>1.52E-2</v>
      </c>
      <c r="S156" s="74">
        <f t="shared" si="4"/>
        <v>0.99243717163685763</v>
      </c>
      <c r="T156" s="28">
        <v>6.2834663112016171</v>
      </c>
      <c r="U156" s="28">
        <v>5.4147394732530456</v>
      </c>
      <c r="V156" s="28">
        <v>4.9562979134702063</v>
      </c>
      <c r="W156" s="28">
        <v>4.3212156093083331</v>
      </c>
      <c r="X156" s="28">
        <v>3.7017776894179626</v>
      </c>
      <c r="Y156" s="28">
        <v>2.5568105737380171</v>
      </c>
      <c r="Z156" s="28">
        <v>1.6125433239771407</v>
      </c>
      <c r="AA156" s="28">
        <v>0.89829112967549785</v>
      </c>
      <c r="AB156" s="28">
        <v>0</v>
      </c>
    </row>
    <row r="157" spans="2:28">
      <c r="B157" s="49">
        <v>1.54E-2</v>
      </c>
      <c r="C157" s="40">
        <v>8830.0705330000001</v>
      </c>
      <c r="D157" s="27">
        <v>6.4889985939999999</v>
      </c>
      <c r="E157" s="27">
        <v>5.6680411250000002</v>
      </c>
      <c r="F157" s="27">
        <v>5.3609523140000004</v>
      </c>
      <c r="G157" s="27">
        <v>4.6522433510000001</v>
      </c>
      <c r="H157" s="27">
        <v>4.0224343879999997</v>
      </c>
      <c r="I157" s="27">
        <v>2.8088897479999999</v>
      </c>
      <c r="J157" s="27">
        <v>1.8728777969999999</v>
      </c>
      <c r="K157" s="27">
        <v>1.081975103</v>
      </c>
      <c r="L157" s="27"/>
      <c r="M157" s="42"/>
      <c r="R157" s="75">
        <v>1.54E-2</v>
      </c>
      <c r="S157" s="74">
        <f t="shared" si="4"/>
        <v>0.98542092656261848</v>
      </c>
      <c r="T157" s="28">
        <v>6.3992937823537757</v>
      </c>
      <c r="U157" s="28">
        <v>5.5229500791173392</v>
      </c>
      <c r="V157" s="28">
        <v>5.059518788605323</v>
      </c>
      <c r="W157" s="28">
        <v>4.4170953717082897</v>
      </c>
      <c r="X157" s="28">
        <v>3.7901453785939276</v>
      </c>
      <c r="Y157" s="28">
        <v>2.6288375703494942</v>
      </c>
      <c r="Z157" s="28">
        <v>1.667980886492479</v>
      </c>
      <c r="AA157" s="28">
        <v>0.93775150004487806</v>
      </c>
      <c r="AB157" s="28">
        <v>0</v>
      </c>
    </row>
    <row r="158" spans="2:28">
      <c r="B158" s="49">
        <v>1.5599999999999999E-2</v>
      </c>
      <c r="C158" s="40">
        <v>8754.3174089999993</v>
      </c>
      <c r="D158" s="27">
        <v>6.6042026959999998</v>
      </c>
      <c r="E158" s="27">
        <v>5.7752685230000003</v>
      </c>
      <c r="F158" s="27">
        <v>5.4616531070000001</v>
      </c>
      <c r="G158" s="27">
        <v>4.7429252640000001</v>
      </c>
      <c r="H158" s="27">
        <v>4.1024881009999996</v>
      </c>
      <c r="I158" s="27">
        <v>2.8714730359999998</v>
      </c>
      <c r="J158" s="27">
        <v>1.921154748</v>
      </c>
      <c r="K158" s="27">
        <v>1.1191957210000001</v>
      </c>
      <c r="L158" s="27"/>
      <c r="M158" s="42"/>
      <c r="R158" s="75">
        <v>1.5599999999999999E-2</v>
      </c>
      <c r="S158" s="74">
        <f t="shared" si="4"/>
        <v>0.97696700613660215</v>
      </c>
      <c r="T158" s="28">
        <v>6.5118835246599733</v>
      </c>
      <c r="U158" s="28">
        <v>5.6286908547293528</v>
      </c>
      <c r="V158" s="28">
        <v>5.1606015576401099</v>
      </c>
      <c r="W158" s="28">
        <v>4.5112875033119657</v>
      </c>
      <c r="X158" s="28">
        <v>3.8772650359814862</v>
      </c>
      <c r="Y158" s="28">
        <v>2.7003590005489797</v>
      </c>
      <c r="Z158" s="28">
        <v>1.7234810960790454</v>
      </c>
      <c r="AA158" s="28">
        <v>0.97764986962201439</v>
      </c>
      <c r="AB158" s="28">
        <v>0</v>
      </c>
    </row>
    <row r="159" spans="2:28">
      <c r="B159" s="49">
        <v>1.5800000000000002E-2</v>
      </c>
      <c r="C159" s="40">
        <v>8683.1330400000006</v>
      </c>
      <c r="D159" s="27">
        <v>6.7167297010000002</v>
      </c>
      <c r="E159" s="27">
        <v>5.8820434089999996</v>
      </c>
      <c r="F159" s="27">
        <v>5.5617476269999999</v>
      </c>
      <c r="G159" s="27">
        <v>4.8347471000000004</v>
      </c>
      <c r="H159" s="27">
        <v>4.1838745169999996</v>
      </c>
      <c r="I159" s="27">
        <v>2.9344653780000001</v>
      </c>
      <c r="J159" s="27">
        <v>1.9693799649999999</v>
      </c>
      <c r="K159" s="27">
        <v>1.15594007</v>
      </c>
      <c r="L159" s="27"/>
      <c r="M159" s="42"/>
      <c r="R159" s="75">
        <v>1.5800000000000002E-2</v>
      </c>
      <c r="S159" s="74">
        <f t="shared" si="4"/>
        <v>0.96902295103595493</v>
      </c>
      <c r="T159" s="28">
        <v>6.6208952603500979</v>
      </c>
      <c r="U159" s="28">
        <v>5.7316644977245277</v>
      </c>
      <c r="V159" s="28">
        <v>5.2592792200390246</v>
      </c>
      <c r="W159" s="28">
        <v>4.6035691552192262</v>
      </c>
      <c r="X159" s="28">
        <v>3.9629554698442058</v>
      </c>
      <c r="Y159" s="28">
        <v>2.7712658255821068</v>
      </c>
      <c r="Z159" s="28">
        <v>1.7789815515700054</v>
      </c>
      <c r="AA159" s="28">
        <v>1.0179507054519272</v>
      </c>
      <c r="AB159" s="28">
        <v>0</v>
      </c>
    </row>
    <row r="160" spans="2:28">
      <c r="B160" s="49">
        <v>1.6E-2</v>
      </c>
      <c r="C160" s="40">
        <v>8579.1892790000002</v>
      </c>
      <c r="D160" s="27">
        <v>6.8260864669999997</v>
      </c>
      <c r="E160" s="27">
        <v>5.9868120090000003</v>
      </c>
      <c r="F160" s="27">
        <v>5.6607376680000003</v>
      </c>
      <c r="G160" s="27">
        <v>4.9271384300000003</v>
      </c>
      <c r="H160" s="27">
        <v>4.26618969</v>
      </c>
      <c r="I160" s="27">
        <v>2.9979170470000001</v>
      </c>
      <c r="J160" s="27">
        <v>2.017543995</v>
      </c>
      <c r="K160" s="27">
        <v>1.1921954889999999</v>
      </c>
      <c r="L160" s="27"/>
      <c r="M160" s="42"/>
      <c r="R160" s="75">
        <v>1.6E-2</v>
      </c>
      <c r="S160" s="74">
        <f t="shared" si="4"/>
        <v>0.95742300323347407</v>
      </c>
      <c r="T160" s="28">
        <v>6.7263140588869232</v>
      </c>
      <c r="U160" s="28">
        <v>5.8317719412649707</v>
      </c>
      <c r="V160" s="28">
        <v>5.3554288039491551</v>
      </c>
      <c r="W160" s="28">
        <v>4.6938032570881596</v>
      </c>
      <c r="X160" s="28">
        <v>4.0470798292915271</v>
      </c>
      <c r="Y160" s="28">
        <v>2.8414496321895348</v>
      </c>
      <c r="Z160" s="28">
        <v>1.8344106986680739</v>
      </c>
      <c r="AA160" s="28">
        <v>1.0586126061828576</v>
      </c>
      <c r="AB160" s="28">
        <v>0</v>
      </c>
    </row>
    <row r="161" spans="2:28">
      <c r="B161" s="49">
        <v>1.6199999999999999E-2</v>
      </c>
      <c r="C161" s="40">
        <v>8464.9011140000002</v>
      </c>
      <c r="D161" s="27">
        <v>6.9312615470000001</v>
      </c>
      <c r="E161" s="27">
        <v>6.0883876319999999</v>
      </c>
      <c r="F161" s="27">
        <v>5.758237104</v>
      </c>
      <c r="G161" s="27">
        <v>5.0190035169999998</v>
      </c>
      <c r="H161" s="27">
        <v>4.3490804220000001</v>
      </c>
      <c r="I161" s="27">
        <v>3.0618433760000001</v>
      </c>
      <c r="J161" s="27">
        <v>2.065234818</v>
      </c>
      <c r="K161" s="27">
        <v>1.2279300120000001</v>
      </c>
      <c r="L161" s="27"/>
      <c r="M161" s="42"/>
      <c r="R161" s="75">
        <v>1.6199999999999999E-2</v>
      </c>
      <c r="S161" s="74">
        <f t="shared" si="4"/>
        <v>0.94466863745252738</v>
      </c>
      <c r="T161" s="28">
        <v>6.827571910411482</v>
      </c>
      <c r="U161" s="28">
        <v>5.9286187144877669</v>
      </c>
      <c r="V161" s="28">
        <v>5.4487333671980478</v>
      </c>
      <c r="W161" s="28">
        <v>4.7817500002917761</v>
      </c>
      <c r="X161" s="28">
        <v>4.1294545428966094</v>
      </c>
      <c r="Y161" s="28">
        <v>2.9107995446652861</v>
      </c>
      <c r="Z161" s="28">
        <v>1.8896995857473888</v>
      </c>
      <c r="AA161" s="28">
        <v>1.0995927071891312</v>
      </c>
      <c r="AB161" s="28">
        <v>0</v>
      </c>
    </row>
    <row r="162" spans="2:28">
      <c r="B162" s="49">
        <v>1.6400000000000001E-2</v>
      </c>
      <c r="C162" s="40">
        <v>8323.9834800000008</v>
      </c>
      <c r="D162" s="27">
        <v>7.0308485059999999</v>
      </c>
      <c r="E162" s="27">
        <v>6.1860079089999997</v>
      </c>
      <c r="F162" s="27">
        <v>5.8520642059999997</v>
      </c>
      <c r="G162" s="27">
        <v>5.1088579960000002</v>
      </c>
      <c r="H162" s="27">
        <v>4.4316768599999996</v>
      </c>
      <c r="I162" s="27">
        <v>3.1262833630000002</v>
      </c>
      <c r="J162" s="27">
        <v>2.113930463</v>
      </c>
      <c r="K162" s="27">
        <v>1.2638963089999999</v>
      </c>
      <c r="L162" s="27"/>
      <c r="M162" s="42"/>
      <c r="R162" s="75">
        <v>1.6400000000000001E-2</v>
      </c>
      <c r="S162" s="74">
        <f t="shared" si="4"/>
        <v>0.92894246800163471</v>
      </c>
      <c r="T162" s="28">
        <v>6.9243789998746852</v>
      </c>
      <c r="U162" s="28">
        <v>6.0219398792184782</v>
      </c>
      <c r="V162" s="28">
        <v>5.5389499507803448</v>
      </c>
      <c r="W162" s="28">
        <v>4.8671959906380025</v>
      </c>
      <c r="X162" s="28">
        <v>4.209897121194957</v>
      </c>
      <c r="Y162" s="28">
        <v>2.9791925560083405</v>
      </c>
      <c r="Z162" s="28">
        <v>1.9447722981140136</v>
      </c>
      <c r="AA162" s="28">
        <v>1.1408464866447339</v>
      </c>
      <c r="AB162" s="28">
        <v>0</v>
      </c>
    </row>
    <row r="163" spans="2:28">
      <c r="B163" s="49">
        <v>1.66E-2</v>
      </c>
      <c r="C163" s="40">
        <v>8194.1629539999994</v>
      </c>
      <c r="D163" s="27">
        <v>7.1256974790000003</v>
      </c>
      <c r="E163" s="27">
        <v>6.278966413</v>
      </c>
      <c r="F163" s="27">
        <v>5.9422946659999996</v>
      </c>
      <c r="G163" s="27">
        <v>5.1963777259999997</v>
      </c>
      <c r="H163" s="27">
        <v>4.5120907389999996</v>
      </c>
      <c r="I163" s="27">
        <v>3.1911636579999998</v>
      </c>
      <c r="J163" s="27">
        <v>2.1645569170000001</v>
      </c>
      <c r="K163" s="27">
        <v>1.300158089</v>
      </c>
      <c r="L163" s="27"/>
      <c r="M163" s="42"/>
      <c r="R163" s="75">
        <v>1.66E-2</v>
      </c>
      <c r="S163" s="74">
        <f t="shared" si="4"/>
        <v>0.91445471702165426</v>
      </c>
      <c r="T163" s="28">
        <v>7.0162357322160798</v>
      </c>
      <c r="U163" s="28">
        <v>6.1113504520518838</v>
      </c>
      <c r="V163" s="28">
        <v>5.62574627909573</v>
      </c>
      <c r="W163" s="28">
        <v>4.9498749859547511</v>
      </c>
      <c r="X163" s="28">
        <v>4.2881956363682692</v>
      </c>
      <c r="Y163" s="28">
        <v>3.0464987639049435</v>
      </c>
      <c r="Z163" s="28">
        <v>1.9995497537310316</v>
      </c>
      <c r="AA163" s="28">
        <v>1.1823275593249409</v>
      </c>
      <c r="AB163" s="28">
        <v>0</v>
      </c>
    </row>
    <row r="164" spans="2:28">
      <c r="B164" s="49">
        <v>1.6799999999999999E-2</v>
      </c>
      <c r="C164" s="40">
        <v>8108.4107210000002</v>
      </c>
      <c r="D164" s="27">
        <v>7.2167145870000002</v>
      </c>
      <c r="E164" s="27">
        <v>6.3679019329999997</v>
      </c>
      <c r="F164" s="27">
        <v>6.0293267139999998</v>
      </c>
      <c r="G164" s="27">
        <v>5.2800263620000001</v>
      </c>
      <c r="H164" s="27">
        <v>4.5897446400000002</v>
      </c>
      <c r="I164" s="27">
        <v>3.256243585</v>
      </c>
      <c r="J164" s="27">
        <v>2.2161861159999998</v>
      </c>
      <c r="K164" s="27">
        <v>1.336740949</v>
      </c>
      <c r="L164" s="27"/>
      <c r="M164" s="42"/>
      <c r="R164" s="75">
        <v>1.6799999999999999E-2</v>
      </c>
      <c r="S164" s="74">
        <f t="shared" si="4"/>
        <v>0.90488491295475926</v>
      </c>
      <c r="T164" s="28">
        <v>7.103231429713202</v>
      </c>
      <c r="U164" s="28">
        <v>6.1967963739093141</v>
      </c>
      <c r="V164" s="28">
        <v>5.7090195417832685</v>
      </c>
      <c r="W164" s="28">
        <v>5.0296482234128561</v>
      </c>
      <c r="X164" s="28">
        <v>4.3641992722855312</v>
      </c>
      <c r="Y164" s="28">
        <v>3.1125880292045527</v>
      </c>
      <c r="Z164" s="28">
        <v>2.0539428388795433</v>
      </c>
      <c r="AA164" s="28">
        <v>1.2239839936564043</v>
      </c>
      <c r="AB164" s="28">
        <v>0</v>
      </c>
    </row>
    <row r="165" spans="2:28">
      <c r="B165" s="49">
        <v>1.7000000000000001E-2</v>
      </c>
      <c r="C165" s="40">
        <v>8007.8975399999999</v>
      </c>
      <c r="D165" s="27">
        <v>7.3038147630000001</v>
      </c>
      <c r="E165" s="27">
        <v>6.4538492090000004</v>
      </c>
      <c r="F165" s="27">
        <v>6.1125651440000004</v>
      </c>
      <c r="G165" s="27">
        <v>5.3594545990000002</v>
      </c>
      <c r="H165" s="27">
        <v>4.6648659050000001</v>
      </c>
      <c r="I165" s="27">
        <v>3.3205435269999999</v>
      </c>
      <c r="J165" s="27">
        <v>2.2682118920000001</v>
      </c>
      <c r="K165" s="27">
        <v>1.374018043</v>
      </c>
      <c r="L165" s="27"/>
      <c r="M165" s="42"/>
      <c r="R165" s="75">
        <v>1.7000000000000001E-2</v>
      </c>
      <c r="S165" s="74">
        <f t="shared" si="4"/>
        <v>0.8936678120740118</v>
      </c>
      <c r="T165" s="28">
        <v>7.1861075243526837</v>
      </c>
      <c r="U165" s="28">
        <v>6.2786601807285027</v>
      </c>
      <c r="V165" s="28">
        <v>5.7890122281941023</v>
      </c>
      <c r="W165" s="28">
        <v>5.106607280836255</v>
      </c>
      <c r="X165" s="28">
        <v>4.4378991186320835</v>
      </c>
      <c r="Y165" s="28">
        <v>3.1773629677298425</v>
      </c>
      <c r="Z165" s="28">
        <v>2.1078578296702042</v>
      </c>
      <c r="AA165" s="28">
        <v>1.2657534456078265</v>
      </c>
      <c r="AB165" s="28">
        <v>0</v>
      </c>
    </row>
    <row r="166" spans="2:28">
      <c r="B166" s="49">
        <v>1.72E-2</v>
      </c>
      <c r="C166" s="40">
        <v>7893.6174090000004</v>
      </c>
      <c r="D166" s="27">
        <v>7.3869170569999998</v>
      </c>
      <c r="E166" s="27">
        <v>6.536326377</v>
      </c>
      <c r="F166" s="27">
        <v>6.1924636580000003</v>
      </c>
      <c r="G166" s="27">
        <v>5.4355633059999997</v>
      </c>
      <c r="H166" s="27">
        <v>4.7378880419999998</v>
      </c>
      <c r="I166" s="27">
        <v>3.383680891</v>
      </c>
      <c r="J166" s="27">
        <v>2.320604924</v>
      </c>
      <c r="K166" s="27">
        <v>1.412463013</v>
      </c>
      <c r="L166" s="27"/>
      <c r="M166" s="42"/>
      <c r="R166" s="75">
        <v>1.72E-2</v>
      </c>
      <c r="S166" s="74">
        <f t="shared" si="4"/>
        <v>0.8809143428738675</v>
      </c>
      <c r="T166" s="28">
        <v>7.2648242462533208</v>
      </c>
      <c r="U166" s="28">
        <v>6.3569408959883864</v>
      </c>
      <c r="V166" s="28">
        <v>5.8657291917829699</v>
      </c>
      <c r="W166" s="28">
        <v>5.1807458571467047</v>
      </c>
      <c r="X166" s="28">
        <v>4.5092681689849208</v>
      </c>
      <c r="Y166" s="28">
        <v>3.2407582587299144</v>
      </c>
      <c r="Z166" s="28">
        <v>2.1612177484878949</v>
      </c>
      <c r="AA166" s="28">
        <v>1.3075726889112755</v>
      </c>
      <c r="AB166" s="28">
        <v>0</v>
      </c>
    </row>
    <row r="167" spans="2:28">
      <c r="B167" s="49">
        <v>1.7399999999999999E-2</v>
      </c>
      <c r="C167" s="40">
        <v>7756.2082600000003</v>
      </c>
      <c r="D167" s="27">
        <v>7.4666318690000004</v>
      </c>
      <c r="E167" s="27">
        <v>6.6160271819999998</v>
      </c>
      <c r="F167" s="27">
        <v>6.2693443469999997</v>
      </c>
      <c r="G167" s="27">
        <v>5.5085990039999997</v>
      </c>
      <c r="H167" s="27">
        <v>4.8083021090000004</v>
      </c>
      <c r="I167" s="27">
        <v>3.4455348560000001</v>
      </c>
      <c r="J167" s="27">
        <v>2.3728144699999998</v>
      </c>
      <c r="K167" s="27">
        <v>1.4514393670000001</v>
      </c>
      <c r="L167" s="27"/>
      <c r="M167" s="42"/>
      <c r="R167" s="75">
        <v>1.7399999999999999E-2</v>
      </c>
      <c r="S167" s="74">
        <f t="shared" si="4"/>
        <v>0.8655797144108538</v>
      </c>
      <c r="T167" s="28">
        <v>7.339230585794617</v>
      </c>
      <c r="U167" s="28">
        <v>6.4315427157132081</v>
      </c>
      <c r="V167" s="28">
        <v>5.9390943571505375</v>
      </c>
      <c r="W167" s="28">
        <v>5.2520005410917543</v>
      </c>
      <c r="X167" s="28">
        <v>4.5782455680352045</v>
      </c>
      <c r="Y167" s="28">
        <v>3.3027072707842402</v>
      </c>
      <c r="Z167" s="28">
        <v>2.2139539672879733</v>
      </c>
      <c r="AA167" s="28">
        <v>1.3493831856395775</v>
      </c>
      <c r="AB167" s="28">
        <v>0</v>
      </c>
    </row>
    <row r="168" spans="2:28">
      <c r="B168" s="49">
        <v>1.7600000000000001E-2</v>
      </c>
      <c r="C168" s="40">
        <v>7588.9928490000002</v>
      </c>
      <c r="D168" s="27">
        <v>7.5418161780000004</v>
      </c>
      <c r="E168" s="27">
        <v>6.6924033410000003</v>
      </c>
      <c r="F168" s="27">
        <v>6.3427536340000001</v>
      </c>
      <c r="G168" s="27">
        <v>5.5791164130000004</v>
      </c>
      <c r="H168" s="27">
        <v>4.8762041619999996</v>
      </c>
      <c r="I168" s="27">
        <v>3.5059300699999998</v>
      </c>
      <c r="J168" s="27">
        <v>2.4238187569999998</v>
      </c>
      <c r="K168" s="27">
        <v>1.4908200469999999</v>
      </c>
      <c r="L168" s="27"/>
      <c r="M168" s="42"/>
      <c r="R168" s="75">
        <v>1.7600000000000001E-2</v>
      </c>
      <c r="S168" s="74">
        <f t="shared" si="4"/>
        <v>0.84691875755582557</v>
      </c>
      <c r="T168" s="28">
        <v>7.4089807332472812</v>
      </c>
      <c r="U168" s="28">
        <v>6.502232210383168</v>
      </c>
      <c r="V168" s="28">
        <v>6.008917796482411</v>
      </c>
      <c r="W168" s="28">
        <v>5.3202303744258534</v>
      </c>
      <c r="X168" s="28">
        <v>4.6447224332781571</v>
      </c>
      <c r="Y168" s="28">
        <v>3.3631342429301112</v>
      </c>
      <c r="Z168" s="28">
        <v>2.266001377619757</v>
      </c>
      <c r="AA168" s="28">
        <v>1.3911307356686267</v>
      </c>
      <c r="AB168" s="28">
        <v>0</v>
      </c>
    </row>
    <row r="169" spans="2:28">
      <c r="B169" s="49">
        <v>1.78E-2</v>
      </c>
      <c r="C169" s="40">
        <v>7446.1941999999999</v>
      </c>
      <c r="D169" s="27">
        <v>7.6108653779999997</v>
      </c>
      <c r="E169" s="27">
        <v>6.7647425309999996</v>
      </c>
      <c r="F169" s="27">
        <v>6.4128079089999996</v>
      </c>
      <c r="G169" s="27">
        <v>5.6472702989999997</v>
      </c>
      <c r="H169" s="27">
        <v>4.9424544819999996</v>
      </c>
      <c r="I169" s="27">
        <v>3.5650615110000001</v>
      </c>
      <c r="J169" s="27">
        <v>2.47366362</v>
      </c>
      <c r="K169" s="27">
        <v>1.53052812</v>
      </c>
      <c r="L169" s="27"/>
      <c r="M169" s="42"/>
      <c r="R169" s="75">
        <v>1.78E-2</v>
      </c>
      <c r="S169" s="74">
        <f t="shared" si="4"/>
        <v>0.83098267001455628</v>
      </c>
      <c r="T169" s="28">
        <v>7.4735730471086717</v>
      </c>
      <c r="U169" s="28">
        <v>6.5686515698128805</v>
      </c>
      <c r="V169" s="28">
        <v>6.0748993930596482</v>
      </c>
      <c r="W169" s="28">
        <v>5.3852124048286196</v>
      </c>
      <c r="X169" s="28">
        <v>4.7085333220958328</v>
      </c>
      <c r="Y169" s="28">
        <v>3.4219454650701207</v>
      </c>
      <c r="Z169" s="28">
        <v>2.3172937416997526</v>
      </c>
      <c r="AA169" s="28">
        <v>1.4327648306208345</v>
      </c>
      <c r="AB169" s="28">
        <v>0</v>
      </c>
    </row>
    <row r="170" spans="2:28">
      <c r="B170" s="49">
        <v>1.7999999999999999E-2</v>
      </c>
      <c r="C170" s="40">
        <v>7291.9821320000001</v>
      </c>
      <c r="D170" s="27">
        <v>7.6734078500000003</v>
      </c>
      <c r="E170" s="27">
        <v>6.8323699470000001</v>
      </c>
      <c r="F170" s="27">
        <v>6.4785138250000003</v>
      </c>
      <c r="G170" s="27">
        <v>5.7130699470000001</v>
      </c>
      <c r="H170" s="27">
        <v>5.0062388990000004</v>
      </c>
      <c r="I170" s="27">
        <v>3.622823667</v>
      </c>
      <c r="J170" s="27">
        <v>2.5230367899999999</v>
      </c>
      <c r="K170" s="27">
        <v>1.5705749849999999</v>
      </c>
      <c r="L170" s="27"/>
      <c r="M170" s="42"/>
      <c r="R170" s="75">
        <v>1.7999999999999999E-2</v>
      </c>
      <c r="S170" s="74">
        <f t="shared" si="4"/>
        <v>0.81377286423013206</v>
      </c>
      <c r="T170" s="28">
        <v>7.533318777929753</v>
      </c>
      <c r="U170" s="28">
        <v>6.6309025618712907</v>
      </c>
      <c r="V170" s="28">
        <v>6.1370655782301178</v>
      </c>
      <c r="W170" s="28">
        <v>5.4469039010181941</v>
      </c>
      <c r="X170" s="28">
        <v>4.7695978992812345</v>
      </c>
      <c r="Y170" s="28">
        <v>3.4790443544525713</v>
      </c>
      <c r="Z170" s="28">
        <v>2.3677532223188513</v>
      </c>
      <c r="AA170" s="28">
        <v>1.4742303761765614</v>
      </c>
      <c r="AB170" s="28">
        <v>0</v>
      </c>
    </row>
    <row r="171" spans="2:28">
      <c r="B171" s="49">
        <v>1.8200000000000001E-2</v>
      </c>
      <c r="C171" s="40">
        <v>7105</v>
      </c>
      <c r="D171" s="27">
        <v>7.7299353460000004</v>
      </c>
      <c r="E171" s="27">
        <v>6.8942465420000003</v>
      </c>
      <c r="F171" s="27">
        <v>6.5392621340000003</v>
      </c>
      <c r="G171" s="27">
        <v>5.7757794259999997</v>
      </c>
      <c r="H171" s="27">
        <v>5.0668824739999998</v>
      </c>
      <c r="I171" s="27">
        <v>3.6793245020000001</v>
      </c>
      <c r="J171" s="27">
        <v>2.5715038099999998</v>
      </c>
      <c r="K171" s="27">
        <v>1.6105831180000001</v>
      </c>
      <c r="L171" s="27"/>
      <c r="M171" s="42"/>
      <c r="R171" s="75">
        <v>1.8200000000000001E-2</v>
      </c>
      <c r="S171" s="74">
        <f t="shared" si="4"/>
        <v>0.79290597476673685</v>
      </c>
      <c r="T171" s="28">
        <v>7.5880994433575086</v>
      </c>
      <c r="U171" s="28">
        <v>6.6888940859996238</v>
      </c>
      <c r="V171" s="28">
        <v>6.1953355264308225</v>
      </c>
      <c r="W171" s="28">
        <v>5.5052267139706936</v>
      </c>
      <c r="X171" s="28">
        <v>4.8278369698492778</v>
      </c>
      <c r="Y171" s="28">
        <v>3.5343501803079742</v>
      </c>
      <c r="Z171" s="28">
        <v>2.4173071091086018</v>
      </c>
      <c r="AA171" s="28">
        <v>1.515469589612523</v>
      </c>
      <c r="AB171" s="28">
        <v>0</v>
      </c>
    </row>
    <row r="172" spans="2:28">
      <c r="B172" s="49">
        <v>1.84E-2</v>
      </c>
      <c r="C172" s="40">
        <v>6944.6517869999998</v>
      </c>
      <c r="D172" s="27">
        <v>7.7803827769999998</v>
      </c>
      <c r="E172" s="27">
        <v>6.950201699</v>
      </c>
      <c r="F172" s="27">
        <v>6.5945141769999998</v>
      </c>
      <c r="G172" s="27">
        <v>5.8339080259999996</v>
      </c>
      <c r="H172" s="27">
        <v>5.1238579959999999</v>
      </c>
      <c r="I172" s="27">
        <v>3.7338766840000002</v>
      </c>
      <c r="J172" s="27">
        <v>2.6191077329999999</v>
      </c>
      <c r="K172" s="27">
        <v>1.6500199769999999</v>
      </c>
      <c r="L172" s="27"/>
      <c r="M172" s="42"/>
      <c r="R172" s="75">
        <v>1.84E-2</v>
      </c>
      <c r="S172" s="74">
        <f t="shared" si="4"/>
        <v>0.77501138558575589</v>
      </c>
      <c r="T172" s="28">
        <v>7.6373947527088513</v>
      </c>
      <c r="U172" s="28">
        <v>6.7422845342555604</v>
      </c>
      <c r="V172" s="28">
        <v>6.249441536782669</v>
      </c>
      <c r="W172" s="28">
        <v>5.5599870116015335</v>
      </c>
      <c r="X172" s="28">
        <v>4.8831069917236984</v>
      </c>
      <c r="Y172" s="28">
        <v>3.587773482896464</v>
      </c>
      <c r="Z172" s="28">
        <v>2.4658878614499971</v>
      </c>
      <c r="AA172" s="28">
        <v>1.5564281967980917</v>
      </c>
      <c r="AB172" s="28">
        <v>0</v>
      </c>
    </row>
    <row r="173" spans="2:28">
      <c r="B173" s="49">
        <v>1.8599999999999998E-2</v>
      </c>
      <c r="C173" s="40">
        <v>6777.9124780000002</v>
      </c>
      <c r="D173" s="27">
        <v>7.8252052719999998</v>
      </c>
      <c r="E173" s="27">
        <v>7.000235677</v>
      </c>
      <c r="F173" s="27">
        <v>6.6438451670000003</v>
      </c>
      <c r="G173" s="27">
        <v>5.8864024600000002</v>
      </c>
      <c r="H173" s="27">
        <v>5.1767929700000002</v>
      </c>
      <c r="I173" s="27">
        <v>3.7856072059999999</v>
      </c>
      <c r="J173" s="27">
        <v>2.6661657289999998</v>
      </c>
      <c r="K173" s="27">
        <v>1.6889748680000001</v>
      </c>
      <c r="L173" s="27"/>
      <c r="M173" s="42"/>
      <c r="R173" s="75">
        <v>1.8599999999999998E-2</v>
      </c>
      <c r="S173" s="74">
        <f t="shared" si="4"/>
        <v>0.75640356090812366</v>
      </c>
      <c r="T173" s="28">
        <v>7.6815631410821732</v>
      </c>
      <c r="U173" s="28">
        <v>6.7912163271375059</v>
      </c>
      <c r="V173" s="28">
        <v>6.2994487439371163</v>
      </c>
      <c r="W173" s="28">
        <v>5.611171487477808</v>
      </c>
      <c r="X173" s="28">
        <v>4.9353484061720803</v>
      </c>
      <c r="Y173" s="28">
        <v>3.6392242295447503</v>
      </c>
      <c r="Z173" s="28">
        <v>2.5134178818795094</v>
      </c>
      <c r="AA173" s="28">
        <v>1.5970483848729613</v>
      </c>
      <c r="AB173" s="28">
        <v>0</v>
      </c>
    </row>
    <row r="174" spans="2:28">
      <c r="B174" s="49">
        <v>1.8800000000000001E-2</v>
      </c>
      <c r="C174" s="40">
        <v>6585.9330399999999</v>
      </c>
      <c r="D174" s="27">
        <v>7.8650052720000003</v>
      </c>
      <c r="E174" s="27">
        <v>7.0444275919999999</v>
      </c>
      <c r="F174" s="27">
        <v>6.6873493850000001</v>
      </c>
      <c r="G174" s="27">
        <v>5.9325152900000004</v>
      </c>
      <c r="H174" s="27">
        <v>5.2259158169999997</v>
      </c>
      <c r="I174" s="27">
        <v>3.8347191559999998</v>
      </c>
      <c r="J174" s="27">
        <v>2.711859402</v>
      </c>
      <c r="K174" s="27">
        <v>1.7273678379999999</v>
      </c>
      <c r="L174" s="27"/>
      <c r="M174" s="42"/>
      <c r="R174" s="75">
        <v>1.8800000000000001E-2</v>
      </c>
      <c r="S174" s="74">
        <f t="shared" si="4"/>
        <v>0.73497898055308353</v>
      </c>
      <c r="T174" s="28">
        <v>7.7206171819232567</v>
      </c>
      <c r="U174" s="28">
        <v>6.8356824609685596</v>
      </c>
      <c r="V174" s="28">
        <v>6.3453361375196708</v>
      </c>
      <c r="W174" s="28">
        <v>5.6587440030818001</v>
      </c>
      <c r="X174" s="28">
        <v>4.9845101118071184</v>
      </c>
      <c r="Y174" s="28">
        <v>3.6886329521583043</v>
      </c>
      <c r="Z174" s="28">
        <v>2.5598250409054395</v>
      </c>
      <c r="AA174" s="28">
        <v>1.6372699872778997</v>
      </c>
      <c r="AB174" s="28">
        <v>0</v>
      </c>
    </row>
    <row r="175" spans="2:28">
      <c r="B175" s="49">
        <v>1.9E-2</v>
      </c>
      <c r="C175" s="40">
        <v>6435.1374930000002</v>
      </c>
      <c r="D175" s="27">
        <v>7.901776216</v>
      </c>
      <c r="E175" s="27">
        <v>7.0844275919999999</v>
      </c>
      <c r="F175" s="27">
        <v>6.7267635620000004</v>
      </c>
      <c r="G175" s="27">
        <v>5.9735275919999999</v>
      </c>
      <c r="H175" s="27">
        <v>5.2707429990000003</v>
      </c>
      <c r="I175" s="27">
        <v>3.8814631519999998</v>
      </c>
      <c r="J175" s="27">
        <v>2.7561710599999998</v>
      </c>
      <c r="K175" s="27">
        <v>1.7651979499999999</v>
      </c>
      <c r="L175" s="27"/>
      <c r="M175" s="42"/>
      <c r="R175" s="75">
        <v>1.9E-2</v>
      </c>
      <c r="S175" s="74">
        <f t="shared" si="4"/>
        <v>0.7181504527297875</v>
      </c>
      <c r="T175" s="28">
        <v>7.7542149063627939</v>
      </c>
      <c r="U175" s="28">
        <v>6.8754595938733472</v>
      </c>
      <c r="V175" s="28">
        <v>6.3869253741112226</v>
      </c>
      <c r="W175" s="28">
        <v>5.702574055779599</v>
      </c>
      <c r="X175" s="28">
        <v>5.0304912777137307</v>
      </c>
      <c r="Y175" s="28">
        <v>3.7359268057680413</v>
      </c>
      <c r="Z175" s="28">
        <v>2.6050439849068954</v>
      </c>
      <c r="AA175" s="28">
        <v>1.6770363265265411</v>
      </c>
      <c r="AB175" s="28">
        <v>0</v>
      </c>
    </row>
    <row r="176" spans="2:28">
      <c r="B176" s="49">
        <v>1.9199999999999998E-2</v>
      </c>
      <c r="C176" s="40">
        <v>6275.95</v>
      </c>
      <c r="D176" s="27">
        <v>7.9352</v>
      </c>
      <c r="E176" s="27">
        <v>7.12195</v>
      </c>
      <c r="F176" s="27">
        <v>6.7633999999999999</v>
      </c>
      <c r="G176" s="27">
        <v>6.0105000000000004</v>
      </c>
      <c r="H176" s="27">
        <v>5.31175</v>
      </c>
      <c r="I176" s="27">
        <v>3.9258000000000002</v>
      </c>
      <c r="J176" s="27">
        <v>2.7987500000000001</v>
      </c>
      <c r="K176" s="27">
        <v>1.8028</v>
      </c>
      <c r="L176" s="27"/>
      <c r="M176" s="42"/>
      <c r="R176" s="75">
        <v>1.9199999999999998E-2</v>
      </c>
      <c r="S176" s="74">
        <f t="shared" si="4"/>
        <v>0.70038539793628463</v>
      </c>
      <c r="T176" s="28">
        <v>7.78299906981644</v>
      </c>
      <c r="U176" s="28">
        <v>6.9108838611940522</v>
      </c>
      <c r="V176" s="28">
        <v>6.4244371061755938</v>
      </c>
      <c r="W176" s="28">
        <v>5.7427573485732237</v>
      </c>
      <c r="X176" s="28">
        <v>5.0733048649314583</v>
      </c>
      <c r="Y176" s="28">
        <v>3.78104099917724</v>
      </c>
      <c r="Z176" s="28">
        <v>2.649001573572543</v>
      </c>
      <c r="AA176" s="28">
        <v>1.7162866982569638</v>
      </c>
      <c r="AB176" s="28">
        <v>0</v>
      </c>
    </row>
    <row r="177" spans="2:28">
      <c r="B177" s="49">
        <v>1.9400000000000001E-2</v>
      </c>
      <c r="C177" s="40">
        <v>6133.0906269999996</v>
      </c>
      <c r="D177" s="27">
        <v>7.9651297010000004</v>
      </c>
      <c r="E177" s="27">
        <v>7.1573893970000002</v>
      </c>
      <c r="F177" s="27">
        <v>6.7971471000000001</v>
      </c>
      <c r="G177" s="27">
        <v>6.0443142940000003</v>
      </c>
      <c r="H177" s="27">
        <v>5.3492629169999999</v>
      </c>
      <c r="I177" s="27">
        <v>3.9677850619999999</v>
      </c>
      <c r="J177" s="27">
        <v>2.8390443470000002</v>
      </c>
      <c r="K177" s="27">
        <v>1.8402676630000001</v>
      </c>
      <c r="L177" s="27"/>
      <c r="M177" s="42"/>
      <c r="R177" s="75">
        <v>1.9400000000000001E-2</v>
      </c>
      <c r="S177" s="74">
        <f t="shared" si="4"/>
        <v>0.68444253369939079</v>
      </c>
      <c r="T177" s="28">
        <v>7.8070227621979766</v>
      </c>
      <c r="U177" s="28">
        <v>6.9420133875470871</v>
      </c>
      <c r="V177" s="28">
        <v>6.457921965137464</v>
      </c>
      <c r="W177" s="28">
        <v>5.7793259770689795</v>
      </c>
      <c r="X177" s="28">
        <v>5.1129580932203771</v>
      </c>
      <c r="Y177" s="28">
        <v>3.8239379040835439</v>
      </c>
      <c r="Z177" s="28">
        <v>2.691636392254277</v>
      </c>
      <c r="AA177" s="28">
        <v>1.7549599198718853</v>
      </c>
      <c r="AB177" s="28">
        <v>0</v>
      </c>
    </row>
    <row r="178" spans="2:28">
      <c r="B178" s="49">
        <v>1.9599999999999999E-2</v>
      </c>
      <c r="C178" s="40">
        <v>6010.8504389999998</v>
      </c>
      <c r="D178" s="27">
        <v>7.9930242529999997</v>
      </c>
      <c r="E178" s="27">
        <v>7.1902142360000001</v>
      </c>
      <c r="F178" s="27">
        <v>6.8285706499999996</v>
      </c>
      <c r="G178" s="27">
        <v>6.0763611600000003</v>
      </c>
      <c r="H178" s="27">
        <v>5.383273462</v>
      </c>
      <c r="I178" s="27">
        <v>4.0073913880000003</v>
      </c>
      <c r="J178" s="27">
        <v>2.8770103690000002</v>
      </c>
      <c r="K178" s="27">
        <v>1.8771042179999999</v>
      </c>
      <c r="L178" s="27"/>
      <c r="M178" s="42"/>
      <c r="R178" s="75">
        <v>1.9599999999999999E-2</v>
      </c>
      <c r="S178" s="74">
        <f t="shared" si="4"/>
        <v>0.67080073561046627</v>
      </c>
      <c r="T178" s="28">
        <v>7.8266604845933081</v>
      </c>
      <c r="U178" s="28">
        <v>6.9690797264558082</v>
      </c>
      <c r="V178" s="28">
        <v>6.4875499256739788</v>
      </c>
      <c r="W178" s="28">
        <v>5.8123795999087946</v>
      </c>
      <c r="X178" s="28">
        <v>5.1494947941026608</v>
      </c>
      <c r="Y178" s="28">
        <v>3.8645899990440986</v>
      </c>
      <c r="Z178" s="28">
        <v>2.7328912991441419</v>
      </c>
      <c r="AA178" s="28">
        <v>1.7929963101216939</v>
      </c>
      <c r="AB178" s="28">
        <v>0</v>
      </c>
    </row>
    <row r="179" spans="2:28">
      <c r="B179" s="49">
        <v>1.9800000000000002E-2</v>
      </c>
      <c r="C179" s="40">
        <v>5847.8578209999996</v>
      </c>
      <c r="D179" s="27">
        <v>8.0195274170000008</v>
      </c>
      <c r="E179" s="27">
        <v>7.2206843589999998</v>
      </c>
      <c r="F179" s="27">
        <v>6.8572479790000003</v>
      </c>
      <c r="G179" s="27">
        <v>6.107190685</v>
      </c>
      <c r="H179" s="27">
        <v>5.4143922670000002</v>
      </c>
      <c r="I179" s="27">
        <v>4.0444666079999996</v>
      </c>
      <c r="J179" s="27">
        <v>2.9126681900000002</v>
      </c>
      <c r="K179" s="27">
        <v>1.913361863</v>
      </c>
      <c r="L179" s="27"/>
      <c r="M179" s="42"/>
      <c r="R179" s="75">
        <v>1.9800000000000002E-2</v>
      </c>
      <c r="S179" s="74">
        <f t="shared" si="4"/>
        <v>0.65261103530714848</v>
      </c>
      <c r="T179" s="28">
        <v>7.8423958724813465</v>
      </c>
      <c r="U179" s="28">
        <v>6.9924077737407799</v>
      </c>
      <c r="V179" s="28">
        <v>6.5135763769455197</v>
      </c>
      <c r="W179" s="28">
        <v>5.8420846727164841</v>
      </c>
      <c r="X179" s="28">
        <v>5.1830082299464397</v>
      </c>
      <c r="Y179" s="28">
        <v>3.9029910908312933</v>
      </c>
      <c r="Z179" s="28">
        <v>2.7727161752635943</v>
      </c>
      <c r="AA179" s="28">
        <v>1.830336305603772</v>
      </c>
      <c r="AB179" s="28">
        <v>0</v>
      </c>
    </row>
    <row r="180" spans="2:28">
      <c r="B180" s="49">
        <v>0.02</v>
      </c>
      <c r="C180" s="40">
        <v>5724.4928529999997</v>
      </c>
      <c r="D180" s="27">
        <v>8.0434618039999997</v>
      </c>
      <c r="E180" s="27">
        <v>7.2487241940000002</v>
      </c>
      <c r="F180" s="27">
        <v>6.8827242530000001</v>
      </c>
      <c r="G180" s="27">
        <v>6.1359616289999996</v>
      </c>
      <c r="H180" s="27">
        <v>5.4433178680000003</v>
      </c>
      <c r="I180" s="27">
        <v>4.0786927359999998</v>
      </c>
      <c r="J180" s="27">
        <v>2.9471427069999998</v>
      </c>
      <c r="K180" s="27">
        <v>1.9474989460000001</v>
      </c>
      <c r="L180" s="27"/>
      <c r="M180" s="42"/>
      <c r="R180" s="75">
        <v>0.02</v>
      </c>
      <c r="S180" s="74">
        <f t="shared" si="4"/>
        <v>0.63884371367391746</v>
      </c>
      <c r="T180" s="28">
        <v>7.8537613746454422</v>
      </c>
      <c r="U180" s="28">
        <v>7.0117757463399517</v>
      </c>
      <c r="V180" s="28">
        <v>6.5358651889661763</v>
      </c>
      <c r="W180" s="28">
        <v>5.8683867157999705</v>
      </c>
      <c r="X180" s="28">
        <v>5.2134842114573274</v>
      </c>
      <c r="Y180" s="28">
        <v>3.9391366877414469</v>
      </c>
      <c r="Z180" s="28">
        <v>2.8110777979938182</v>
      </c>
      <c r="AA180" s="28">
        <v>1.8669289292351208</v>
      </c>
      <c r="AB180" s="28">
        <v>0</v>
      </c>
    </row>
    <row r="181" spans="2:28">
      <c r="B181" s="49">
        <v>2.0199999999999999E-2</v>
      </c>
      <c r="C181" s="40">
        <v>5553.1674089999997</v>
      </c>
      <c r="D181" s="27">
        <v>8.0649006449999998</v>
      </c>
      <c r="E181" s="27">
        <v>7.273930129</v>
      </c>
      <c r="F181" s="27">
        <v>6.9060552169999996</v>
      </c>
      <c r="G181" s="27">
        <v>6.1635643609999997</v>
      </c>
      <c r="H181" s="27">
        <v>5.4712002929999999</v>
      </c>
      <c r="I181" s="27">
        <v>4.1106860489999999</v>
      </c>
      <c r="J181" s="27">
        <v>2.9801094369999999</v>
      </c>
      <c r="K181" s="27">
        <v>1.9810687570000001</v>
      </c>
      <c r="L181" s="27"/>
      <c r="M181" s="42"/>
      <c r="R181" s="75">
        <v>2.0199999999999999E-2</v>
      </c>
      <c r="S181" s="74">
        <f t="shared" si="4"/>
        <v>0.61972408409233204</v>
      </c>
      <c r="T181" s="28">
        <v>7.8613911499828522</v>
      </c>
      <c r="U181" s="28">
        <v>7.027547147659746</v>
      </c>
      <c r="V181" s="28">
        <v>6.5546737408686786</v>
      </c>
      <c r="W181" s="28">
        <v>5.8914335467988961</v>
      </c>
      <c r="X181" s="28">
        <v>5.2409952414423273</v>
      </c>
      <c r="Y181" s="28">
        <v>3.97301677251482</v>
      </c>
      <c r="Z181" s="28">
        <v>2.8479351442092034</v>
      </c>
      <c r="AA181" s="28">
        <v>1.9027242115402154</v>
      </c>
      <c r="AB181" s="28">
        <v>0</v>
      </c>
    </row>
    <row r="182" spans="2:28">
      <c r="B182" s="49">
        <v>2.0400000000000001E-2</v>
      </c>
      <c r="C182" s="40">
        <v>5368.8</v>
      </c>
      <c r="D182" s="27">
        <v>8.0831450500000006</v>
      </c>
      <c r="E182" s="27">
        <v>7.2972548919999998</v>
      </c>
      <c r="F182" s="27">
        <v>6.9271859400000002</v>
      </c>
      <c r="G182" s="27">
        <v>6.1892987699999997</v>
      </c>
      <c r="H182" s="27">
        <v>5.4979020500000004</v>
      </c>
      <c r="I182" s="27">
        <v>4.1408835379999998</v>
      </c>
      <c r="J182" s="27">
        <v>3.0117868190000001</v>
      </c>
      <c r="K182" s="27">
        <v>2.0136524900000001</v>
      </c>
      <c r="L182" s="27"/>
      <c r="M182" s="42"/>
      <c r="R182" s="75">
        <v>2.0400000000000001E-2</v>
      </c>
      <c r="S182" s="74">
        <f t="shared" si="4"/>
        <v>0.59914899329031057</v>
      </c>
      <c r="T182" s="28">
        <v>7.8646757347438587</v>
      </c>
      <c r="U182" s="28">
        <v>7.0394112040246881</v>
      </c>
      <c r="V182" s="28">
        <v>6.5697997921885092</v>
      </c>
      <c r="W182" s="28">
        <v>5.91112805207415</v>
      </c>
      <c r="X182" s="28">
        <v>5.2655028349038098</v>
      </c>
      <c r="Y182" s="28">
        <v>4.0046251932804164</v>
      </c>
      <c r="Z182" s="28">
        <v>2.8832624946781289</v>
      </c>
      <c r="AA182" s="28">
        <v>1.9376782624681754</v>
      </c>
      <c r="AB182" s="28">
        <v>0</v>
      </c>
    </row>
    <row r="183" spans="2:28">
      <c r="B183" s="49">
        <v>2.06E-2</v>
      </c>
      <c r="C183" s="40">
        <v>5220.328998</v>
      </c>
      <c r="D183" s="27">
        <v>8.0981655539999995</v>
      </c>
      <c r="E183" s="27">
        <v>7.3187428819999996</v>
      </c>
      <c r="F183" s="27">
        <v>6.9460963089999996</v>
      </c>
      <c r="G183" s="27">
        <v>6.2116537789999997</v>
      </c>
      <c r="H183" s="27">
        <v>5.5234439369999997</v>
      </c>
      <c r="I183" s="27">
        <v>4.1693311069999996</v>
      </c>
      <c r="J183" s="27">
        <v>3.0426479789999998</v>
      </c>
      <c r="K183" s="27">
        <v>2.0450994730000001</v>
      </c>
      <c r="L183" s="27"/>
      <c r="M183" s="42"/>
      <c r="R183" s="75">
        <v>2.06E-2</v>
      </c>
      <c r="S183" s="74">
        <f t="shared" si="4"/>
        <v>0.58257988075471534</v>
      </c>
      <c r="T183" s="28">
        <v>7.8633426051593238</v>
      </c>
      <c r="U183" s="28">
        <v>7.0471738385279661</v>
      </c>
      <c r="V183" s="28">
        <v>6.5810849456160403</v>
      </c>
      <c r="W183" s="28">
        <v>5.9273590103447553</v>
      </c>
      <c r="X183" s="28">
        <v>5.2869320679299339</v>
      </c>
      <c r="Y183" s="28">
        <v>4.0339271691910517</v>
      </c>
      <c r="Z183" s="28">
        <v>2.9170295125645693</v>
      </c>
      <c r="AA183" s="28">
        <v>1.9717532929739741</v>
      </c>
      <c r="AB183" s="28">
        <v>0</v>
      </c>
    </row>
    <row r="184" spans="2:28">
      <c r="B184" s="49">
        <v>2.0799999999999999E-2</v>
      </c>
      <c r="C184" s="40">
        <v>5063.3660609999997</v>
      </c>
      <c r="D184" s="27">
        <v>8.1094012899999992</v>
      </c>
      <c r="E184" s="27">
        <v>7.3374772569999998</v>
      </c>
      <c r="F184" s="27">
        <v>6.962777022</v>
      </c>
      <c r="G184" s="27">
        <v>6.230827315</v>
      </c>
      <c r="H184" s="27">
        <v>5.5473029309999999</v>
      </c>
      <c r="I184" s="27">
        <v>4.1965283700000002</v>
      </c>
      <c r="J184" s="27">
        <v>3.0727162369999999</v>
      </c>
      <c r="K184" s="27">
        <v>2.0754037510000001</v>
      </c>
      <c r="L184" s="27"/>
      <c r="M184" s="42"/>
      <c r="R184" s="75">
        <v>2.0799999999999999E-2</v>
      </c>
      <c r="S184" s="74">
        <f t="shared" si="4"/>
        <v>0.5650630826457449</v>
      </c>
      <c r="T184" s="28">
        <v>7.8579208701979137</v>
      </c>
      <c r="U184" s="28">
        <v>7.0511155462919444</v>
      </c>
      <c r="V184" s="28">
        <v>6.5887183709231234</v>
      </c>
      <c r="W184" s="28">
        <v>5.9402177033055317</v>
      </c>
      <c r="X184" s="28">
        <v>5.3053115988855435</v>
      </c>
      <c r="Y184" s="28">
        <v>4.0608926360715039</v>
      </c>
      <c r="Z184" s="28">
        <v>2.949195096023685</v>
      </c>
      <c r="AA184" s="28">
        <v>2.0049067323371728</v>
      </c>
      <c r="AB184" s="28">
        <v>0</v>
      </c>
    </row>
    <row r="185" spans="2:28">
      <c r="B185" s="49">
        <v>2.1000000000000001E-2</v>
      </c>
      <c r="C185" s="40">
        <v>4914.1611599999997</v>
      </c>
      <c r="D185" s="27">
        <v>8.1162218510000006</v>
      </c>
      <c r="E185" s="27">
        <v>7.3529733449999997</v>
      </c>
      <c r="F185" s="27">
        <v>6.9764311660000002</v>
      </c>
      <c r="G185" s="27">
        <v>6.2474577040000003</v>
      </c>
      <c r="H185" s="27">
        <v>5.5684076740000004</v>
      </c>
      <c r="I185" s="27">
        <v>4.223335735</v>
      </c>
      <c r="J185" s="27">
        <v>3.1006544819999999</v>
      </c>
      <c r="K185" s="27">
        <v>2.1040919740000001</v>
      </c>
      <c r="L185" s="27"/>
      <c r="M185" s="42"/>
      <c r="R185" s="75">
        <v>2.1000000000000001E-2</v>
      </c>
      <c r="S185" s="74">
        <f t="shared" si="4"/>
        <v>0.54841206822387589</v>
      </c>
      <c r="T185" s="28">
        <v>7.8484176360473725</v>
      </c>
      <c r="U185" s="28">
        <v>7.0512692697021651</v>
      </c>
      <c r="V185" s="28">
        <v>6.5927354349062082</v>
      </c>
      <c r="W185" s="28">
        <v>5.94973557256258</v>
      </c>
      <c r="X185" s="28">
        <v>5.3206611516532947</v>
      </c>
      <c r="Y185" s="28">
        <v>4.0855122389162455</v>
      </c>
      <c r="Z185" s="28">
        <v>2.9797262936499322</v>
      </c>
      <c r="AA185" s="28">
        <v>2.0370954593431447</v>
      </c>
      <c r="AB185" s="28">
        <v>0</v>
      </c>
    </row>
    <row r="186" spans="2:28">
      <c r="B186" s="49">
        <v>2.12E-2</v>
      </c>
      <c r="C186" s="40">
        <v>4701.6477729999997</v>
      </c>
      <c r="D186" s="27">
        <v>8.1185688159999998</v>
      </c>
      <c r="E186" s="27">
        <v>7.3641742089999997</v>
      </c>
      <c r="F186" s="27">
        <v>6.9866867529999999</v>
      </c>
      <c r="G186" s="27">
        <v>6.2610519929999997</v>
      </c>
      <c r="H186" s="27">
        <v>5.5855111370000001</v>
      </c>
      <c r="I186" s="27">
        <v>4.2489477139999998</v>
      </c>
      <c r="J186" s="27">
        <v>3.1268663540000001</v>
      </c>
      <c r="K186" s="27">
        <v>2.1312631299999998</v>
      </c>
      <c r="L186" s="27"/>
      <c r="M186" s="42"/>
      <c r="R186" s="75">
        <v>2.12E-2</v>
      </c>
      <c r="S186" s="74">
        <f t="shared" si="4"/>
        <v>0.52469593391420444</v>
      </c>
      <c r="T186" s="28">
        <v>7.8350158804229206</v>
      </c>
      <c r="U186" s="28">
        <v>7.0477590358596656</v>
      </c>
      <c r="V186" s="28">
        <v>6.5932357905860028</v>
      </c>
      <c r="W186" s="28">
        <v>5.9559778798110878</v>
      </c>
      <c r="X186" s="28">
        <v>5.3330170180380376</v>
      </c>
      <c r="Y186" s="28">
        <v>4.1077795786398816</v>
      </c>
      <c r="Z186" s="28">
        <v>3.0085931271560176</v>
      </c>
      <c r="AA186" s="28">
        <v>2.0682781553135481</v>
      </c>
      <c r="AB186" s="28">
        <v>0</v>
      </c>
    </row>
    <row r="187" spans="2:28">
      <c r="B187" s="49">
        <v>2.1399999999999999E-2</v>
      </c>
      <c r="C187" s="40">
        <v>4606.3999999999996</v>
      </c>
      <c r="D187" s="27">
        <v>8.1168496189999999</v>
      </c>
      <c r="E187" s="27">
        <v>7.3714020500000004</v>
      </c>
      <c r="F187" s="27">
        <v>6.9935239019999997</v>
      </c>
      <c r="G187" s="27">
        <v>6.2726948450000002</v>
      </c>
      <c r="H187" s="27">
        <v>5.5991465140000001</v>
      </c>
      <c r="I187" s="27">
        <v>4.2728195080000004</v>
      </c>
      <c r="J187" s="27">
        <v>3.151910252</v>
      </c>
      <c r="K187" s="27">
        <v>2.1576354420000001</v>
      </c>
      <c r="L187" s="27"/>
      <c r="M187" s="42"/>
      <c r="R187" s="75">
        <v>2.1399999999999999E-2</v>
      </c>
      <c r="S187" s="74">
        <f t="shared" si="4"/>
        <v>0.51406644365453857</v>
      </c>
      <c r="T187" s="28">
        <v>7.8167575105751661</v>
      </c>
      <c r="U187" s="28">
        <v>7.0400377577982924</v>
      </c>
      <c r="V187" s="28">
        <v>6.5898352295263818</v>
      </c>
      <c r="W187" s="28">
        <v>5.9587244798923615</v>
      </c>
      <c r="X187" s="28">
        <v>5.3422642719137468</v>
      </c>
      <c r="Y187" s="28">
        <v>4.1276715293970172</v>
      </c>
      <c r="Z187" s="28">
        <v>3.0357781448110486</v>
      </c>
      <c r="AA187" s="28">
        <v>2.0984227236631141</v>
      </c>
      <c r="AB187" s="28">
        <v>0</v>
      </c>
    </row>
    <row r="188" spans="2:28">
      <c r="B188" s="49">
        <v>2.1600000000000001E-2</v>
      </c>
      <c r="C188" s="40">
        <v>4579.0115990000004</v>
      </c>
      <c r="D188" s="27">
        <v>8.1113007029999995</v>
      </c>
      <c r="E188" s="27">
        <v>7.3744623899999997</v>
      </c>
      <c r="F188" s="27">
        <v>6.9963499120000003</v>
      </c>
      <c r="G188" s="27">
        <v>6.2821804920000002</v>
      </c>
      <c r="H188" s="27">
        <v>5.6104739889999999</v>
      </c>
      <c r="I188" s="27">
        <v>4.2948230230000002</v>
      </c>
      <c r="J188" s="27">
        <v>3.1752541299999999</v>
      </c>
      <c r="K188" s="27">
        <v>2.1835850620000001</v>
      </c>
      <c r="L188" s="27"/>
      <c r="M188" s="42"/>
      <c r="R188" s="75">
        <v>2.1600000000000001E-2</v>
      </c>
      <c r="S188" s="74">
        <f t="shared" si="4"/>
        <v>0.51100994445788739</v>
      </c>
      <c r="T188" s="28">
        <v>7.795421384805568</v>
      </c>
      <c r="U188" s="28">
        <v>7.0290875590738713</v>
      </c>
      <c r="V188" s="28">
        <v>6.5832102099421395</v>
      </c>
      <c r="W188" s="28">
        <v>5.958344439737977</v>
      </c>
      <c r="X188" s="28">
        <v>5.34857375827821</v>
      </c>
      <c r="Y188" s="28">
        <v>4.1451767087661642</v>
      </c>
      <c r="Z188" s="28">
        <v>3.061235799879479</v>
      </c>
      <c r="AA188" s="28">
        <v>2.1274866985327754</v>
      </c>
      <c r="AB188" s="28">
        <v>0</v>
      </c>
    </row>
    <row r="189" spans="2:28">
      <c r="B189" s="49">
        <v>2.18E-2</v>
      </c>
      <c r="C189" s="40">
        <v>4396.5580300000001</v>
      </c>
      <c r="D189" s="27">
        <v>8.1010084409999994</v>
      </c>
      <c r="E189" s="27">
        <v>7.3738717469999999</v>
      </c>
      <c r="F189" s="27">
        <v>6.9950841739999996</v>
      </c>
      <c r="G189" s="27">
        <v>6.2885785460000001</v>
      </c>
      <c r="H189" s="27">
        <v>5.6200084989999999</v>
      </c>
      <c r="I189" s="27">
        <v>4.3149655920000001</v>
      </c>
      <c r="J189" s="27">
        <v>3.1972876320000001</v>
      </c>
      <c r="K189" s="27">
        <v>2.209605158</v>
      </c>
      <c r="L189" s="27"/>
      <c r="M189" s="42"/>
      <c r="R189" s="75">
        <v>2.18E-2</v>
      </c>
      <c r="S189" s="74">
        <f t="shared" si="4"/>
        <v>0.49064843496068605</v>
      </c>
      <c r="T189" s="28">
        <v>7.7725257616478451</v>
      </c>
      <c r="U189" s="28">
        <v>7.0159401306408107</v>
      </c>
      <c r="V189" s="28">
        <v>6.5741745844501462</v>
      </c>
      <c r="W189" s="28">
        <v>5.9553909176959907</v>
      </c>
      <c r="X189" s="28">
        <v>5.35229115791984</v>
      </c>
      <c r="Y189" s="28">
        <v>4.1603753461816471</v>
      </c>
      <c r="Z189" s="28">
        <v>3.0849375090586197</v>
      </c>
      <c r="AA189" s="28">
        <v>2.1554160665970361</v>
      </c>
      <c r="AB189" s="28">
        <v>0</v>
      </c>
    </row>
    <row r="190" spans="2:28">
      <c r="B190" s="49">
        <v>2.1999999999999999E-2</v>
      </c>
      <c r="C190" s="40">
        <v>4095.329467</v>
      </c>
      <c r="D190" s="27">
        <v>8.0854309900000008</v>
      </c>
      <c r="E190" s="27">
        <v>7.3699655540000002</v>
      </c>
      <c r="F190" s="27">
        <v>6.9896061510000003</v>
      </c>
      <c r="G190" s="27">
        <v>6.2924281779999998</v>
      </c>
      <c r="H190" s="27">
        <v>5.6273469829999998</v>
      </c>
      <c r="I190" s="27">
        <v>4.3331752779999997</v>
      </c>
      <c r="J190" s="27">
        <v>3.2189659640000001</v>
      </c>
      <c r="K190" s="27">
        <v>2.235166022</v>
      </c>
      <c r="L190" s="27"/>
      <c r="M190" s="42"/>
      <c r="R190" s="75">
        <v>2.1999999999999999E-2</v>
      </c>
      <c r="S190" s="74">
        <f t="shared" si="4"/>
        <v>0.4570318371601092</v>
      </c>
      <c r="T190" s="28">
        <v>7.7459924479627302</v>
      </c>
      <c r="U190" s="28">
        <v>6.999555502587314</v>
      </c>
      <c r="V190" s="28">
        <v>6.5620718810053624</v>
      </c>
      <c r="W190" s="28">
        <v>5.9495791616573861</v>
      </c>
      <c r="X190" s="28">
        <v>5.353345984514239</v>
      </c>
      <c r="Y190" s="28">
        <v>4.173335742683558</v>
      </c>
      <c r="Z190" s="28">
        <v>3.1069090920853433</v>
      </c>
      <c r="AA190" s="28">
        <v>2.1821832564268817</v>
      </c>
      <c r="AB190" s="28">
        <v>0</v>
      </c>
    </row>
    <row r="191" spans="2:28">
      <c r="B191" s="49">
        <v>2.2200000000000001E-2</v>
      </c>
      <c r="C191" s="40">
        <v>3816.9966589999999</v>
      </c>
      <c r="D191" s="27">
        <v>8.0641770810000004</v>
      </c>
      <c r="E191" s="27">
        <v>7.3617048069999997</v>
      </c>
      <c r="F191" s="27">
        <v>6.9804892150000004</v>
      </c>
      <c r="G191" s="27">
        <v>6.2930051000000002</v>
      </c>
      <c r="H191" s="27">
        <v>5.6330494719999997</v>
      </c>
      <c r="I191" s="27">
        <v>4.3493589100000003</v>
      </c>
      <c r="J191" s="27">
        <v>3.2405798940000001</v>
      </c>
      <c r="K191" s="27">
        <v>2.2598981829999998</v>
      </c>
      <c r="L191" s="27"/>
      <c r="M191" s="42"/>
      <c r="R191" s="75">
        <v>2.2200000000000001E-2</v>
      </c>
      <c r="S191" s="74">
        <f t="shared" si="4"/>
        <v>0.42597036686640011</v>
      </c>
      <c r="T191" s="28">
        <v>7.7135168485480623</v>
      </c>
      <c r="U191" s="28">
        <v>6.9784778068942153</v>
      </c>
      <c r="V191" s="28">
        <v>6.5458108028953461</v>
      </c>
      <c r="W191" s="28">
        <v>5.9402230808287735</v>
      </c>
      <c r="X191" s="28">
        <v>5.3513480467836985</v>
      </c>
      <c r="Y191" s="28">
        <v>4.1839935333031626</v>
      </c>
      <c r="Z191" s="28">
        <v>3.1271683972319906</v>
      </c>
      <c r="AA191" s="28">
        <v>2.2077887457231413</v>
      </c>
      <c r="AB191" s="28">
        <v>0</v>
      </c>
    </row>
    <row r="192" spans="2:28">
      <c r="B192" s="49">
        <v>2.24E-2</v>
      </c>
      <c r="C192" s="40">
        <v>3686.3142939999998</v>
      </c>
      <c r="D192" s="27">
        <v>8.0373962510000005</v>
      </c>
      <c r="E192" s="27">
        <v>7.3487729350000004</v>
      </c>
      <c r="F192" s="27">
        <v>6.9674980079999997</v>
      </c>
      <c r="G192" s="27">
        <v>6.2893241939999998</v>
      </c>
      <c r="H192" s="27">
        <v>5.6362251319999999</v>
      </c>
      <c r="I192" s="27">
        <v>4.363426596</v>
      </c>
      <c r="J192" s="27">
        <v>3.2610024019999999</v>
      </c>
      <c r="K192" s="27">
        <v>2.2836528409999999</v>
      </c>
      <c r="L192" s="27"/>
      <c r="M192" s="42"/>
      <c r="R192" s="75">
        <v>2.24E-2</v>
      </c>
      <c r="S192" s="74">
        <f t="shared" si="4"/>
        <v>0.41138643611268477</v>
      </c>
      <c r="T192" s="28">
        <v>7.6749339181394776</v>
      </c>
      <c r="U192" s="28">
        <v>6.9523612274979847</v>
      </c>
      <c r="V192" s="28">
        <v>6.5250094404900025</v>
      </c>
      <c r="W192" s="28">
        <v>5.9269676139128729</v>
      </c>
      <c r="X192" s="28">
        <v>5.3460081701444375</v>
      </c>
      <c r="Y192" s="28">
        <v>4.1922167578860225</v>
      </c>
      <c r="Z192" s="28">
        <v>3.1456814551567502</v>
      </c>
      <c r="AA192" s="28">
        <v>2.2322271763578247</v>
      </c>
      <c r="AB192" s="28">
        <v>0</v>
      </c>
    </row>
    <row r="193" spans="2:28">
      <c r="B193" s="49">
        <v>2.2599999999999999E-2</v>
      </c>
      <c r="C193" s="40">
        <v>3590.3752199999999</v>
      </c>
      <c r="D193" s="27">
        <v>8.0065163439999996</v>
      </c>
      <c r="E193" s="27">
        <v>7.3306499120000002</v>
      </c>
      <c r="F193" s="27">
        <v>6.9502560630000003</v>
      </c>
      <c r="G193" s="27">
        <v>6.281572583</v>
      </c>
      <c r="H193" s="27">
        <v>5.6357611600000004</v>
      </c>
      <c r="I193" s="27">
        <v>4.3755226709999997</v>
      </c>
      <c r="J193" s="27">
        <v>3.2796690690000001</v>
      </c>
      <c r="K193" s="27">
        <v>2.3057922670000002</v>
      </c>
      <c r="L193" s="27"/>
      <c r="M193" s="42"/>
      <c r="R193" s="75">
        <v>2.2599999999999999E-2</v>
      </c>
      <c r="S193" s="74">
        <f t="shared" si="4"/>
        <v>0.40067979783144786</v>
      </c>
      <c r="T193" s="28">
        <v>7.6325488392896945</v>
      </c>
      <c r="U193" s="28">
        <v>6.9224341488740899</v>
      </c>
      <c r="V193" s="28">
        <v>6.5004762715142341</v>
      </c>
      <c r="W193" s="28">
        <v>5.9102122134235691</v>
      </c>
      <c r="X193" s="28">
        <v>5.3374689524125989</v>
      </c>
      <c r="Y193" s="28">
        <v>4.1979397001104539</v>
      </c>
      <c r="Z193" s="28">
        <v>3.1623767657868993</v>
      </c>
      <c r="AA193" s="28">
        <v>2.2554614341043493</v>
      </c>
      <c r="AB193" s="28">
        <v>0</v>
      </c>
    </row>
    <row r="194" spans="2:28">
      <c r="B194" s="49">
        <v>2.2800000000000001E-2</v>
      </c>
      <c r="C194" s="40">
        <v>3476.1058029999999</v>
      </c>
      <c r="D194" s="27">
        <v>7.9730426730000001</v>
      </c>
      <c r="E194" s="27">
        <v>7.3077117229999997</v>
      </c>
      <c r="F194" s="27">
        <v>6.9287242669999998</v>
      </c>
      <c r="G194" s="27">
        <v>6.2696526959999996</v>
      </c>
      <c r="H194" s="27">
        <v>5.6305185230000001</v>
      </c>
      <c r="I194" s="27">
        <v>4.3852346420000003</v>
      </c>
      <c r="J194" s="27">
        <v>3.296534877</v>
      </c>
      <c r="K194" s="27">
        <v>2.3269475380000002</v>
      </c>
      <c r="L194" s="27"/>
      <c r="M194" s="42"/>
      <c r="R194" s="75">
        <v>2.2800000000000001E-2</v>
      </c>
      <c r="S194" s="74">
        <f t="shared" si="4"/>
        <v>0.38792752429557009</v>
      </c>
      <c r="T194" s="28">
        <v>7.5873730518027473</v>
      </c>
      <c r="U194" s="28">
        <v>6.8894370127902196</v>
      </c>
      <c r="V194" s="28">
        <v>6.472826549914342</v>
      </c>
      <c r="W194" s="28">
        <v>5.8903799048477969</v>
      </c>
      <c r="X194" s="28">
        <v>5.3259901038272046</v>
      </c>
      <c r="Y194" s="28">
        <v>4.2012014331642877</v>
      </c>
      <c r="Z194" s="28">
        <v>3.1772143316864701</v>
      </c>
      <c r="AA194" s="28">
        <v>2.2774408365857184</v>
      </c>
      <c r="AB194" s="28">
        <v>0</v>
      </c>
    </row>
    <row r="195" spans="2:28">
      <c r="B195" s="49">
        <v>2.3E-2</v>
      </c>
      <c r="C195" s="40">
        <v>3417.8942000000002</v>
      </c>
      <c r="D195" s="27">
        <v>7.9374407729999996</v>
      </c>
      <c r="E195" s="27">
        <v>7.2808004689999999</v>
      </c>
      <c r="F195" s="27">
        <v>6.9032958410000003</v>
      </c>
      <c r="G195" s="27">
        <v>6.2535680730000003</v>
      </c>
      <c r="H195" s="27">
        <v>5.6204964259999999</v>
      </c>
      <c r="I195" s="27">
        <v>4.3916455179999998</v>
      </c>
      <c r="J195" s="27">
        <v>3.311594318</v>
      </c>
      <c r="K195" s="27">
        <v>2.3476992380000001</v>
      </c>
      <c r="L195" s="27"/>
      <c r="M195" s="42"/>
      <c r="R195" s="75">
        <v>2.3E-2</v>
      </c>
      <c r="S195" s="74">
        <f t="shared" si="4"/>
        <v>0.38143120792407831</v>
      </c>
      <c r="T195" s="28">
        <v>7.5394154862239997</v>
      </c>
      <c r="U195" s="28">
        <v>6.8535388036667237</v>
      </c>
      <c r="V195" s="28">
        <v>6.4422844906819714</v>
      </c>
      <c r="W195" s="28">
        <v>5.8676868654521108</v>
      </c>
      <c r="X195" s="28">
        <v>5.3117488905864301</v>
      </c>
      <c r="Y195" s="28">
        <v>4.2020700893051144</v>
      </c>
      <c r="Z195" s="28">
        <v>3.1901891800393849</v>
      </c>
      <c r="AA195" s="28">
        <v>2.2981253662385934</v>
      </c>
      <c r="AB195" s="28">
        <v>0</v>
      </c>
    </row>
    <row r="196" spans="2:28">
      <c r="B196" s="49">
        <v>2.3199999999999998E-2</v>
      </c>
      <c r="C196" s="40">
        <v>3343.588401</v>
      </c>
      <c r="D196" s="27">
        <v>7.9002995900000004</v>
      </c>
      <c r="E196" s="27">
        <v>7.25139215</v>
      </c>
      <c r="F196" s="27">
        <v>6.8748482720000004</v>
      </c>
      <c r="G196" s="27">
        <v>6.2337906849999998</v>
      </c>
      <c r="H196" s="27">
        <v>5.6061086119999999</v>
      </c>
      <c r="I196" s="27">
        <v>4.3949495609999998</v>
      </c>
      <c r="J196" s="27">
        <v>3.3248104860000001</v>
      </c>
      <c r="K196" s="27">
        <v>2.3681093149999999</v>
      </c>
      <c r="L196" s="27"/>
      <c r="M196" s="42"/>
      <c r="R196" s="75">
        <v>2.3199999999999998E-2</v>
      </c>
      <c r="S196" s="74">
        <f t="shared" si="4"/>
        <v>0.37313880651846021</v>
      </c>
      <c r="T196" s="28">
        <v>7.4897578842709587</v>
      </c>
      <c r="U196" s="28">
        <v>6.8154690013496859</v>
      </c>
      <c r="V196" s="28">
        <v>6.409429645413339</v>
      </c>
      <c r="W196" s="28">
        <v>5.8425375604382523</v>
      </c>
      <c r="X196" s="28">
        <v>5.2950127417715187</v>
      </c>
      <c r="Y196" s="28">
        <v>4.2006319555249005</v>
      </c>
      <c r="Z196" s="28">
        <v>3.2013004704149792</v>
      </c>
      <c r="AA196" s="28">
        <v>2.3174802829733845</v>
      </c>
      <c r="AB196" s="28">
        <v>0</v>
      </c>
    </row>
    <row r="197" spans="2:28">
      <c r="B197" s="49">
        <v>2.3400000000000001E-2</v>
      </c>
      <c r="C197" s="40">
        <v>3149.710955</v>
      </c>
      <c r="D197" s="27">
        <v>7.8615548329999996</v>
      </c>
      <c r="E197" s="27">
        <v>7.2214284119999999</v>
      </c>
      <c r="F197" s="27">
        <v>6.8441421790000003</v>
      </c>
      <c r="G197" s="27">
        <v>6.2118090219999997</v>
      </c>
      <c r="H197" s="27">
        <v>5.5887472169999999</v>
      </c>
      <c r="I197" s="27">
        <v>4.3949699469999999</v>
      </c>
      <c r="J197" s="27">
        <v>3.3359983010000001</v>
      </c>
      <c r="K197" s="27">
        <v>2.388440422</v>
      </c>
      <c r="L197" s="27"/>
      <c r="M197" s="42"/>
      <c r="R197" s="75">
        <v>2.3400000000000001E-2</v>
      </c>
      <c r="S197" s="74">
        <f t="shared" si="4"/>
        <v>0.35150241168300417</v>
      </c>
      <c r="T197" s="28">
        <v>7.4385512629464161</v>
      </c>
      <c r="U197" s="28">
        <v>6.7754524783562671</v>
      </c>
      <c r="V197" s="28">
        <v>6.3744795794808109</v>
      </c>
      <c r="W197" s="28">
        <v>5.8151516830895806</v>
      </c>
      <c r="X197" s="28">
        <v>5.2759753461705055</v>
      </c>
      <c r="Y197" s="28">
        <v>4.1969983829354964</v>
      </c>
      <c r="Z197" s="28">
        <v>3.2105691470369435</v>
      </c>
      <c r="AA197" s="28">
        <v>2.3354801968503538</v>
      </c>
      <c r="AB197" s="28">
        <v>0</v>
      </c>
    </row>
    <row r="198" spans="2:28">
      <c r="B198" s="49">
        <v>2.3599999999999999E-2</v>
      </c>
      <c r="C198" s="40">
        <v>2963.5504390000001</v>
      </c>
      <c r="D198" s="27">
        <v>7.8196145870000002</v>
      </c>
      <c r="E198" s="27">
        <v>7.1915608080000002</v>
      </c>
      <c r="F198" s="27">
        <v>6.8122827770000001</v>
      </c>
      <c r="G198" s="27">
        <v>6.1879824250000004</v>
      </c>
      <c r="H198" s="27">
        <v>5.5700008790000002</v>
      </c>
      <c r="I198" s="27">
        <v>4.3920595779999996</v>
      </c>
      <c r="J198" s="27">
        <v>3.3451840069999998</v>
      </c>
      <c r="K198" s="27">
        <v>2.4079553599999999</v>
      </c>
      <c r="L198" s="27"/>
      <c r="M198" s="42"/>
      <c r="R198" s="75">
        <v>2.3599999999999999E-2</v>
      </c>
      <c r="S198" s="74">
        <f t="shared" si="4"/>
        <v>0.3307272131746215</v>
      </c>
      <c r="T198" s="28">
        <v>7.3840042095170233</v>
      </c>
      <c r="U198" s="28">
        <v>6.7325025960142275</v>
      </c>
      <c r="V198" s="28">
        <v>6.3367524748745385</v>
      </c>
      <c r="W198" s="28">
        <v>5.7851817877777059</v>
      </c>
      <c r="X198" s="28">
        <v>5.254504235094875</v>
      </c>
      <c r="Y198" s="28">
        <v>4.1912219469031964</v>
      </c>
      <c r="Z198" s="28">
        <v>3.2180396771832025</v>
      </c>
      <c r="AA198" s="28">
        <v>2.3521242390350192</v>
      </c>
      <c r="AB198" s="28">
        <v>0</v>
      </c>
    </row>
    <row r="199" spans="2:28">
      <c r="B199" s="49">
        <v>2.3800000000000002E-2</v>
      </c>
      <c r="C199" s="40">
        <v>2776.5883939999999</v>
      </c>
      <c r="D199" s="27">
        <v>7.7737679369999997</v>
      </c>
      <c r="E199" s="27">
        <v>7.1600223920000001</v>
      </c>
      <c r="F199" s="27">
        <v>6.7790239740000002</v>
      </c>
      <c r="G199" s="27">
        <v>6.162541032</v>
      </c>
      <c r="H199" s="27">
        <v>5.5512049819999998</v>
      </c>
      <c r="I199" s="27">
        <v>4.386998535</v>
      </c>
      <c r="J199" s="27">
        <v>3.3524014649999998</v>
      </c>
      <c r="K199" s="27">
        <v>2.4260794259999998</v>
      </c>
      <c r="L199" s="27"/>
      <c r="M199" s="42"/>
      <c r="R199" s="75">
        <v>2.3800000000000002E-2</v>
      </c>
      <c r="S199" s="74">
        <f t="shared" si="4"/>
        <v>0.30986256538642903</v>
      </c>
      <c r="T199" s="28">
        <v>7.3258522504593033</v>
      </c>
      <c r="U199" s="28">
        <v>6.6863573567618833</v>
      </c>
      <c r="V199" s="28">
        <v>6.2960167671813814</v>
      </c>
      <c r="W199" s="28">
        <v>5.752448625834484</v>
      </c>
      <c r="X199" s="28">
        <v>5.230480291019096</v>
      </c>
      <c r="Y199" s="28">
        <v>4.1832798544417198</v>
      </c>
      <c r="Z199" s="28">
        <v>3.2237279348011771</v>
      </c>
      <c r="AA199" s="28">
        <v>2.3674177842661273</v>
      </c>
      <c r="AB199" s="28">
        <v>0</v>
      </c>
    </row>
    <row r="200" spans="2:28">
      <c r="B200" s="49">
        <v>2.4E-2</v>
      </c>
      <c r="C200" s="40">
        <v>2565.2142939999999</v>
      </c>
      <c r="D200" s="27">
        <v>7.7239592850000003</v>
      </c>
      <c r="E200" s="27">
        <v>7.1252852369999999</v>
      </c>
      <c r="F200" s="27">
        <v>6.7433727010000002</v>
      </c>
      <c r="G200" s="27">
        <v>6.135773286</v>
      </c>
      <c r="H200" s="27">
        <v>5.5316487399999996</v>
      </c>
      <c r="I200" s="27">
        <v>4.380474575</v>
      </c>
      <c r="J200" s="27">
        <v>3.3577377859999999</v>
      </c>
      <c r="K200" s="27">
        <v>2.4415884010000002</v>
      </c>
      <c r="L200" s="27"/>
      <c r="M200" s="42"/>
      <c r="R200" s="75">
        <v>2.4E-2</v>
      </c>
      <c r="S200" s="74">
        <f t="shared" si="4"/>
        <v>0.28627357357771099</v>
      </c>
      <c r="T200" s="28">
        <v>7.2639432524865128</v>
      </c>
      <c r="U200" s="28">
        <v>6.6368641309056136</v>
      </c>
      <c r="V200" s="28">
        <v>6.2521326824137695</v>
      </c>
      <c r="W200" s="28">
        <v>5.7168378043687973</v>
      </c>
      <c r="X200" s="28">
        <v>5.2038196574101869</v>
      </c>
      <c r="Y200" s="28">
        <v>4.1731438016103723</v>
      </c>
      <c r="Z200" s="28">
        <v>3.2276338308836752</v>
      </c>
      <c r="AA200" s="28">
        <v>2.3813599103579457</v>
      </c>
      <c r="AB200" s="28">
        <v>0</v>
      </c>
    </row>
    <row r="201" spans="2:28">
      <c r="B201" s="49">
        <v>2.4199999999999999E-2</v>
      </c>
      <c r="C201" s="40">
        <v>2471.520094</v>
      </c>
      <c r="D201" s="27">
        <v>7.670293204</v>
      </c>
      <c r="E201" s="27">
        <v>7.0863725249999998</v>
      </c>
      <c r="F201" s="27">
        <v>6.7049895719999997</v>
      </c>
      <c r="G201" s="27">
        <v>6.1066836560000004</v>
      </c>
      <c r="H201" s="27">
        <v>5.5099029880000003</v>
      </c>
      <c r="I201" s="27">
        <v>4.3733603399999996</v>
      </c>
      <c r="J201" s="27">
        <v>3.3615901579999998</v>
      </c>
      <c r="K201" s="27">
        <v>2.4549639129999998</v>
      </c>
      <c r="L201" s="27"/>
      <c r="M201" s="42"/>
      <c r="R201" s="75">
        <v>2.4199999999999999E-2</v>
      </c>
      <c r="S201" s="74">
        <f t="shared" si="4"/>
        <v>0.2758174594354183</v>
      </c>
      <c r="T201" s="28">
        <v>7.1978220293832074</v>
      </c>
      <c r="U201" s="28">
        <v>6.5837059608059345</v>
      </c>
      <c r="V201" s="28">
        <v>6.2048470083848697</v>
      </c>
      <c r="W201" s="28">
        <v>5.6781721710107647</v>
      </c>
      <c r="X201" s="28">
        <v>5.1744056592109331</v>
      </c>
      <c r="Y201" s="28">
        <v>4.1607771505367914</v>
      </c>
      <c r="Z201" s="28">
        <v>3.2297525909208797</v>
      </c>
      <c r="AA201" s="28">
        <v>2.3939477940863676</v>
      </c>
      <c r="AB201" s="28">
        <v>0</v>
      </c>
    </row>
    <row r="202" spans="2:28">
      <c r="B202" s="49">
        <v>2.4400000000000002E-2</v>
      </c>
      <c r="C202" s="40">
        <v>2367.129015</v>
      </c>
      <c r="D202" s="27">
        <v>7.6131284880000001</v>
      </c>
      <c r="E202" s="27">
        <v>7.0428712190000002</v>
      </c>
      <c r="F202" s="27">
        <v>6.6630277260000002</v>
      </c>
      <c r="G202" s="27">
        <v>6.0748543379999997</v>
      </c>
      <c r="H202" s="27">
        <v>5.4850710429999996</v>
      </c>
      <c r="I202" s="27">
        <v>4.3644454279999998</v>
      </c>
      <c r="J202" s="27">
        <v>3.36423476</v>
      </c>
      <c r="K202" s="27">
        <v>2.4672769049999999</v>
      </c>
      <c r="L202" s="27"/>
      <c r="M202" s="42"/>
      <c r="R202" s="75">
        <v>2.4400000000000002E-2</v>
      </c>
      <c r="S202" s="74">
        <f t="shared" si="4"/>
        <v>0.26416759170122456</v>
      </c>
      <c r="T202" s="28">
        <v>7.1292772360061685</v>
      </c>
      <c r="U202" s="28">
        <v>6.5278919003588829</v>
      </c>
      <c r="V202" s="28">
        <v>6.1548771020559121</v>
      </c>
      <c r="W202" s="28">
        <v>5.6368495627287167</v>
      </c>
      <c r="X202" s="28">
        <v>5.1424278046539431</v>
      </c>
      <c r="Y202" s="28">
        <v>4.1461760915689565</v>
      </c>
      <c r="Z202" s="28">
        <v>3.230056564695841</v>
      </c>
      <c r="AA202" s="28">
        <v>2.405162133443016</v>
      </c>
      <c r="AB202" s="28">
        <v>0</v>
      </c>
    </row>
    <row r="203" spans="2:28">
      <c r="B203" s="49">
        <v>2.46E-2</v>
      </c>
      <c r="C203" s="40">
        <v>2148.63058</v>
      </c>
      <c r="D203" s="27">
        <v>7.5527061509999998</v>
      </c>
      <c r="E203" s="27">
        <v>6.9944980670000003</v>
      </c>
      <c r="F203" s="27">
        <v>6.6171214410000001</v>
      </c>
      <c r="G203" s="27">
        <v>6.0392181020000004</v>
      </c>
      <c r="H203" s="27">
        <v>5.4556632690000004</v>
      </c>
      <c r="I203" s="27">
        <v>4.3531112480000003</v>
      </c>
      <c r="J203" s="27">
        <v>3.364957821</v>
      </c>
      <c r="K203" s="27">
        <v>2.478437258</v>
      </c>
      <c r="L203" s="27"/>
      <c r="M203" s="42"/>
      <c r="R203" s="75">
        <v>2.46E-2</v>
      </c>
      <c r="S203" s="74">
        <f t="shared" si="4"/>
        <v>0.23978353616446435</v>
      </c>
      <c r="T203" s="28">
        <v>7.0585309254969708</v>
      </c>
      <c r="U203" s="28">
        <v>6.4696905682081667</v>
      </c>
      <c r="V203" s="28">
        <v>6.1024888561829922</v>
      </c>
      <c r="W203" s="28">
        <v>5.5930970228573829</v>
      </c>
      <c r="X203" s="28">
        <v>5.1080577948180519</v>
      </c>
      <c r="Y203" s="28">
        <v>4.1294051870336954</v>
      </c>
      <c r="Z203" s="28">
        <v>3.2285466582651936</v>
      </c>
      <c r="AA203" s="28">
        <v>2.4149806526420829</v>
      </c>
      <c r="AB203" s="28">
        <v>0</v>
      </c>
    </row>
    <row r="204" spans="2:28">
      <c r="B204" s="49">
        <v>2.4799999999999999E-2</v>
      </c>
      <c r="C204" s="40">
        <v>1954.384818</v>
      </c>
      <c r="D204" s="27">
        <v>7.4897165299999999</v>
      </c>
      <c r="E204" s="27">
        <v>6.9433594960000002</v>
      </c>
      <c r="F204" s="27">
        <v>6.5682406799999997</v>
      </c>
      <c r="G204" s="27">
        <v>5.999133939</v>
      </c>
      <c r="H204" s="27">
        <v>5.421852286</v>
      </c>
      <c r="I204" s="27">
        <v>4.3393696950000002</v>
      </c>
      <c r="J204" s="27">
        <v>3.3643563310000002</v>
      </c>
      <c r="K204" s="27">
        <v>2.488561899</v>
      </c>
      <c r="L204" s="27"/>
      <c r="M204" s="42"/>
      <c r="R204" s="75">
        <v>2.4799999999999999E-2</v>
      </c>
      <c r="S204" s="74">
        <f t="shared" si="4"/>
        <v>0.21810603788678418</v>
      </c>
      <c r="T204" s="28">
        <v>6.9839014745527548</v>
      </c>
      <c r="U204" s="28">
        <v>6.4081792947805534</v>
      </c>
      <c r="V204" s="28">
        <v>6.0470500044427213</v>
      </c>
      <c r="W204" s="28">
        <v>5.5465847138465341</v>
      </c>
      <c r="X204" s="28">
        <v>5.0711572636218509</v>
      </c>
      <c r="Y204" s="28">
        <v>4.1104901508861493</v>
      </c>
      <c r="Z204" s="28">
        <v>3.2252516518298915</v>
      </c>
      <c r="AA204" s="28">
        <v>2.42340283646912</v>
      </c>
      <c r="AB204" s="28">
        <v>0</v>
      </c>
    </row>
    <row r="205" spans="2:28">
      <c r="B205" s="49">
        <v>2.5000000000000001E-2</v>
      </c>
      <c r="C205" s="40">
        <v>1768.184827</v>
      </c>
      <c r="D205" s="27">
        <v>7.4243817810000001</v>
      </c>
      <c r="E205" s="27">
        <v>6.8909048039999998</v>
      </c>
      <c r="F205" s="27">
        <v>6.5166470419999998</v>
      </c>
      <c r="G205" s="27">
        <v>5.9550538959999999</v>
      </c>
      <c r="H205" s="27">
        <v>5.3843154069999999</v>
      </c>
      <c r="I205" s="27">
        <v>4.3230875219999998</v>
      </c>
      <c r="J205" s="27">
        <v>3.3622919160000002</v>
      </c>
      <c r="K205" s="27">
        <v>2.4980758060000001</v>
      </c>
      <c r="L205" s="27"/>
      <c r="M205" s="42"/>
      <c r="R205" s="75">
        <v>2.5000000000000001E-2</v>
      </c>
      <c r="S205" s="74">
        <f t="shared" si="4"/>
        <v>0.19732643403521308</v>
      </c>
      <c r="T205" s="28">
        <v>6.9054753038026142</v>
      </c>
      <c r="U205" s="28">
        <v>6.3433002267460816</v>
      </c>
      <c r="V205" s="28">
        <v>5.9884677738258487</v>
      </c>
      <c r="W205" s="28">
        <v>5.4972102790616351</v>
      </c>
      <c r="X205" s="28">
        <v>5.0316400071332694</v>
      </c>
      <c r="Y205" s="28">
        <v>4.0893993952675398</v>
      </c>
      <c r="Z205" s="28">
        <v>3.2201736207265781</v>
      </c>
      <c r="AA205" s="28">
        <v>2.4304322396500493</v>
      </c>
      <c r="AB205" s="28">
        <v>0</v>
      </c>
    </row>
    <row r="206" spans="2:28">
      <c r="B206" s="49">
        <v>2.52E-2</v>
      </c>
      <c r="C206" s="40">
        <v>1730.5</v>
      </c>
      <c r="D206" s="27">
        <v>7.3571105450000003</v>
      </c>
      <c r="E206" s="27">
        <v>6.8375152310000002</v>
      </c>
      <c r="F206" s="27">
        <v>6.4633183949999999</v>
      </c>
      <c r="G206" s="27">
        <v>5.909017575</v>
      </c>
      <c r="H206" s="27">
        <v>5.3449574689999997</v>
      </c>
      <c r="I206" s="27">
        <v>4.3040459289999999</v>
      </c>
      <c r="J206" s="27">
        <v>3.3581442880000001</v>
      </c>
      <c r="K206" s="27">
        <v>2.5073833630000002</v>
      </c>
      <c r="L206" s="27"/>
      <c r="M206" s="42"/>
      <c r="R206" s="75">
        <v>2.52E-2</v>
      </c>
      <c r="S206" s="74">
        <f t="shared" si="4"/>
        <v>0.19312087112369292</v>
      </c>
      <c r="T206" s="28">
        <v>6.8233901279375555</v>
      </c>
      <c r="U206" s="28">
        <v>6.275086310493446</v>
      </c>
      <c r="V206" s="28">
        <v>5.9267341059494605</v>
      </c>
      <c r="W206" s="28">
        <v>5.4449459798871986</v>
      </c>
      <c r="X206" s="28">
        <v>4.9894727638108876</v>
      </c>
      <c r="Y206" s="28">
        <v>4.0661135974064058</v>
      </c>
      <c r="Z206" s="28">
        <v>3.2133051018902798</v>
      </c>
      <c r="AA206" s="28">
        <v>2.4360656412407193</v>
      </c>
      <c r="AB206" s="28">
        <v>0</v>
      </c>
    </row>
    <row r="207" spans="2:28">
      <c r="B207" s="49">
        <v>2.5399999999999999E-2</v>
      </c>
      <c r="C207" s="40">
        <v>1669.871864</v>
      </c>
      <c r="D207" s="27">
        <v>7.2887471860000002</v>
      </c>
      <c r="E207" s="27">
        <v>6.783037749</v>
      </c>
      <c r="F207" s="27">
        <v>6.4081579719999997</v>
      </c>
      <c r="G207" s="27">
        <v>5.8622698709999996</v>
      </c>
      <c r="H207" s="27">
        <v>5.3049737400000003</v>
      </c>
      <c r="I207" s="27">
        <v>4.2831257909999998</v>
      </c>
      <c r="J207" s="27">
        <v>3.351978957</v>
      </c>
      <c r="K207" s="27">
        <v>2.5154836459999999</v>
      </c>
      <c r="L207" s="27"/>
      <c r="M207" s="42"/>
      <c r="R207" s="75">
        <v>2.5399999999999999E-2</v>
      </c>
      <c r="S207" s="74">
        <f t="shared" si="4"/>
        <v>0.18635487375939025</v>
      </c>
      <c r="T207" s="28">
        <v>6.7401319432599545</v>
      </c>
      <c r="U207" s="28">
        <v>6.2050052400048781</v>
      </c>
      <c r="V207" s="28">
        <v>5.8629114750426501</v>
      </c>
      <c r="W207" s="28">
        <v>5.3904248302466122</v>
      </c>
      <c r="X207" s="28">
        <v>4.9449953239379694</v>
      </c>
      <c r="Y207" s="28">
        <v>4.0406765654543504</v>
      </c>
      <c r="Z207" s="28">
        <v>3.2046212724027781</v>
      </c>
      <c r="AA207" s="28">
        <v>2.4402802307279781</v>
      </c>
      <c r="AB207" s="28">
        <v>0</v>
      </c>
    </row>
    <row r="208" spans="2:28">
      <c r="B208" s="49">
        <v>2.5600000000000001E-2</v>
      </c>
      <c r="C208" s="40">
        <v>1511.1</v>
      </c>
      <c r="D208" s="27">
        <v>7.2203999999999997</v>
      </c>
      <c r="E208" s="27">
        <v>6.7267000000000001</v>
      </c>
      <c r="F208" s="27">
        <v>6.3509000000000002</v>
      </c>
      <c r="G208" s="27">
        <v>5.8151999999999999</v>
      </c>
      <c r="H208" s="27">
        <v>5.2655000000000003</v>
      </c>
      <c r="I208" s="27">
        <v>4.2606999999999999</v>
      </c>
      <c r="J208" s="27">
        <v>3.3435999999999999</v>
      </c>
      <c r="K208" s="27">
        <v>2.5217999999999998</v>
      </c>
      <c r="L208" s="27"/>
      <c r="M208" s="42"/>
      <c r="R208" s="75">
        <v>2.5600000000000001E-2</v>
      </c>
      <c r="S208" s="74">
        <f t="shared" ref="S208:S271" si="5">C208/$I$39</f>
        <v>0.16863620245883407</v>
      </c>
      <c r="T208" s="28">
        <v>6.6558683442568904</v>
      </c>
      <c r="U208" s="28">
        <v>6.1333874599172029</v>
      </c>
      <c r="V208" s="28">
        <v>5.7973689078952919</v>
      </c>
      <c r="W208" s="28">
        <v>5.3339874086450694</v>
      </c>
      <c r="X208" s="28">
        <v>4.8984831383436438</v>
      </c>
      <c r="Y208" s="28">
        <v>4.0132099577649925</v>
      </c>
      <c r="Z208" s="28">
        <v>3.1941433827928334</v>
      </c>
      <c r="AA208" s="28">
        <v>2.4430547722532343</v>
      </c>
      <c r="AB208" s="28">
        <v>0</v>
      </c>
    </row>
    <row r="209" spans="2:28">
      <c r="B209" s="49">
        <v>2.58E-2</v>
      </c>
      <c r="C209" s="40">
        <v>1388.4906209999999</v>
      </c>
      <c r="D209" s="27">
        <v>7.1510749709999999</v>
      </c>
      <c r="E209" s="27">
        <v>6.6678378660000002</v>
      </c>
      <c r="F209" s="27">
        <v>6.2920237400000003</v>
      </c>
      <c r="G209" s="27">
        <v>5.767830129</v>
      </c>
      <c r="H209" s="27">
        <v>5.2255716879999996</v>
      </c>
      <c r="I209" s="27">
        <v>4.2363700470000003</v>
      </c>
      <c r="J209" s="27">
        <v>3.33371993</v>
      </c>
      <c r="K209" s="27">
        <v>2.5259121919999998</v>
      </c>
      <c r="L209" s="27"/>
      <c r="M209" s="42"/>
      <c r="R209" s="75">
        <v>2.58E-2</v>
      </c>
      <c r="S209" s="74">
        <f t="shared" si="5"/>
        <v>0.15495320327916631</v>
      </c>
      <c r="T209" s="28">
        <v>6.5691940174628973</v>
      </c>
      <c r="U209" s="28">
        <v>6.0595267109231461</v>
      </c>
      <c r="V209" s="28">
        <v>5.7296676857701208</v>
      </c>
      <c r="W209" s="28">
        <v>5.2754549002590645</v>
      </c>
      <c r="X209" s="28">
        <v>4.8499120768053059</v>
      </c>
      <c r="Y209" s="28">
        <v>3.9837946799700283</v>
      </c>
      <c r="Z209" s="28">
        <v>3.1819227804714325</v>
      </c>
      <c r="AA209" s="28">
        <v>2.4443938122760795</v>
      </c>
      <c r="AB209" s="28">
        <v>0</v>
      </c>
    </row>
    <row r="210" spans="2:28">
      <c r="B210" s="49">
        <v>2.5999999999999999E-2</v>
      </c>
      <c r="C210" s="40">
        <v>1217.090627</v>
      </c>
      <c r="D210" s="27">
        <v>7.0793420039999999</v>
      </c>
      <c r="E210" s="27">
        <v>6.6069776219999996</v>
      </c>
      <c r="F210" s="27">
        <v>6.2317839480000004</v>
      </c>
      <c r="G210" s="27">
        <v>5.7206353840000004</v>
      </c>
      <c r="H210" s="27">
        <v>5.1837077330000003</v>
      </c>
      <c r="I210" s="27">
        <v>4.2098188639999998</v>
      </c>
      <c r="J210" s="27">
        <v>3.322558055</v>
      </c>
      <c r="K210" s="27">
        <v>2.528415817</v>
      </c>
      <c r="L210" s="27"/>
      <c r="M210" s="42"/>
      <c r="R210" s="75">
        <v>2.5999999999999999E-2</v>
      </c>
      <c r="S210" s="74">
        <f t="shared" si="5"/>
        <v>0.13582525404375706</v>
      </c>
      <c r="T210" s="28">
        <v>6.4804922656337309</v>
      </c>
      <c r="U210" s="28">
        <v>5.9835985444297091</v>
      </c>
      <c r="V210" s="28">
        <v>5.6599131849958635</v>
      </c>
      <c r="W210" s="28">
        <v>5.2148837887660076</v>
      </c>
      <c r="X210" s="28">
        <v>4.7993187367307062</v>
      </c>
      <c r="Y210" s="28">
        <v>3.952463701669902</v>
      </c>
      <c r="Z210" s="28">
        <v>3.1679868939709652</v>
      </c>
      <c r="AA210" s="28">
        <v>2.4443075581284059</v>
      </c>
      <c r="AB210" s="28">
        <v>0</v>
      </c>
    </row>
    <row r="211" spans="2:28">
      <c r="B211" s="49">
        <v>2.6200000000000001E-2</v>
      </c>
      <c r="C211" s="40">
        <v>1070.83638</v>
      </c>
      <c r="D211" s="27">
        <v>7.0053548919999997</v>
      </c>
      <c r="E211" s="27">
        <v>6.5447163440000002</v>
      </c>
      <c r="F211" s="27">
        <v>6.1702256589999998</v>
      </c>
      <c r="G211" s="27">
        <v>5.6715809019999996</v>
      </c>
      <c r="H211" s="27">
        <v>5.1390398949999998</v>
      </c>
      <c r="I211" s="27">
        <v>4.181975864</v>
      </c>
      <c r="J211" s="27">
        <v>3.310335442</v>
      </c>
      <c r="K211" s="27">
        <v>2.5297608669999998</v>
      </c>
      <c r="L211" s="27"/>
      <c r="M211" s="42"/>
      <c r="R211" s="75">
        <v>2.6200000000000001E-2</v>
      </c>
      <c r="S211" s="74">
        <f t="shared" si="5"/>
        <v>0.11950352761429751</v>
      </c>
      <c r="T211" s="28">
        <v>6.3890755189209205</v>
      </c>
      <c r="U211" s="28">
        <v>5.9052019033525784</v>
      </c>
      <c r="V211" s="28">
        <v>5.587806511198524</v>
      </c>
      <c r="W211" s="28">
        <v>5.1521122640993333</v>
      </c>
      <c r="X211" s="28">
        <v>4.7466343263297359</v>
      </c>
      <c r="Y211" s="28">
        <v>3.9192429363691152</v>
      </c>
      <c r="Z211" s="28">
        <v>3.1523657954454056</v>
      </c>
      <c r="AA211" s="28">
        <v>2.4428093391883219</v>
      </c>
      <c r="AB211" s="28">
        <v>0</v>
      </c>
    </row>
    <row r="212" spans="2:28">
      <c r="B212" s="49">
        <v>2.64E-2</v>
      </c>
      <c r="C212" s="40">
        <v>939.8535756</v>
      </c>
      <c r="D212" s="27">
        <v>6.9285076200000004</v>
      </c>
      <c r="E212" s="27">
        <v>6.481089742</v>
      </c>
      <c r="F212" s="27">
        <v>6.1077148299999999</v>
      </c>
      <c r="G212" s="27">
        <v>5.6192779020000003</v>
      </c>
      <c r="H212" s="27">
        <v>5.0916719810000002</v>
      </c>
      <c r="I212" s="27">
        <v>4.1529043960000003</v>
      </c>
      <c r="J212" s="27">
        <v>3.2971553930000002</v>
      </c>
      <c r="K212" s="27">
        <v>2.5296186989999998</v>
      </c>
      <c r="L212" s="27"/>
      <c r="M212" s="42"/>
      <c r="R212" s="75">
        <v>2.64E-2</v>
      </c>
      <c r="S212" s="74">
        <f t="shared" si="5"/>
        <v>0.10488606833203673</v>
      </c>
      <c r="T212" s="28">
        <v>6.2952170195136246</v>
      </c>
      <c r="U212" s="28">
        <v>5.8244449019545144</v>
      </c>
      <c r="V212" s="28">
        <v>5.5134012783402238</v>
      </c>
      <c r="W212" s="28">
        <v>5.0871532461717406</v>
      </c>
      <c r="X212" s="28">
        <v>4.6918565820636067</v>
      </c>
      <c r="Y212" s="28">
        <v>3.8841363013913055</v>
      </c>
      <c r="Z212" s="28">
        <v>3.1350742622251846</v>
      </c>
      <c r="AA212" s="28">
        <v>2.4399104587017901</v>
      </c>
      <c r="AB212" s="28">
        <v>0</v>
      </c>
    </row>
    <row r="213" spans="2:28">
      <c r="B213" s="49">
        <v>2.6599999999999999E-2</v>
      </c>
      <c r="C213" s="40">
        <v>734.21652019999999</v>
      </c>
      <c r="D213" s="27">
        <v>6.8489168720000002</v>
      </c>
      <c r="E213" s="27">
        <v>6.4156156409999996</v>
      </c>
      <c r="F213" s="27">
        <v>6.0442485059999997</v>
      </c>
      <c r="G213" s="27">
        <v>5.5633189810000001</v>
      </c>
      <c r="H213" s="27">
        <v>5.0415878730000001</v>
      </c>
      <c r="I213" s="27">
        <v>4.1217961340000002</v>
      </c>
      <c r="J213" s="27">
        <v>3.2821558880000001</v>
      </c>
      <c r="K213" s="27">
        <v>2.5280249559999999</v>
      </c>
      <c r="L213" s="27"/>
      <c r="M213" s="42"/>
      <c r="R213" s="75">
        <v>2.6599999999999999E-2</v>
      </c>
      <c r="S213" s="74">
        <f t="shared" si="5"/>
        <v>8.1937320990713935E-2</v>
      </c>
      <c r="T213" s="28">
        <v>6.199141102855255</v>
      </c>
      <c r="U213" s="28">
        <v>5.7414774061101737</v>
      </c>
      <c r="V213" s="28">
        <v>5.4368289527188605</v>
      </c>
      <c r="W213" s="28">
        <v>5.0200931808335234</v>
      </c>
      <c r="X213" s="28">
        <v>4.6350402536138038</v>
      </c>
      <c r="Y213" s="28">
        <v>3.8471624037152972</v>
      </c>
      <c r="Z213" s="28">
        <v>3.1161256591218391</v>
      </c>
      <c r="AA213" s="28">
        <v>2.4356165259707288</v>
      </c>
      <c r="AB213" s="28">
        <v>0</v>
      </c>
    </row>
    <row r="214" spans="2:28">
      <c r="B214" s="49">
        <v>2.6800000000000001E-2</v>
      </c>
      <c r="C214" s="40">
        <v>606.27098479999995</v>
      </c>
      <c r="D214" s="27">
        <v>6.7668631890000004</v>
      </c>
      <c r="E214" s="27">
        <v>6.3472049239999997</v>
      </c>
      <c r="F214" s="27">
        <v>5.9786888039999999</v>
      </c>
      <c r="G214" s="27">
        <v>5.5042596719999999</v>
      </c>
      <c r="H214" s="27">
        <v>4.989383353</v>
      </c>
      <c r="I214" s="27">
        <v>4.0894394490000003</v>
      </c>
      <c r="J214" s="27">
        <v>3.264884291</v>
      </c>
      <c r="K214" s="27">
        <v>2.525200586</v>
      </c>
      <c r="L214" s="27"/>
      <c r="M214" s="42"/>
      <c r="R214" s="75">
        <v>2.6800000000000001E-2</v>
      </c>
      <c r="S214" s="74">
        <f t="shared" si="5"/>
        <v>6.7658815788266491E-2</v>
      </c>
      <c r="T214" s="28">
        <v>6.0996904630237188</v>
      </c>
      <c r="U214" s="28">
        <v>5.6556397985058133</v>
      </c>
      <c r="V214" s="28">
        <v>5.357628073874384</v>
      </c>
      <c r="W214" s="28">
        <v>4.9506729031802017</v>
      </c>
      <c r="X214" s="28">
        <v>4.5760602442680742</v>
      </c>
      <c r="Y214" s="28">
        <v>3.8083247200671857</v>
      </c>
      <c r="Z214" s="28">
        <v>3.0955459321826995</v>
      </c>
      <c r="AA214" s="28">
        <v>2.4299413519312778</v>
      </c>
      <c r="AB214" s="28">
        <v>0</v>
      </c>
    </row>
    <row r="215" spans="2:28">
      <c r="B215" s="49">
        <v>2.7E-2</v>
      </c>
      <c r="C215" s="40">
        <v>491.98014060000003</v>
      </c>
      <c r="D215" s="27">
        <v>6.6820978909999997</v>
      </c>
      <c r="E215" s="27">
        <v>6.275252665</v>
      </c>
      <c r="F215" s="27">
        <v>5.9096372580000001</v>
      </c>
      <c r="G215" s="27">
        <v>5.4419195660000002</v>
      </c>
      <c r="H215" s="27">
        <v>4.9358897480000001</v>
      </c>
      <c r="I215" s="27">
        <v>4.0568471590000001</v>
      </c>
      <c r="J215" s="27">
        <v>3.2452222609999999</v>
      </c>
      <c r="K215" s="27">
        <v>2.5212462210000002</v>
      </c>
      <c r="L215" s="27"/>
      <c r="M215" s="42"/>
      <c r="R215" s="75">
        <v>2.7E-2</v>
      </c>
      <c r="S215" s="74">
        <f t="shared" si="5"/>
        <v>5.4904151013134311E-2</v>
      </c>
      <c r="T215" s="28">
        <v>5.9979198805845559</v>
      </c>
      <c r="U215" s="28">
        <v>5.5674722286192315</v>
      </c>
      <c r="V215" s="28">
        <v>5.2761509306604824</v>
      </c>
      <c r="W215" s="28">
        <v>4.8790637859769355</v>
      </c>
      <c r="X215" s="28">
        <v>4.5149828154038625</v>
      </c>
      <c r="Y215" s="28">
        <v>3.7676156529298108</v>
      </c>
      <c r="Z215" s="28">
        <v>3.0733334194925073</v>
      </c>
      <c r="AA215" s="28">
        <v>2.4228915053847069</v>
      </c>
      <c r="AB215" s="28">
        <v>0</v>
      </c>
    </row>
    <row r="216" spans="2:28">
      <c r="B216" s="49">
        <v>2.7199999999999998E-2</v>
      </c>
      <c r="C216" s="40">
        <v>368.63391919999998</v>
      </c>
      <c r="D216" s="27">
        <v>6.5946930869999996</v>
      </c>
      <c r="E216" s="27">
        <v>6.2003048039999999</v>
      </c>
      <c r="F216" s="27">
        <v>5.8361422379999999</v>
      </c>
      <c r="G216" s="27">
        <v>5.3768791450000002</v>
      </c>
      <c r="H216" s="27">
        <v>4.8819284119999997</v>
      </c>
      <c r="I216" s="27">
        <v>4.0232396599999998</v>
      </c>
      <c r="J216" s="27">
        <v>3.224226362</v>
      </c>
      <c r="K216" s="27">
        <v>2.5158004100000002</v>
      </c>
      <c r="L216" s="27"/>
      <c r="M216" s="42"/>
      <c r="R216" s="75">
        <v>2.7199999999999998E-2</v>
      </c>
      <c r="S216" s="74">
        <f t="shared" si="5"/>
        <v>4.1138921468734484E-2</v>
      </c>
      <c r="T216" s="28">
        <v>5.8942716547952285</v>
      </c>
      <c r="U216" s="28">
        <v>5.4772916635337383</v>
      </c>
      <c r="V216" s="28">
        <v>5.1926519201832759</v>
      </c>
      <c r="W216" s="28">
        <v>4.8054465858022715</v>
      </c>
      <c r="X216" s="28">
        <v>4.4519275820772197</v>
      </c>
      <c r="Y216" s="28">
        <v>3.7250756203761388</v>
      </c>
      <c r="Z216" s="28">
        <v>3.049495440818216</v>
      </c>
      <c r="AA216" s="28">
        <v>2.414466215309842</v>
      </c>
      <c r="AB216" s="28">
        <v>0</v>
      </c>
    </row>
    <row r="217" spans="2:28">
      <c r="B217" s="49">
        <v>2.7400000000000001E-2</v>
      </c>
      <c r="C217" s="40">
        <v>239.17790149999999</v>
      </c>
      <c r="D217" s="27">
        <v>6.5042876319999996</v>
      </c>
      <c r="E217" s="27">
        <v>6.1225487689999998</v>
      </c>
      <c r="F217" s="27">
        <v>5.7590581480000003</v>
      </c>
      <c r="G217" s="27">
        <v>5.310053634</v>
      </c>
      <c r="H217" s="27">
        <v>4.8264944310000004</v>
      </c>
      <c r="I217" s="27">
        <v>3.988010375</v>
      </c>
      <c r="J217" s="27">
        <v>3.2021543380000002</v>
      </c>
      <c r="K217" s="27">
        <v>2.508690504</v>
      </c>
      <c r="L217" s="27"/>
      <c r="M217" s="42"/>
      <c r="R217" s="75">
        <v>2.7400000000000001E-2</v>
      </c>
      <c r="S217" s="74">
        <f t="shared" si="5"/>
        <v>2.6691848998102754E-2</v>
      </c>
      <c r="T217" s="28">
        <v>5.7887725158600398</v>
      </c>
      <c r="U217" s="28">
        <v>5.3851769686117308</v>
      </c>
      <c r="V217" s="28">
        <v>5.107219535913881</v>
      </c>
      <c r="W217" s="28">
        <v>4.7299130904190321</v>
      </c>
      <c r="X217" s="28">
        <v>4.3869772181659696</v>
      </c>
      <c r="Y217" s="28">
        <v>3.6807554600653214</v>
      </c>
      <c r="Z217" s="28">
        <v>3.0240523166676296</v>
      </c>
      <c r="AA217" s="28">
        <v>2.4046687647354057</v>
      </c>
      <c r="AB217" s="28">
        <v>0</v>
      </c>
    </row>
    <row r="218" spans="2:28">
      <c r="B218" s="49">
        <v>2.76E-2</v>
      </c>
      <c r="C218" s="40">
        <v>72.371880489999995</v>
      </c>
      <c r="D218" s="27">
        <v>6.4118268890000003</v>
      </c>
      <c r="E218" s="27">
        <v>6.0429337429999999</v>
      </c>
      <c r="F218" s="27">
        <v>5.6792462209999997</v>
      </c>
      <c r="G218" s="27">
        <v>5.2419499119999999</v>
      </c>
      <c r="H218" s="27">
        <v>4.7686159930000001</v>
      </c>
      <c r="I218" s="27">
        <v>3.9510982430000001</v>
      </c>
      <c r="J218" s="27">
        <v>3.1798427070000002</v>
      </c>
      <c r="K218" s="27">
        <v>2.5008121270000001</v>
      </c>
      <c r="L218" s="27"/>
      <c r="M218" s="42"/>
      <c r="R218" s="75">
        <v>2.76E-2</v>
      </c>
      <c r="S218" s="74">
        <f t="shared" si="5"/>
        <v>8.0765793730647756E-3</v>
      </c>
      <c r="T218" s="28">
        <v>5.6813601022080444</v>
      </c>
      <c r="U218" s="28">
        <v>5.2911344219914254</v>
      </c>
      <c r="V218" s="28">
        <v>5.0198888906915746</v>
      </c>
      <c r="W218" s="28">
        <v>4.6525132424910529</v>
      </c>
      <c r="X218" s="28">
        <v>4.3201861468430289</v>
      </c>
      <c r="Y218" s="28">
        <v>3.6346980613241668</v>
      </c>
      <c r="Z218" s="28">
        <v>2.9970297382986026</v>
      </c>
      <c r="AA218" s="28">
        <v>2.3935073109725971</v>
      </c>
      <c r="AB218" s="28">
        <v>0</v>
      </c>
    </row>
    <row r="219" spans="2:28">
      <c r="B219" s="49">
        <v>2.7799999999999998E-2</v>
      </c>
      <c r="C219" s="40">
        <v>-40.691974219999999</v>
      </c>
      <c r="D219" s="27">
        <v>6.3171953719999996</v>
      </c>
      <c r="E219" s="27">
        <v>5.96234792</v>
      </c>
      <c r="F219" s="27">
        <v>5.5977465139999998</v>
      </c>
      <c r="G219" s="27">
        <v>5.1719838899999999</v>
      </c>
      <c r="H219" s="27">
        <v>4.7073951379999999</v>
      </c>
      <c r="I219" s="27">
        <v>3.9114684830000002</v>
      </c>
      <c r="J219" s="27">
        <v>3.1566909779999999</v>
      </c>
      <c r="K219" s="27">
        <v>2.4926668420000002</v>
      </c>
      <c r="L219" s="27"/>
      <c r="M219" s="42"/>
      <c r="R219" s="75">
        <v>2.7799999999999998E-2</v>
      </c>
      <c r="S219" s="74">
        <f t="shared" si="5"/>
        <v>-4.5411554516667169E-3</v>
      </c>
      <c r="T219" s="28">
        <v>5.5714608444896285</v>
      </c>
      <c r="U219" s="28">
        <v>5.1948405472101831</v>
      </c>
      <c r="V219" s="28">
        <v>4.930433158914223</v>
      </c>
      <c r="W219" s="28">
        <v>4.5731290769985016</v>
      </c>
      <c r="X219" s="28">
        <v>4.2515097554523722</v>
      </c>
      <c r="Y219" s="28">
        <v>3.5869284756921336</v>
      </c>
      <c r="Z219" s="28">
        <v>2.9684571554713157</v>
      </c>
      <c r="AA219" s="28">
        <v>2.3809970626203194</v>
      </c>
      <c r="AB219" s="28">
        <v>0</v>
      </c>
    </row>
    <row r="220" spans="2:28">
      <c r="B220" s="49">
        <v>2.8000000000000001E-2</v>
      </c>
      <c r="C220" s="40">
        <v>-73.099999999999994</v>
      </c>
      <c r="D220" s="27">
        <v>6.2205910370000002</v>
      </c>
      <c r="E220" s="27">
        <v>5.8809432340000001</v>
      </c>
      <c r="F220" s="27">
        <v>5.5154059169999998</v>
      </c>
      <c r="G220" s="27">
        <v>5.0990882839999996</v>
      </c>
      <c r="H220" s="27">
        <v>4.6430584069999998</v>
      </c>
      <c r="I220" s="27">
        <v>3.8689431170000002</v>
      </c>
      <c r="J220" s="27">
        <v>3.1313770939999999</v>
      </c>
      <c r="K220" s="27">
        <v>2.4833421210000002</v>
      </c>
      <c r="L220" s="27"/>
      <c r="M220" s="42"/>
      <c r="R220" s="75">
        <v>2.8000000000000001E-2</v>
      </c>
      <c r="S220" s="74">
        <f t="shared" si="5"/>
        <v>-8.1578362780363768E-3</v>
      </c>
      <c r="T220" s="28">
        <v>5.4598725452047479</v>
      </c>
      <c r="U220" s="28">
        <v>5.0967294052618684</v>
      </c>
      <c r="V220" s="28">
        <v>4.8391470209190599</v>
      </c>
      <c r="W220" s="28">
        <v>4.4919254340290822</v>
      </c>
      <c r="X220" s="28">
        <v>4.181034128684761</v>
      </c>
      <c r="Y220" s="28">
        <v>3.5374686503195143</v>
      </c>
      <c r="Z220" s="28">
        <v>2.9383468264100649</v>
      </c>
      <c r="AA220" s="28">
        <v>2.3671484378330958</v>
      </c>
      <c r="AB220" s="28">
        <v>0</v>
      </c>
    </row>
    <row r="221" spans="2:28">
      <c r="B221" s="49">
        <v>2.8199999999999999E-2</v>
      </c>
      <c r="C221" s="40">
        <v>-90.229466900000006</v>
      </c>
      <c r="D221" s="27">
        <v>6.122946046</v>
      </c>
      <c r="E221" s="27">
        <v>5.797240832</v>
      </c>
      <c r="F221" s="27">
        <v>5.4329923259999999</v>
      </c>
      <c r="G221" s="27">
        <v>5.0238920330000001</v>
      </c>
      <c r="H221" s="27">
        <v>4.5765089049999998</v>
      </c>
      <c r="I221" s="27">
        <v>3.824584593</v>
      </c>
      <c r="J221" s="27">
        <v>3.104358934</v>
      </c>
      <c r="K221" s="27">
        <v>2.4728441710000002</v>
      </c>
      <c r="L221" s="27"/>
      <c r="M221" s="42"/>
      <c r="R221" s="75">
        <v>2.8199999999999999E-2</v>
      </c>
      <c r="S221" s="74">
        <f t="shared" si="5"/>
        <v>-1.0069455792403592E-2</v>
      </c>
      <c r="T221" s="28">
        <v>5.3480880117454221</v>
      </c>
      <c r="U221" s="28">
        <v>4.9977500559726478</v>
      </c>
      <c r="V221" s="28">
        <v>4.7467547520923787</v>
      </c>
      <c r="W221" s="28">
        <v>4.4093735973213306</v>
      </c>
      <c r="X221" s="28">
        <v>4.1090470606499814</v>
      </c>
      <c r="Y221" s="28">
        <v>3.4863979140314996</v>
      </c>
      <c r="Z221" s="28">
        <v>2.9067105666252533</v>
      </c>
      <c r="AA221" s="28">
        <v>2.3519599372927358</v>
      </c>
      <c r="AB221" s="28">
        <v>0</v>
      </c>
    </row>
    <row r="222" spans="2:28">
      <c r="B222" s="49">
        <v>2.8400000000000002E-2</v>
      </c>
      <c r="C222" s="40">
        <v>-166.02321219999999</v>
      </c>
      <c r="D222" s="27">
        <v>6.0236281360000001</v>
      </c>
      <c r="E222" s="27">
        <v>5.7111964830000002</v>
      </c>
      <c r="F222" s="27">
        <v>5.348787046</v>
      </c>
      <c r="G222" s="27">
        <v>4.9473899179999998</v>
      </c>
      <c r="H222" s="27">
        <v>4.5078896830000001</v>
      </c>
      <c r="I222" s="27">
        <v>3.7784702229999998</v>
      </c>
      <c r="J222" s="27">
        <v>3.07495721</v>
      </c>
      <c r="K222" s="27">
        <v>2.4614535169999998</v>
      </c>
      <c r="L222" s="27"/>
      <c r="M222" s="42"/>
      <c r="R222" s="75">
        <v>2.8400000000000002E-2</v>
      </c>
      <c r="S222" s="74">
        <f t="shared" si="5"/>
        <v>-1.8527909486748175E-2</v>
      </c>
      <c r="T222" s="28">
        <v>5.2367449120189447</v>
      </c>
      <c r="U222" s="28">
        <v>4.8984550661754653</v>
      </c>
      <c r="V222" s="28">
        <v>4.6537518375919733</v>
      </c>
      <c r="W222" s="28">
        <v>4.3258704822581819</v>
      </c>
      <c r="X222" s="28">
        <v>4.0358465326009476</v>
      </c>
      <c r="Y222" s="28">
        <v>3.4338490198336817</v>
      </c>
      <c r="Z222" s="28">
        <v>2.8735868036117327</v>
      </c>
      <c r="AA222" s="28">
        <v>2.3354313075056075</v>
      </c>
      <c r="AB222" s="28">
        <v>0</v>
      </c>
    </row>
    <row r="223" spans="2:28">
      <c r="B223" s="49">
        <v>2.86E-2</v>
      </c>
      <c r="C223" s="40">
        <v>-251.3752197</v>
      </c>
      <c r="D223" s="27">
        <v>5.9222068539999997</v>
      </c>
      <c r="E223" s="27">
        <v>5.6224358519999997</v>
      </c>
      <c r="F223" s="27">
        <v>5.2623079089999996</v>
      </c>
      <c r="G223" s="27">
        <v>4.8698070299999996</v>
      </c>
      <c r="H223" s="27">
        <v>4.4379231990000001</v>
      </c>
      <c r="I223" s="27">
        <v>3.7306043940000002</v>
      </c>
      <c r="J223" s="27">
        <v>3.0435571179999998</v>
      </c>
      <c r="K223" s="27">
        <v>2.4476411250000001</v>
      </c>
      <c r="L223" s="27"/>
      <c r="M223" s="42"/>
      <c r="R223" s="75">
        <v>2.86E-2</v>
      </c>
      <c r="S223" s="74">
        <f t="shared" si="5"/>
        <v>-2.8053049065226057E-2</v>
      </c>
      <c r="T223" s="28">
        <v>5.1251279075537219</v>
      </c>
      <c r="U223" s="28">
        <v>4.7985727096486972</v>
      </c>
      <c r="V223" s="28">
        <v>4.5600285458349976</v>
      </c>
      <c r="W223" s="28">
        <v>4.2414485859056397</v>
      </c>
      <c r="X223" s="28">
        <v>3.9615370108869294</v>
      </c>
      <c r="Y223" s="28">
        <v>3.3799413393210127</v>
      </c>
      <c r="Z223" s="28">
        <v>2.8390410153464121</v>
      </c>
      <c r="AA223" s="28">
        <v>2.3175794122103772</v>
      </c>
      <c r="AB223" s="28">
        <v>0</v>
      </c>
    </row>
    <row r="224" spans="2:28">
      <c r="B224" s="49">
        <v>2.8799999999999999E-2</v>
      </c>
      <c r="C224" s="40">
        <v>-329.01786759999999</v>
      </c>
      <c r="D224" s="27">
        <v>5.8178881660000004</v>
      </c>
      <c r="E224" s="27">
        <v>5.5309865260000004</v>
      </c>
      <c r="F224" s="27">
        <v>5.1731362619999999</v>
      </c>
      <c r="G224" s="27">
        <v>4.7917847690000004</v>
      </c>
      <c r="H224" s="27">
        <v>4.3675588169999999</v>
      </c>
      <c r="I224" s="27">
        <v>3.6814561800000001</v>
      </c>
      <c r="J224" s="27">
        <v>3.0101792619999999</v>
      </c>
      <c r="K224" s="27">
        <v>2.4318520210000001</v>
      </c>
      <c r="L224" s="27"/>
      <c r="M224" s="42"/>
      <c r="R224" s="75">
        <v>2.8799999999999999E-2</v>
      </c>
      <c r="S224" s="74">
        <f t="shared" si="5"/>
        <v>-3.6717837160457588E-2</v>
      </c>
      <c r="T224" s="28">
        <v>5.013019955907497</v>
      </c>
      <c r="U224" s="28">
        <v>4.697996654499252</v>
      </c>
      <c r="V224" s="28">
        <v>4.4655238292456305</v>
      </c>
      <c r="W224" s="28">
        <v>4.1561069830256239</v>
      </c>
      <c r="X224" s="28">
        <v>3.8861600647445647</v>
      </c>
      <c r="Y224" s="28">
        <v>3.324751116337632</v>
      </c>
      <c r="Z224" s="28">
        <v>2.8031323845610125</v>
      </c>
      <c r="AA224" s="28">
        <v>2.2984322338527505</v>
      </c>
      <c r="AB224" s="28">
        <v>0</v>
      </c>
    </row>
    <row r="225" spans="2:28">
      <c r="B225" s="49">
        <v>2.9000000000000001E-2</v>
      </c>
      <c r="C225" s="40">
        <v>-341.2</v>
      </c>
      <c r="D225" s="27">
        <v>5.710756741</v>
      </c>
      <c r="E225" s="27">
        <v>5.4377212190000002</v>
      </c>
      <c r="F225" s="27">
        <v>5.0807822390000004</v>
      </c>
      <c r="G225" s="27">
        <v>4.7132311250000001</v>
      </c>
      <c r="H225" s="27">
        <v>4.296163365</v>
      </c>
      <c r="I225" s="27">
        <v>3.63134449</v>
      </c>
      <c r="J225" s="27">
        <v>2.975054396</v>
      </c>
      <c r="K225" s="27">
        <v>2.4146616060000001</v>
      </c>
      <c r="L225" s="27"/>
      <c r="M225" s="42"/>
      <c r="R225" s="75">
        <v>2.9000000000000001E-2</v>
      </c>
      <c r="S225" s="74">
        <f t="shared" si="5"/>
        <v>-3.8077342518002898E-2</v>
      </c>
      <c r="T225" s="28">
        <v>4.9005296482009344</v>
      </c>
      <c r="U225" s="28">
        <v>4.5967925835381109</v>
      </c>
      <c r="V225" s="28">
        <v>4.3702836637945719</v>
      </c>
      <c r="W225" s="28">
        <v>4.0698935420780407</v>
      </c>
      <c r="X225" s="28">
        <v>3.8097694226562422</v>
      </c>
      <c r="Y225" s="28">
        <v>3.2683406411454503</v>
      </c>
      <c r="Z225" s="28">
        <v>2.7659099473982804</v>
      </c>
      <c r="AA225" s="28">
        <v>2.2780183304539618</v>
      </c>
      <c r="AB225" s="28">
        <v>0</v>
      </c>
    </row>
    <row r="226" spans="2:28">
      <c r="B226" s="49">
        <v>2.92E-2</v>
      </c>
      <c r="C226" s="40">
        <v>-341.2</v>
      </c>
      <c r="D226" s="27">
        <v>5.6017079670000003</v>
      </c>
      <c r="E226" s="27">
        <v>5.3428046279999997</v>
      </c>
      <c r="F226" s="27">
        <v>4.9850734040000004</v>
      </c>
      <c r="G226" s="27">
        <v>4.6341793789999999</v>
      </c>
      <c r="H226" s="27">
        <v>4.223504277</v>
      </c>
      <c r="I226" s="27">
        <v>3.5794789690000002</v>
      </c>
      <c r="J226" s="27">
        <v>2.9390224370000002</v>
      </c>
      <c r="K226" s="27">
        <v>2.3962815470000001</v>
      </c>
      <c r="L226" s="27"/>
      <c r="M226" s="42"/>
      <c r="R226" s="75">
        <v>2.92E-2</v>
      </c>
      <c r="S226" s="74">
        <f t="shared" si="5"/>
        <v>-3.8077342518002898E-2</v>
      </c>
      <c r="T226" s="28">
        <v>4.7887492004300887</v>
      </c>
      <c r="U226" s="28">
        <v>4.4956331289818383</v>
      </c>
      <c r="V226" s="28">
        <v>4.2748120611477418</v>
      </c>
      <c r="W226" s="28">
        <v>3.9831373288146801</v>
      </c>
      <c r="X226" s="28">
        <v>3.7325746483286104</v>
      </c>
      <c r="Y226" s="28">
        <v>3.2107923921782286</v>
      </c>
      <c r="Z226" s="28">
        <v>2.7274122731036208</v>
      </c>
      <c r="AA226" s="28">
        <v>2.2563582016247525</v>
      </c>
      <c r="AB226" s="28">
        <v>0</v>
      </c>
    </row>
    <row r="227" spans="2:28">
      <c r="B227" s="49">
        <v>2.9399999999999999E-2</v>
      </c>
      <c r="C227" s="40">
        <v>-328.26852289999999</v>
      </c>
      <c r="D227" s="27">
        <v>5.4914743259999996</v>
      </c>
      <c r="E227" s="27">
        <v>5.246281067</v>
      </c>
      <c r="F227" s="27">
        <v>4.8869358729999997</v>
      </c>
      <c r="G227" s="27">
        <v>4.5535126610000001</v>
      </c>
      <c r="H227" s="27">
        <v>4.149558968</v>
      </c>
      <c r="I227" s="27">
        <v>3.5250871629999998</v>
      </c>
      <c r="J227" s="27">
        <v>2.9030746779999999</v>
      </c>
      <c r="K227" s="27">
        <v>2.3772186990000002</v>
      </c>
      <c r="L227" s="27"/>
      <c r="M227" s="42"/>
      <c r="R227" s="75">
        <v>2.9399999999999999E-2</v>
      </c>
      <c r="S227" s="74">
        <f t="shared" si="5"/>
        <v>-3.663421156020568E-2</v>
      </c>
      <c r="T227" s="28">
        <v>4.6780918946825709</v>
      </c>
      <c r="U227" s="28">
        <v>4.394892547927026</v>
      </c>
      <c r="V227" s="28">
        <v>4.179458799399165</v>
      </c>
      <c r="W227" s="28">
        <v>3.8961265847186812</v>
      </c>
      <c r="X227" s="28">
        <v>3.6548018186284921</v>
      </c>
      <c r="Y227" s="28">
        <v>3.152224176843629</v>
      </c>
      <c r="Z227" s="28">
        <v>2.6876933683963067</v>
      </c>
      <c r="AA227" s="28">
        <v>2.2334708481897279</v>
      </c>
      <c r="AB227" s="28">
        <v>0</v>
      </c>
    </row>
    <row r="228" spans="2:28">
      <c r="B228" s="49">
        <v>2.9600000000000001E-2</v>
      </c>
      <c r="C228" s="40">
        <v>-281.82231990000002</v>
      </c>
      <c r="D228" s="27">
        <v>5.3795581720000003</v>
      </c>
      <c r="E228" s="27">
        <v>5.1484282950000004</v>
      </c>
      <c r="F228" s="27">
        <v>4.7875594020000003</v>
      </c>
      <c r="G228" s="27">
        <v>4.4704608080000003</v>
      </c>
      <c r="H228" s="27">
        <v>4.0740803159999999</v>
      </c>
      <c r="I228" s="27">
        <v>3.4690634450000002</v>
      </c>
      <c r="J228" s="27">
        <v>2.8669465729999999</v>
      </c>
      <c r="K228" s="27">
        <v>2.3577481549999999</v>
      </c>
      <c r="L228" s="27"/>
      <c r="M228" s="42"/>
      <c r="R228" s="75">
        <v>2.9600000000000001E-2</v>
      </c>
      <c r="S228" s="74">
        <f t="shared" si="5"/>
        <v>-3.1450893915739991E-2</v>
      </c>
      <c r="T228" s="28">
        <v>4.568911273885413</v>
      </c>
      <c r="U228" s="28">
        <v>4.2948969700409645</v>
      </c>
      <c r="V228" s="28">
        <v>4.0845326273745304</v>
      </c>
      <c r="W228" s="28">
        <v>3.8091258593362904</v>
      </c>
      <c r="X228" s="28">
        <v>3.5766684155581041</v>
      </c>
      <c r="Y228" s="28">
        <v>3.0927636112149726</v>
      </c>
      <c r="Z228" s="28">
        <v>2.6468174868873069</v>
      </c>
      <c r="AA228" s="28">
        <v>2.2093802206221658</v>
      </c>
      <c r="AB228" s="28">
        <v>0</v>
      </c>
    </row>
    <row r="229" spans="2:28">
      <c r="B229" s="49">
        <v>2.98E-2</v>
      </c>
      <c r="C229" s="40">
        <v>-268.10000000000002</v>
      </c>
      <c r="D229" s="27">
        <v>5.2663021680000002</v>
      </c>
      <c r="E229" s="27">
        <v>5.0495132399999996</v>
      </c>
      <c r="F229" s="27">
        <v>4.6878523139999997</v>
      </c>
      <c r="G229" s="27">
        <v>4.3844104279999998</v>
      </c>
      <c r="H229" s="27">
        <v>3.99617522</v>
      </c>
      <c r="I229" s="27">
        <v>3.4121073810000002</v>
      </c>
      <c r="J229" s="27">
        <v>2.8297210310000001</v>
      </c>
      <c r="K229" s="27">
        <v>2.337820797</v>
      </c>
      <c r="L229" s="27"/>
      <c r="M229" s="42"/>
      <c r="R229" s="75">
        <v>2.98E-2</v>
      </c>
      <c r="S229" s="74">
        <f t="shared" si="5"/>
        <v>-2.9919506239966524E-2</v>
      </c>
      <c r="T229" s="28">
        <v>4.4618957859292916</v>
      </c>
      <c r="U229" s="28">
        <v>4.1961605567177607</v>
      </c>
      <c r="V229" s="28">
        <v>3.990468335510315</v>
      </c>
      <c r="W229" s="28">
        <v>3.7224744876618669</v>
      </c>
      <c r="X229" s="28">
        <v>3.4984339172971706</v>
      </c>
      <c r="Y229" s="28">
        <v>3.0325515668812777</v>
      </c>
      <c r="Z229" s="28">
        <v>2.6048526091312003</v>
      </c>
      <c r="AA229" s="28">
        <v>2.1841127136995224</v>
      </c>
      <c r="AB229" s="28">
        <v>0</v>
      </c>
    </row>
    <row r="230" spans="2:28">
      <c r="B230" s="49">
        <v>0.03</v>
      </c>
      <c r="C230" s="40">
        <v>-287.16518170000001</v>
      </c>
      <c r="D230" s="27">
        <v>5.1516704569999998</v>
      </c>
      <c r="E230" s="27">
        <v>4.9490249119999996</v>
      </c>
      <c r="F230" s="27">
        <v>4.5877155920000003</v>
      </c>
      <c r="G230" s="27">
        <v>4.2948227430000001</v>
      </c>
      <c r="H230" s="27">
        <v>3.9158861659999999</v>
      </c>
      <c r="I230" s="27">
        <v>3.3546352289999999</v>
      </c>
      <c r="J230" s="27">
        <v>2.790533763</v>
      </c>
      <c r="K230" s="27">
        <v>2.3168792499999999</v>
      </c>
      <c r="L230" s="27"/>
      <c r="M230" s="42"/>
      <c r="R230" s="75">
        <v>0.03</v>
      </c>
      <c r="S230" s="74">
        <f t="shared" si="5"/>
        <v>-3.2047148249810781E-2</v>
      </c>
      <c r="T230" s="28">
        <v>4.3567297874174393</v>
      </c>
      <c r="U230" s="28">
        <v>4.0986195471801281</v>
      </c>
      <c r="V230" s="28">
        <v>3.8972839338982972</v>
      </c>
      <c r="W230" s="28">
        <v>3.6362748862279948</v>
      </c>
      <c r="X230" s="28">
        <v>3.4202399999574835</v>
      </c>
      <c r="Y230" s="28">
        <v>2.9717271592998031</v>
      </c>
      <c r="Z230" s="28">
        <v>2.5618823517825233</v>
      </c>
      <c r="AA230" s="28">
        <v>2.1577041859955393</v>
      </c>
      <c r="AB230" s="28">
        <v>0</v>
      </c>
    </row>
    <row r="231" spans="2:28">
      <c r="B231" s="49">
        <v>3.0200000000000001E-2</v>
      </c>
      <c r="C231" s="40">
        <v>-269.24352670000002</v>
      </c>
      <c r="D231" s="27">
        <v>5.0360303460000004</v>
      </c>
      <c r="E231" s="27">
        <v>4.8475632690000001</v>
      </c>
      <c r="F231" s="27">
        <v>4.487030463</v>
      </c>
      <c r="G231" s="27">
        <v>4.2019352080000001</v>
      </c>
      <c r="H231" s="27">
        <v>3.8340806089999999</v>
      </c>
      <c r="I231" s="27">
        <v>3.2970058</v>
      </c>
      <c r="J231" s="27">
        <v>2.7488824840000001</v>
      </c>
      <c r="K231" s="27">
        <v>2.2945998240000001</v>
      </c>
      <c r="L231" s="27"/>
      <c r="M231" s="42"/>
      <c r="R231" s="75">
        <v>3.0200000000000001E-2</v>
      </c>
      <c r="S231" s="74">
        <f t="shared" si="5"/>
        <v>-3.0047121884264245E-2</v>
      </c>
      <c r="T231" s="28">
        <v>4.2528497572882626</v>
      </c>
      <c r="U231" s="28">
        <v>4.0019846935179144</v>
      </c>
      <c r="V231" s="28">
        <v>3.8047998186681791</v>
      </c>
      <c r="W231" s="28">
        <v>3.550471145770338</v>
      </c>
      <c r="X231" s="28">
        <v>3.3421134077022789</v>
      </c>
      <c r="Y231" s="28">
        <v>2.9103880178421533</v>
      </c>
      <c r="Z231" s="28">
        <v>2.5179910396328715</v>
      </c>
      <c r="AA231" s="28">
        <v>2.1302014626858474</v>
      </c>
      <c r="AB231" s="28">
        <v>0</v>
      </c>
    </row>
    <row r="232" spans="2:28">
      <c r="B232" s="49">
        <v>3.04E-2</v>
      </c>
      <c r="C232" s="40">
        <v>-240.66606100000001</v>
      </c>
      <c r="D232" s="27">
        <v>4.9210016999999997</v>
      </c>
      <c r="E232" s="27">
        <v>4.7455252640000003</v>
      </c>
      <c r="F232" s="27">
        <v>4.3862126610000001</v>
      </c>
      <c r="G232" s="27">
        <v>4.1080242089999999</v>
      </c>
      <c r="H232" s="27">
        <v>3.7501356389999998</v>
      </c>
      <c r="I232" s="27">
        <v>3.2383824149999998</v>
      </c>
      <c r="J232" s="27">
        <v>2.7046556860000002</v>
      </c>
      <c r="K232" s="27">
        <v>2.2707781950000001</v>
      </c>
      <c r="L232" s="27"/>
      <c r="M232" s="42"/>
      <c r="R232" s="75">
        <v>3.04E-2</v>
      </c>
      <c r="S232" s="74">
        <f t="shared" si="5"/>
        <v>-2.6857925079588452E-2</v>
      </c>
      <c r="T232" s="28">
        <v>4.1507057205965685</v>
      </c>
      <c r="U232" s="28">
        <v>3.9065162089739185</v>
      </c>
      <c r="V232" s="28">
        <v>3.7132120981389112</v>
      </c>
      <c r="W232" s="28">
        <v>3.4651996433967596</v>
      </c>
      <c r="X232" s="28">
        <v>3.2641582712818433</v>
      </c>
      <c r="Y232" s="28">
        <v>2.8486133561228919</v>
      </c>
      <c r="Z232" s="28">
        <v>2.4732454741071339</v>
      </c>
      <c r="AA232" s="28">
        <v>2.1016492120135877</v>
      </c>
      <c r="AB232" s="28">
        <v>0</v>
      </c>
    </row>
    <row r="233" spans="2:28">
      <c r="B233" s="49">
        <v>3.0599999999999999E-2</v>
      </c>
      <c r="C233" s="40">
        <v>-212.1528998</v>
      </c>
      <c r="D233" s="27">
        <v>4.807597715</v>
      </c>
      <c r="E233" s="27">
        <v>4.6434599299999997</v>
      </c>
      <c r="F233" s="27">
        <v>4.2847599299999999</v>
      </c>
      <c r="G233" s="27">
        <v>4.0146063270000001</v>
      </c>
      <c r="H233" s="27">
        <v>3.6651557119999998</v>
      </c>
      <c r="I233" s="27">
        <v>3.17865536</v>
      </c>
      <c r="J233" s="27">
        <v>2.6587898069999998</v>
      </c>
      <c r="K233" s="27">
        <v>2.24492812</v>
      </c>
      <c r="L233" s="27"/>
      <c r="M233" s="42"/>
      <c r="R233" s="75">
        <v>3.0599999999999999E-2</v>
      </c>
      <c r="S233" s="74">
        <f t="shared" si="5"/>
        <v>-2.3675904548277109E-2</v>
      </c>
      <c r="T233" s="28">
        <v>4.0505252976708501</v>
      </c>
      <c r="U233" s="28">
        <v>3.8124022962736892</v>
      </c>
      <c r="V233" s="28">
        <v>3.6226902427690426</v>
      </c>
      <c r="W233" s="28">
        <v>3.3806067694708548</v>
      </c>
      <c r="X233" s="28">
        <v>3.1865009284457049</v>
      </c>
      <c r="Y233" s="28">
        <v>2.786496707943606</v>
      </c>
      <c r="Z233" s="28">
        <v>2.4277119229505524</v>
      </c>
      <c r="AA233" s="28">
        <v>2.0720885761826073</v>
      </c>
      <c r="AB233" s="28">
        <v>0</v>
      </c>
    </row>
    <row r="234" spans="2:28">
      <c r="B234" s="49">
        <v>3.0800000000000001E-2</v>
      </c>
      <c r="C234" s="40">
        <v>-183.56473349999999</v>
      </c>
      <c r="D234" s="27">
        <v>4.6947681899999996</v>
      </c>
      <c r="E234" s="27">
        <v>4.5416204450000004</v>
      </c>
      <c r="F234" s="27">
        <v>4.183248506</v>
      </c>
      <c r="G234" s="27">
        <v>3.9225852369999998</v>
      </c>
      <c r="H234" s="27">
        <v>3.5806565909999999</v>
      </c>
      <c r="I234" s="27">
        <v>3.1171205039999998</v>
      </c>
      <c r="J234" s="27">
        <v>2.6112444049999999</v>
      </c>
      <c r="K234" s="27">
        <v>2.2180271239999998</v>
      </c>
      <c r="L234" s="27"/>
      <c r="M234" s="42"/>
      <c r="R234" s="75">
        <v>3.0800000000000001E-2</v>
      </c>
      <c r="S234" s="74">
        <f t="shared" si="5"/>
        <v>-2.0485513574752114E-2</v>
      </c>
      <c r="T234" s="28">
        <v>3.95234141080372</v>
      </c>
      <c r="U234" s="28">
        <v>3.7197229238387659</v>
      </c>
      <c r="V234" s="28">
        <v>3.5333319539035593</v>
      </c>
      <c r="W234" s="28">
        <v>3.296799478839151</v>
      </c>
      <c r="X234" s="28">
        <v>3.1092494839424001</v>
      </c>
      <c r="Y234" s="28">
        <v>2.724131437144508</v>
      </c>
      <c r="Z234" s="28">
        <v>2.3814597636533317</v>
      </c>
      <c r="AA234" s="28">
        <v>2.0415619928073534</v>
      </c>
      <c r="AB234" s="28">
        <v>0</v>
      </c>
    </row>
    <row r="235" spans="2:28">
      <c r="B235" s="49">
        <v>3.1E-2</v>
      </c>
      <c r="C235" s="40">
        <v>-186.23259089999999</v>
      </c>
      <c r="D235" s="27">
        <v>4.5824150640000001</v>
      </c>
      <c r="E235" s="27">
        <v>4.4404015240000003</v>
      </c>
      <c r="F235" s="27">
        <v>4.0827859320000002</v>
      </c>
      <c r="G235" s="27">
        <v>3.83209578</v>
      </c>
      <c r="H235" s="27">
        <v>3.4969117230000002</v>
      </c>
      <c r="I235" s="27">
        <v>3.0541392150000002</v>
      </c>
      <c r="J235" s="27">
        <v>2.5629039859999998</v>
      </c>
      <c r="K235" s="27">
        <v>2.1905158849999999</v>
      </c>
      <c r="L235" s="27"/>
      <c r="M235" s="42"/>
      <c r="R235" s="75">
        <v>3.1E-2</v>
      </c>
      <c r="S235" s="74">
        <f t="shared" si="5"/>
        <v>-2.0783241945235668E-2</v>
      </c>
      <c r="T235" s="28">
        <v>3.8561386488121352</v>
      </c>
      <c r="U235" s="28">
        <v>3.6285183256450875</v>
      </c>
      <c r="V235" s="28">
        <v>3.445201965603359</v>
      </c>
      <c r="W235" s="28">
        <v>3.2138587522110327</v>
      </c>
      <c r="X235" s="28">
        <v>3.0324935276928593</v>
      </c>
      <c r="Y235" s="28">
        <v>2.6616040993502859</v>
      </c>
      <c r="Z235" s="28">
        <v>2.334558678354957</v>
      </c>
      <c r="AA235" s="28">
        <v>2.0101139350326047</v>
      </c>
      <c r="AB235" s="28">
        <v>0</v>
      </c>
    </row>
    <row r="236" spans="2:28">
      <c r="B236" s="49">
        <v>3.1199999999999999E-2</v>
      </c>
      <c r="C236" s="40">
        <v>-175.17410659999999</v>
      </c>
      <c r="D236" s="27">
        <v>4.4710715289999996</v>
      </c>
      <c r="E236" s="27">
        <v>4.3397031049999999</v>
      </c>
      <c r="F236" s="27">
        <v>3.9829531340000002</v>
      </c>
      <c r="G236" s="27">
        <v>3.7428284710000002</v>
      </c>
      <c r="H236" s="27">
        <v>3.4144411830000001</v>
      </c>
      <c r="I236" s="27">
        <v>2.9901729939999999</v>
      </c>
      <c r="J236" s="27">
        <v>2.5145422380000002</v>
      </c>
      <c r="K236" s="27">
        <v>2.1624991210000002</v>
      </c>
      <c r="L236" s="27"/>
      <c r="M236" s="42"/>
      <c r="R236" s="75">
        <v>3.1199999999999999E-2</v>
      </c>
      <c r="S236" s="74">
        <f t="shared" si="5"/>
        <v>-1.954913381387266E-2</v>
      </c>
      <c r="T236" s="28">
        <v>3.7613962882580245</v>
      </c>
      <c r="U236" s="28">
        <v>3.5385114845678052</v>
      </c>
      <c r="V236" s="28">
        <v>3.3581188352923523</v>
      </c>
      <c r="W236" s="28">
        <v>3.1317099018693333</v>
      </c>
      <c r="X236" s="28">
        <v>2.9562316161533015</v>
      </c>
      <c r="Y236" s="28">
        <v>2.5989834229045417</v>
      </c>
      <c r="Z236" s="28">
        <v>2.2870799479575981</v>
      </c>
      <c r="AA236" s="28">
        <v>1.9777938252931939</v>
      </c>
      <c r="AB236" s="28">
        <v>0</v>
      </c>
    </row>
    <row r="237" spans="2:28">
      <c r="B237" s="49">
        <v>3.1399999999999997E-2</v>
      </c>
      <c r="C237" s="40">
        <v>-170.6</v>
      </c>
      <c r="D237" s="27">
        <v>4.3607868190000003</v>
      </c>
      <c r="E237" s="27">
        <v>4.2392555359999999</v>
      </c>
      <c r="F237" s="27">
        <v>3.8833444639999999</v>
      </c>
      <c r="G237" s="27">
        <v>3.6541957819999999</v>
      </c>
      <c r="H237" s="27">
        <v>3.3327024600000001</v>
      </c>
      <c r="I237" s="27">
        <v>2.9252778560000001</v>
      </c>
      <c r="J237" s="27">
        <v>2.4661532510000002</v>
      </c>
      <c r="K237" s="27">
        <v>2.1338875220000002</v>
      </c>
      <c r="L237" s="27"/>
      <c r="M237" s="42"/>
      <c r="R237" s="75">
        <v>3.1399999999999997E-2</v>
      </c>
      <c r="S237" s="74">
        <f t="shared" si="5"/>
        <v>-1.9038671259001449E-2</v>
      </c>
      <c r="T237" s="28">
        <v>3.6682107667532917</v>
      </c>
      <c r="U237" s="28">
        <v>3.4497377010877246</v>
      </c>
      <c r="V237" s="28">
        <v>3.2720996438350491</v>
      </c>
      <c r="W237" s="28">
        <v>3.050367663129661</v>
      </c>
      <c r="X237" s="28">
        <v>2.8804875626948903</v>
      </c>
      <c r="Y237" s="28">
        <v>2.536318617566983</v>
      </c>
      <c r="Z237" s="28">
        <v>2.239082092379777</v>
      </c>
      <c r="AA237" s="28">
        <v>1.944650271975106</v>
      </c>
      <c r="AB237" s="28">
        <v>0</v>
      </c>
    </row>
    <row r="238" spans="2:28">
      <c r="B238" s="49">
        <v>3.1600000000000003E-2</v>
      </c>
      <c r="C238" s="40">
        <v>-150.0165202</v>
      </c>
      <c r="D238" s="27">
        <v>4.2524349739999998</v>
      </c>
      <c r="E238" s="27">
        <v>4.1398611599999997</v>
      </c>
      <c r="F238" s="27">
        <v>3.7841768010000001</v>
      </c>
      <c r="G238" s="27">
        <v>3.5643778560000001</v>
      </c>
      <c r="H238" s="27">
        <v>3.2505258349999999</v>
      </c>
      <c r="I238" s="27">
        <v>2.8599720560000002</v>
      </c>
      <c r="J238" s="27">
        <v>2.417761863</v>
      </c>
      <c r="K238" s="27">
        <v>2.1039393670000002</v>
      </c>
      <c r="L238" s="27"/>
      <c r="M238" s="42"/>
      <c r="R238" s="75">
        <v>3.1600000000000003E-2</v>
      </c>
      <c r="S238" s="74">
        <f t="shared" si="5"/>
        <v>-1.6741589750921163E-2</v>
      </c>
      <c r="T238" s="28">
        <v>3.5764394270681437</v>
      </c>
      <c r="U238" s="28">
        <v>3.3621193375311051</v>
      </c>
      <c r="V238" s="28">
        <v>3.1870952277986699</v>
      </c>
      <c r="W238" s="28">
        <v>2.9698170662879733</v>
      </c>
      <c r="X238" s="28">
        <v>2.8052738609005106</v>
      </c>
      <c r="Y238" s="28">
        <v>2.4736564498720073</v>
      </c>
      <c r="Z238" s="28">
        <v>2.1906207799724906</v>
      </c>
      <c r="AA238" s="28">
        <v>1.910729807566883</v>
      </c>
      <c r="AB238" s="28">
        <v>0</v>
      </c>
    </row>
    <row r="239" spans="2:28">
      <c r="B239" s="49">
        <v>3.1800000000000002E-2</v>
      </c>
      <c r="C239" s="40">
        <v>-170.6</v>
      </c>
      <c r="D239" s="27">
        <v>4.1462697720000001</v>
      </c>
      <c r="E239" s="27">
        <v>4.0419349740000001</v>
      </c>
      <c r="F239" s="27">
        <v>3.6865974220000002</v>
      </c>
      <c r="G239" s="27">
        <v>3.473509666</v>
      </c>
      <c r="H239" s="27">
        <v>3.1674748680000002</v>
      </c>
      <c r="I239" s="27">
        <v>2.7943645579999998</v>
      </c>
      <c r="J239" s="27">
        <v>2.3685902169999999</v>
      </c>
      <c r="K239" s="27">
        <v>2.0724783250000001</v>
      </c>
      <c r="L239" s="27"/>
      <c r="M239" s="42"/>
      <c r="R239" s="75">
        <v>3.1800000000000002E-2</v>
      </c>
      <c r="S239" s="74">
        <f t="shared" si="5"/>
        <v>-1.9038671259001449E-2</v>
      </c>
      <c r="T239" s="28">
        <v>3.4862748912442298</v>
      </c>
      <c r="U239" s="28">
        <v>3.2757698315435255</v>
      </c>
      <c r="V239" s="28">
        <v>3.1031924280319356</v>
      </c>
      <c r="W239" s="28">
        <v>2.8901191295016697</v>
      </c>
      <c r="X239" s="28">
        <v>2.7306393737418295</v>
      </c>
      <c r="Y239" s="28">
        <v>2.4110423034978439</v>
      </c>
      <c r="Z239" s="28">
        <v>2.1417453526177459</v>
      </c>
      <c r="AA239" s="28">
        <v>1.8760759891191285</v>
      </c>
      <c r="AB239" s="28">
        <v>0</v>
      </c>
    </row>
    <row r="240" spans="2:28">
      <c r="B240" s="49">
        <v>3.2000000000000001E-2</v>
      </c>
      <c r="C240" s="40">
        <v>-182.8</v>
      </c>
      <c r="D240" s="27">
        <v>4.0426000000000002</v>
      </c>
      <c r="E240" s="27">
        <v>3.9456500000000001</v>
      </c>
      <c r="F240" s="27">
        <v>3.5916000000000001</v>
      </c>
      <c r="G240" s="27">
        <v>3.3825500000000002</v>
      </c>
      <c r="H240" s="27">
        <v>3.08405</v>
      </c>
      <c r="I240" s="27">
        <v>2.7277499999999999</v>
      </c>
      <c r="J240" s="27">
        <v>2.3183500000000001</v>
      </c>
      <c r="K240" s="27">
        <v>2.03965</v>
      </c>
      <c r="L240" s="27"/>
      <c r="M240" s="42"/>
      <c r="R240" s="75">
        <v>3.2000000000000001E-2</v>
      </c>
      <c r="S240" s="74">
        <f t="shared" si="5"/>
        <v>-2.0400170610465798E-2</v>
      </c>
      <c r="T240" s="28">
        <v>3.3970375910961876</v>
      </c>
      <c r="U240" s="28">
        <v>3.1903091477932128</v>
      </c>
      <c r="V240" s="28">
        <v>3.0201324705822761</v>
      </c>
      <c r="W240" s="28">
        <v>2.8111383837699053</v>
      </c>
      <c r="X240" s="28">
        <v>2.6565332164405917</v>
      </c>
      <c r="Y240" s="28">
        <v>2.3485113420195565</v>
      </c>
      <c r="Z240" s="28">
        <v>2.0925109818608263</v>
      </c>
      <c r="AA240" s="28">
        <v>1.8407353415750893</v>
      </c>
      <c r="AB240" s="28">
        <v>0</v>
      </c>
    </row>
    <row r="241" spans="2:28">
      <c r="B241" s="49">
        <v>3.2199999999999999E-2</v>
      </c>
      <c r="C241" s="40">
        <v>-178.60468660000001</v>
      </c>
      <c r="D241" s="27">
        <v>3.9409460460000001</v>
      </c>
      <c r="E241" s="27">
        <v>3.8509776800000002</v>
      </c>
      <c r="F241" s="27">
        <v>3.4986183949999998</v>
      </c>
      <c r="G241" s="27">
        <v>3.2928670179999999</v>
      </c>
      <c r="H241" s="27">
        <v>3.0003563560000002</v>
      </c>
      <c r="I241" s="27">
        <v>2.660194728</v>
      </c>
      <c r="J241" s="27">
        <v>2.2664971290000002</v>
      </c>
      <c r="K241" s="27">
        <v>2.0058137669999998</v>
      </c>
      <c r="L241" s="27"/>
      <c r="M241" s="42"/>
      <c r="R241" s="75">
        <v>3.2199999999999999E-2</v>
      </c>
      <c r="S241" s="74">
        <f t="shared" si="5"/>
        <v>-1.9931980735605988E-2</v>
      </c>
      <c r="T241" s="28">
        <v>3.3086993465034453</v>
      </c>
      <c r="U241" s="28">
        <v>3.105674597381578</v>
      </c>
      <c r="V241" s="28">
        <v>2.9378494815053631</v>
      </c>
      <c r="W241" s="28">
        <v>2.7328201161579821</v>
      </c>
      <c r="X241" s="28">
        <v>2.582922015967557</v>
      </c>
      <c r="Y241" s="28">
        <v>2.2860771116099894</v>
      </c>
      <c r="Z241" s="28">
        <v>2.0429599794230167</v>
      </c>
      <c r="AA241" s="28">
        <v>1.8047537011551558</v>
      </c>
      <c r="AB241" s="28">
        <v>0</v>
      </c>
    </row>
    <row r="242" spans="2:28">
      <c r="B242" s="49">
        <v>3.2399999999999998E-2</v>
      </c>
      <c r="C242" s="40">
        <v>-191.18347979999999</v>
      </c>
      <c r="D242" s="27">
        <v>3.8420075570000001</v>
      </c>
      <c r="E242" s="27">
        <v>3.75898471</v>
      </c>
      <c r="F242" s="27">
        <v>3.4083500880000002</v>
      </c>
      <c r="G242" s="27">
        <v>3.2064182780000001</v>
      </c>
      <c r="H242" s="27">
        <v>2.9174272409999999</v>
      </c>
      <c r="I242" s="27">
        <v>2.592187698</v>
      </c>
      <c r="J242" s="27">
        <v>2.2135012299999999</v>
      </c>
      <c r="K242" s="27">
        <v>1.9713298770000001</v>
      </c>
      <c r="L242" s="27"/>
      <c r="M242" s="42"/>
      <c r="R242" s="75">
        <v>3.2399999999999998E-2</v>
      </c>
      <c r="S242" s="74">
        <f t="shared" si="5"/>
        <v>-2.1335752767081734E-2</v>
      </c>
      <c r="T242" s="28">
        <v>3.2214709155149452</v>
      </c>
      <c r="U242" s="28">
        <v>3.021970773307185</v>
      </c>
      <c r="V242" s="28">
        <v>2.8564097893822855</v>
      </c>
      <c r="W242" s="28">
        <v>2.6551979055256543</v>
      </c>
      <c r="X242" s="28">
        <v>2.5098245621079407</v>
      </c>
      <c r="Y242" s="28">
        <v>2.2237600012884342</v>
      </c>
      <c r="Z242" s="28">
        <v>1.9931270386931006</v>
      </c>
      <c r="AA242" s="28">
        <v>1.7681709878333784</v>
      </c>
      <c r="AB242" s="28">
        <v>0</v>
      </c>
    </row>
    <row r="243" spans="2:28">
      <c r="B243" s="49">
        <v>3.2599999999999997E-2</v>
      </c>
      <c r="C243" s="40">
        <v>-170.2140598</v>
      </c>
      <c r="D243" s="27">
        <v>3.7453251320000001</v>
      </c>
      <c r="E243" s="27">
        <v>3.6693184529999998</v>
      </c>
      <c r="F243" s="27">
        <v>3.3205437610000001</v>
      </c>
      <c r="G243" s="27">
        <v>3.123827592</v>
      </c>
      <c r="H243" s="27">
        <v>2.8370576449999998</v>
      </c>
      <c r="I243" s="27">
        <v>2.5245984180000001</v>
      </c>
      <c r="J243" s="27">
        <v>2.16029297</v>
      </c>
      <c r="K243" s="27">
        <v>1.9363191559999999</v>
      </c>
      <c r="L243" s="27"/>
      <c r="M243" s="42"/>
      <c r="R243" s="75">
        <v>3.2599999999999997E-2</v>
      </c>
      <c r="S243" s="74">
        <f t="shared" si="5"/>
        <v>-1.8995600985886367E-2</v>
      </c>
      <c r="T243" s="28">
        <v>3.1351000051015894</v>
      </c>
      <c r="U243" s="28">
        <v>2.9390549300651982</v>
      </c>
      <c r="V243" s="28">
        <v>2.7757130560892436</v>
      </c>
      <c r="W243" s="28">
        <v>2.578219669061419</v>
      </c>
      <c r="X243" s="28">
        <v>2.4372231477635729</v>
      </c>
      <c r="Y243" s="28">
        <v>2.1615831074194038</v>
      </c>
      <c r="Z243" s="28">
        <v>1.9430500950652665</v>
      </c>
      <c r="AA243" s="28">
        <v>1.7310264409659475</v>
      </c>
      <c r="AB243" s="28">
        <v>0</v>
      </c>
    </row>
    <row r="244" spans="2:28">
      <c r="B244" s="49">
        <v>3.2800000000000003E-2</v>
      </c>
      <c r="C244" s="40">
        <v>-146.19999999999999</v>
      </c>
      <c r="D244" s="27">
        <v>3.6511903929999998</v>
      </c>
      <c r="E244" s="27">
        <v>3.5821339189999999</v>
      </c>
      <c r="F244" s="27">
        <v>3.2350838899999999</v>
      </c>
      <c r="G244" s="27">
        <v>3.0447086699999999</v>
      </c>
      <c r="H244" s="27">
        <v>2.7601648509999999</v>
      </c>
      <c r="I244" s="27">
        <v>2.4580207970000001</v>
      </c>
      <c r="J244" s="27">
        <v>2.1081453429999999</v>
      </c>
      <c r="K244" s="27">
        <v>1.9006073809999999</v>
      </c>
      <c r="L244" s="27"/>
      <c r="M244" s="42"/>
      <c r="R244" s="75">
        <v>3.2800000000000003E-2</v>
      </c>
      <c r="S244" s="74">
        <f t="shared" si="5"/>
        <v>-1.6315672556072754E-2</v>
      </c>
      <c r="T244" s="28">
        <v>3.0500574293093679</v>
      </c>
      <c r="U244" s="28">
        <v>2.8571916398615138</v>
      </c>
      <c r="V244" s="28">
        <v>2.6959493887636077</v>
      </c>
      <c r="W244" s="28">
        <v>2.5019959464501516</v>
      </c>
      <c r="X244" s="28">
        <v>2.3651800757871215</v>
      </c>
      <c r="Y244" s="28">
        <v>2.0995720730920429</v>
      </c>
      <c r="Z244" s="28">
        <v>1.8927592482463738</v>
      </c>
      <c r="AA244" s="28">
        <v>1.6933550333224392</v>
      </c>
      <c r="AB244" s="28">
        <v>0</v>
      </c>
    </row>
    <row r="245" spans="2:28">
      <c r="B245" s="49">
        <v>3.3000000000000002E-2</v>
      </c>
      <c r="C245" s="40">
        <v>-137.46852290000001</v>
      </c>
      <c r="D245" s="27">
        <v>3.5592604919999999</v>
      </c>
      <c r="E245" s="27">
        <v>3.4970648889999998</v>
      </c>
      <c r="F245" s="27">
        <v>3.150593025</v>
      </c>
      <c r="G245" s="27">
        <v>2.9674645370000001</v>
      </c>
      <c r="H245" s="27">
        <v>2.6853269050000002</v>
      </c>
      <c r="I245" s="27">
        <v>2.3929451930000001</v>
      </c>
      <c r="J245" s="27">
        <v>2.057672626</v>
      </c>
      <c r="K245" s="27">
        <v>1.8642892150000001</v>
      </c>
      <c r="L245" s="27"/>
      <c r="M245" s="42"/>
      <c r="R245" s="75">
        <v>3.3000000000000002E-2</v>
      </c>
      <c r="S245" s="74">
        <f t="shared" si="5"/>
        <v>-1.5341254489763265E-2</v>
      </c>
      <c r="T245" s="28">
        <v>2.9664731089284944</v>
      </c>
      <c r="U245" s="28">
        <v>2.7764961848689453</v>
      </c>
      <c r="V245" s="28">
        <v>2.6172242419907268</v>
      </c>
      <c r="W245" s="28">
        <v>2.426613801639764</v>
      </c>
      <c r="X245" s="28">
        <v>2.2937649265363982</v>
      </c>
      <c r="Y245" s="28">
        <v>2.0377716350259982</v>
      </c>
      <c r="Z245" s="28">
        <v>1.8422900650398411</v>
      </c>
      <c r="AA245" s="28">
        <v>1.6551893682684899</v>
      </c>
      <c r="AB245" s="28">
        <v>0</v>
      </c>
    </row>
    <row r="246" spans="2:28">
      <c r="B246" s="49">
        <v>3.32E-2</v>
      </c>
      <c r="C246" s="40">
        <v>-108.9352665</v>
      </c>
      <c r="D246" s="27">
        <v>3.4696837139999999</v>
      </c>
      <c r="E246" s="27">
        <v>3.413062214</v>
      </c>
      <c r="F246" s="27">
        <v>3.066302812</v>
      </c>
      <c r="G246" s="27">
        <v>2.890643995</v>
      </c>
      <c r="H246" s="27">
        <v>2.6117442880000001</v>
      </c>
      <c r="I246" s="27">
        <v>2.3291544229999999</v>
      </c>
      <c r="J246" s="27">
        <v>2.008330521</v>
      </c>
      <c r="K246" s="27">
        <v>1.8277752780000001</v>
      </c>
      <c r="L246" s="27"/>
      <c r="M246" s="42"/>
      <c r="R246" s="75">
        <v>3.32E-2</v>
      </c>
      <c r="S246" s="74">
        <f t="shared" si="5"/>
        <v>-1.2156991368143103E-2</v>
      </c>
      <c r="T246" s="28">
        <v>2.8841495825340528</v>
      </c>
      <c r="U246" s="28">
        <v>2.6968800793682188</v>
      </c>
      <c r="V246" s="28">
        <v>2.5394881804496539</v>
      </c>
      <c r="W246" s="28">
        <v>2.3520663606473944</v>
      </c>
      <c r="X246" s="28">
        <v>2.2229971023029433</v>
      </c>
      <c r="Y246" s="28">
        <v>1.9762234052652299</v>
      </c>
      <c r="Z246" s="28">
        <v>1.7916837184962302</v>
      </c>
      <c r="AA246" s="28">
        <v>1.6165652972710534</v>
      </c>
      <c r="AB246" s="28">
        <v>0</v>
      </c>
    </row>
    <row r="247" spans="2:28">
      <c r="B247" s="49">
        <v>3.3399999999999999E-2</v>
      </c>
      <c r="C247" s="40">
        <v>-97.5</v>
      </c>
      <c r="D247" s="27">
        <v>3.382841301</v>
      </c>
      <c r="E247" s="27">
        <v>3.3301799650000001</v>
      </c>
      <c r="F247" s="27">
        <v>2.9831393670000002</v>
      </c>
      <c r="G247" s="27">
        <v>2.8132919159999998</v>
      </c>
      <c r="H247" s="27">
        <v>2.5389147630000002</v>
      </c>
      <c r="I247" s="27">
        <v>2.2661901580000001</v>
      </c>
      <c r="J247" s="27">
        <v>1.958652724</v>
      </c>
      <c r="K247" s="27">
        <v>1.7909855889999999</v>
      </c>
      <c r="L247" s="27"/>
      <c r="M247" s="42"/>
      <c r="R247" s="75">
        <v>3.3399999999999999E-2</v>
      </c>
      <c r="S247" s="74">
        <f t="shared" si="5"/>
        <v>-1.0880834980965072E-2</v>
      </c>
      <c r="T247" s="28">
        <v>2.8033688641509169</v>
      </c>
      <c r="U247" s="28">
        <v>2.6185122276842274</v>
      </c>
      <c r="V247" s="28">
        <v>2.4628676605154398</v>
      </c>
      <c r="W247" s="28">
        <v>2.2784377838251966</v>
      </c>
      <c r="X247" s="28">
        <v>2.1529351664779912</v>
      </c>
      <c r="Y247" s="28">
        <v>1.9149651120814482</v>
      </c>
      <c r="Z247" s="28">
        <v>1.7409763374956999</v>
      </c>
      <c r="AA247" s="28">
        <v>1.5775177733466059</v>
      </c>
      <c r="AB247" s="28">
        <v>0</v>
      </c>
    </row>
    <row r="248" spans="2:28">
      <c r="B248" s="49">
        <v>3.3599999999999998E-2</v>
      </c>
      <c r="C248" s="40">
        <v>-76.146424379999999</v>
      </c>
      <c r="D248" s="27">
        <v>3.2992271400000002</v>
      </c>
      <c r="E248" s="27">
        <v>3.2492649469999999</v>
      </c>
      <c r="F248" s="27">
        <v>2.9015523449999998</v>
      </c>
      <c r="G248" s="27">
        <v>2.7355777840000002</v>
      </c>
      <c r="H248" s="27">
        <v>2.4668535170000001</v>
      </c>
      <c r="I248" s="27">
        <v>2.204004748</v>
      </c>
      <c r="J248" s="27">
        <v>1.908281184</v>
      </c>
      <c r="K248" s="27">
        <v>1.7530702229999999</v>
      </c>
      <c r="L248" s="27"/>
      <c r="M248" s="42"/>
      <c r="R248" s="75">
        <v>3.3599999999999998E-2</v>
      </c>
      <c r="S248" s="74">
        <f t="shared" si="5"/>
        <v>-8.4978120827622124E-3</v>
      </c>
      <c r="T248" s="28">
        <v>2.7239039746290552</v>
      </c>
      <c r="U248" s="28">
        <v>2.5412863829588921</v>
      </c>
      <c r="V248" s="28">
        <v>2.3872998388282372</v>
      </c>
      <c r="W248" s="28">
        <v>2.2057118914637117</v>
      </c>
      <c r="X248" s="28">
        <v>2.0835924646473494</v>
      </c>
      <c r="Y248" s="28">
        <v>1.854036087034185</v>
      </c>
      <c r="Z248" s="28">
        <v>1.6902087833826187</v>
      </c>
      <c r="AA248" s="28">
        <v>1.5380830023625955</v>
      </c>
      <c r="AB248" s="28">
        <v>0</v>
      </c>
    </row>
    <row r="249" spans="2:28">
      <c r="B249" s="49">
        <v>3.3799999999999997E-2</v>
      </c>
      <c r="C249" s="40">
        <v>-73.099999999999994</v>
      </c>
      <c r="D249" s="27">
        <v>3.2184318689999998</v>
      </c>
      <c r="E249" s="27">
        <v>3.1709584070000001</v>
      </c>
      <c r="F249" s="27">
        <v>2.8222771529999999</v>
      </c>
      <c r="G249" s="27">
        <v>2.6597615110000001</v>
      </c>
      <c r="H249" s="27">
        <v>2.3956786760000002</v>
      </c>
      <c r="I249" s="27">
        <v>2.1426817219999998</v>
      </c>
      <c r="J249" s="27">
        <v>1.85722853</v>
      </c>
      <c r="K249" s="27">
        <v>1.7144581139999999</v>
      </c>
      <c r="L249" s="27"/>
      <c r="M249" s="42"/>
      <c r="R249" s="75">
        <v>3.3799999999999997E-2</v>
      </c>
      <c r="S249" s="74">
        <f t="shared" si="5"/>
        <v>-8.1578362780363768E-3</v>
      </c>
      <c r="T249" s="28">
        <v>2.6458712366269439</v>
      </c>
      <c r="U249" s="28">
        <v>2.4652684482998626</v>
      </c>
      <c r="V249" s="28">
        <v>2.3128324099831201</v>
      </c>
      <c r="W249" s="28">
        <v>2.1339228389711975</v>
      </c>
      <c r="X249" s="28">
        <v>2.0149981546763298</v>
      </c>
      <c r="Y249" s="28">
        <v>1.7934675726806828</v>
      </c>
      <c r="Z249" s="28">
        <v>1.6394171891265523</v>
      </c>
      <c r="AA249" s="28">
        <v>1.4982970570993706</v>
      </c>
      <c r="AB249" s="28">
        <v>0</v>
      </c>
    </row>
    <row r="250" spans="2:28">
      <c r="B250" s="49">
        <v>3.4000000000000002E-2</v>
      </c>
      <c r="C250" s="40">
        <v>-78.434818289999995</v>
      </c>
      <c r="D250" s="27">
        <v>3.1394822979999999</v>
      </c>
      <c r="E250" s="27">
        <v>3.0951944899999999</v>
      </c>
      <c r="F250" s="27">
        <v>2.747244314</v>
      </c>
      <c r="G250" s="27">
        <v>2.5868378660000002</v>
      </c>
      <c r="H250" s="27">
        <v>2.325443962</v>
      </c>
      <c r="I250" s="27">
        <v>2.0825024029999999</v>
      </c>
      <c r="J250" s="27">
        <v>1.8053267879999999</v>
      </c>
      <c r="K250" s="27">
        <v>1.676081653</v>
      </c>
      <c r="L250" s="27"/>
      <c r="M250" s="42"/>
      <c r="R250" s="75">
        <v>3.4000000000000002E-2</v>
      </c>
      <c r="S250" s="74">
        <f t="shared" si="5"/>
        <v>-8.7531929700048316E-3</v>
      </c>
      <c r="T250" s="28">
        <v>2.5689668000612267</v>
      </c>
      <c r="U250" s="28">
        <v>2.3902918970951954</v>
      </c>
      <c r="V250" s="28">
        <v>2.2393543475863131</v>
      </c>
      <c r="W250" s="28">
        <v>2.063016033564578</v>
      </c>
      <c r="X250" s="28">
        <v>1.9471368968689549</v>
      </c>
      <c r="Y250" s="28">
        <v>1.7332855175373283</v>
      </c>
      <c r="Z250" s="28">
        <v>1.5886397538506047</v>
      </c>
      <c r="AA250" s="28">
        <v>1.4581969527587268</v>
      </c>
      <c r="AB250" s="28">
        <v>0</v>
      </c>
    </row>
    <row r="251" spans="2:28">
      <c r="B251" s="49">
        <v>3.4200000000000001E-2</v>
      </c>
      <c r="C251" s="40">
        <v>-87.965846510000006</v>
      </c>
      <c r="D251" s="27">
        <v>3.0622016400000001</v>
      </c>
      <c r="E251" s="27">
        <v>3.0208440539999999</v>
      </c>
      <c r="F251" s="27">
        <v>2.6750427650000002</v>
      </c>
      <c r="G251" s="27">
        <v>2.517254071</v>
      </c>
      <c r="H251" s="27">
        <v>2.2569931460000001</v>
      </c>
      <c r="I251" s="27">
        <v>2.024053544</v>
      </c>
      <c r="J251" s="27">
        <v>1.753207264</v>
      </c>
      <c r="K251" s="27">
        <v>1.638574341</v>
      </c>
      <c r="L251" s="27"/>
      <c r="M251" s="42"/>
      <c r="R251" s="75">
        <v>3.4200000000000001E-2</v>
      </c>
      <c r="S251" s="74">
        <f t="shared" si="5"/>
        <v>-9.8168395880637166E-3</v>
      </c>
      <c r="T251" s="28">
        <v>2.4929778082625891</v>
      </c>
      <c r="U251" s="28">
        <v>2.3162112812065461</v>
      </c>
      <c r="V251" s="28">
        <v>2.1667514170996709</v>
      </c>
      <c r="W251" s="28">
        <v>1.9929183604392824</v>
      </c>
      <c r="X251" s="28">
        <v>1.8799705321042455</v>
      </c>
      <c r="Y251" s="28">
        <v>1.6735008424037991</v>
      </c>
      <c r="Z251" s="28">
        <v>1.5379097842827287</v>
      </c>
      <c r="AA251" s="28">
        <v>1.4178204970355095</v>
      </c>
      <c r="AB251" s="28">
        <v>0</v>
      </c>
    </row>
    <row r="252" spans="2:28">
      <c r="B252" s="49">
        <v>3.44E-2</v>
      </c>
      <c r="C252" s="40">
        <v>-86.822319859999993</v>
      </c>
      <c r="D252" s="27">
        <v>2.9864383129999998</v>
      </c>
      <c r="E252" s="27">
        <v>2.9477005269999998</v>
      </c>
      <c r="F252" s="27">
        <v>2.604256591</v>
      </c>
      <c r="G252" s="27">
        <v>2.4507186289999998</v>
      </c>
      <c r="H252" s="27">
        <v>2.1898437610000001</v>
      </c>
      <c r="I252" s="27">
        <v>1.967036555</v>
      </c>
      <c r="J252" s="27">
        <v>1.7024421789999999</v>
      </c>
      <c r="K252" s="27">
        <v>1.6010347979999999</v>
      </c>
      <c r="L252" s="27"/>
      <c r="M252" s="42"/>
      <c r="R252" s="75">
        <v>3.44E-2</v>
      </c>
      <c r="S252" s="74">
        <f t="shared" si="5"/>
        <v>-9.6892239493459129E-3</v>
      </c>
      <c r="T252" s="28">
        <v>2.4177563434004328</v>
      </c>
      <c r="U252" s="28">
        <v>2.2429126655427654</v>
      </c>
      <c r="V252" s="28">
        <v>2.0949291048989469</v>
      </c>
      <c r="W252" s="28">
        <v>1.9235622872740294</v>
      </c>
      <c r="X252" s="28">
        <v>1.8134577154579357</v>
      </c>
      <c r="Y252" s="28">
        <v>1.6141152387057764</v>
      </c>
      <c r="Z252" s="28">
        <v>1.4872547047214562</v>
      </c>
      <c r="AA252" s="28">
        <v>1.3772037465345777</v>
      </c>
      <c r="AB252" s="28">
        <v>0</v>
      </c>
    </row>
    <row r="253" spans="2:28">
      <c r="B253" s="49">
        <v>3.4599999999999999E-2</v>
      </c>
      <c r="C253" s="40">
        <v>-97.5</v>
      </c>
      <c r="D253" s="27">
        <v>2.911955158</v>
      </c>
      <c r="E253" s="27">
        <v>2.8763382179999999</v>
      </c>
      <c r="F253" s="27">
        <v>2.5340054510000001</v>
      </c>
      <c r="G253" s="27">
        <v>2.3863450180000001</v>
      </c>
      <c r="H253" s="27">
        <v>2.1240636579999999</v>
      </c>
      <c r="I253" s="27">
        <v>1.9104987099999999</v>
      </c>
      <c r="J253" s="27">
        <v>1.6530258499999999</v>
      </c>
      <c r="K253" s="27">
        <v>1.5633236230000001</v>
      </c>
      <c r="L253" s="27"/>
      <c r="M253" s="42"/>
      <c r="R253" s="75">
        <v>3.4599999999999999E-2</v>
      </c>
      <c r="S253" s="74">
        <f t="shared" si="5"/>
        <v>-1.0880834980965072E-2</v>
      </c>
      <c r="T253" s="28">
        <v>2.3434169116491108</v>
      </c>
      <c r="U253" s="28">
        <v>2.1704385533055466</v>
      </c>
      <c r="V253" s="28">
        <v>2.0239053497899451</v>
      </c>
      <c r="W253" s="28">
        <v>1.8549464142167984</v>
      </c>
      <c r="X253" s="28">
        <v>1.7475908927601225</v>
      </c>
      <c r="Y253" s="28">
        <v>1.5551310641511271</v>
      </c>
      <c r="Z253" s="28">
        <v>1.4366954538627412</v>
      </c>
      <c r="AA253" s="28">
        <v>1.3363787979101129</v>
      </c>
      <c r="AB253" s="28">
        <v>0</v>
      </c>
    </row>
    <row r="254" spans="2:28">
      <c r="B254" s="49">
        <v>3.4799999999999998E-2</v>
      </c>
      <c r="C254" s="40">
        <v>-97.5</v>
      </c>
      <c r="D254" s="27">
        <v>2.8393738719999999</v>
      </c>
      <c r="E254" s="27">
        <v>2.8055613940000002</v>
      </c>
      <c r="F254" s="27">
        <v>2.463905155</v>
      </c>
      <c r="G254" s="27">
        <v>2.3226896309999998</v>
      </c>
      <c r="H254" s="27">
        <v>2.0600896309999999</v>
      </c>
      <c r="I254" s="27">
        <v>1.853564733</v>
      </c>
      <c r="J254" s="27">
        <v>1.6045617459999999</v>
      </c>
      <c r="K254" s="27">
        <v>1.5259806680000001</v>
      </c>
      <c r="L254" s="27"/>
      <c r="M254" s="42"/>
      <c r="R254" s="75">
        <v>3.4799999999999998E-2</v>
      </c>
      <c r="S254" s="74">
        <f t="shared" si="5"/>
        <v>-1.0880834980965072E-2</v>
      </c>
      <c r="T254" s="28">
        <v>2.269762949869067</v>
      </c>
      <c r="U254" s="28">
        <v>2.0986695992920419</v>
      </c>
      <c r="V254" s="28">
        <v>1.9535928708217152</v>
      </c>
      <c r="W254" s="28">
        <v>1.7870167538056352</v>
      </c>
      <c r="X254" s="28">
        <v>1.6823410617427734</v>
      </c>
      <c r="Y254" s="28">
        <v>1.4965520466050564</v>
      </c>
      <c r="Z254" s="28">
        <v>1.3862542595635721</v>
      </c>
      <c r="AA254" s="28">
        <v>1.2953762765636012</v>
      </c>
      <c r="AB254" s="28">
        <v>0</v>
      </c>
    </row>
    <row r="255" spans="2:28">
      <c r="B255" s="49">
        <v>3.5000000000000003E-2</v>
      </c>
      <c r="C255" s="40">
        <v>-52.504454870000004</v>
      </c>
      <c r="D255" s="27">
        <v>2.768061372</v>
      </c>
      <c r="E255" s="27">
        <v>2.7357549240000001</v>
      </c>
      <c r="F255" s="27">
        <v>2.3931600230000001</v>
      </c>
      <c r="G255" s="27">
        <v>2.2584498239999999</v>
      </c>
      <c r="H255" s="27">
        <v>1.996682356</v>
      </c>
      <c r="I255" s="27">
        <v>1.796626729</v>
      </c>
      <c r="J255" s="27">
        <v>1.556519226</v>
      </c>
      <c r="K255" s="27">
        <v>1.4881584990000001</v>
      </c>
      <c r="L255" s="27"/>
      <c r="M255" s="42"/>
      <c r="R255" s="75">
        <v>3.5000000000000003E-2</v>
      </c>
      <c r="S255" s="74">
        <f t="shared" si="5"/>
        <v>-5.8594082995486975E-3</v>
      </c>
      <c r="T255" s="28">
        <v>2.196915331559</v>
      </c>
      <c r="U255" s="28">
        <v>2.0276579165046034</v>
      </c>
      <c r="V255" s="28">
        <v>1.8840212585942089</v>
      </c>
      <c r="W255" s="28">
        <v>1.7197814191150687</v>
      </c>
      <c r="X255" s="28">
        <v>1.6177071573114519</v>
      </c>
      <c r="Y255" s="28">
        <v>1.4383802968277433</v>
      </c>
      <c r="Z255" s="28">
        <v>1.3359485965070692</v>
      </c>
      <c r="AA255" s="28">
        <v>1.2542244138607022</v>
      </c>
      <c r="AB255" s="28">
        <v>0</v>
      </c>
    </row>
    <row r="256" spans="2:28">
      <c r="B256" s="49">
        <v>3.5200000000000002E-2</v>
      </c>
      <c r="C256" s="40">
        <v>-85.292852960000005</v>
      </c>
      <c r="D256" s="27">
        <v>2.6985164030000002</v>
      </c>
      <c r="E256" s="27">
        <v>2.667766667</v>
      </c>
      <c r="F256" s="27">
        <v>2.3220411830000001</v>
      </c>
      <c r="G256" s="27">
        <v>2.192741652</v>
      </c>
      <c r="H256" s="27">
        <v>1.9334671939999999</v>
      </c>
      <c r="I256" s="27">
        <v>1.740068014</v>
      </c>
      <c r="J256" s="27">
        <v>1.5088941419999999</v>
      </c>
      <c r="K256" s="27">
        <v>1.4499952549999999</v>
      </c>
      <c r="L256" s="27"/>
      <c r="M256" s="42"/>
      <c r="R256" s="75">
        <v>3.5200000000000002E-2</v>
      </c>
      <c r="S256" s="74">
        <f t="shared" si="5"/>
        <v>-9.5185380319331124E-3</v>
      </c>
      <c r="T256" s="28">
        <v>2.125624163118399</v>
      </c>
      <c r="U256" s="28">
        <v>1.9578526867129791</v>
      </c>
      <c r="V256" s="28">
        <v>1.8155191944213467</v>
      </c>
      <c r="W256" s="28">
        <v>1.6534394307214111</v>
      </c>
      <c r="X256" s="28">
        <v>1.5538001904025927</v>
      </c>
      <c r="Y256" s="28">
        <v>1.3806409878591241</v>
      </c>
      <c r="Z256" s="28">
        <v>1.2857909649131742</v>
      </c>
      <c r="AA256" s="28">
        <v>1.2129441898655369</v>
      </c>
      <c r="AB256" s="28">
        <v>0</v>
      </c>
    </row>
    <row r="257" spans="2:28">
      <c r="B257" s="49">
        <v>3.5400000000000001E-2</v>
      </c>
      <c r="C257" s="40">
        <v>-58.991739889999998</v>
      </c>
      <c r="D257" s="27">
        <v>2.6298251320000001</v>
      </c>
      <c r="E257" s="27">
        <v>2.6016483300000002</v>
      </c>
      <c r="F257" s="27">
        <v>2.2523938490000002</v>
      </c>
      <c r="G257" s="27">
        <v>2.1257891039999999</v>
      </c>
      <c r="H257" s="27">
        <v>1.8713558880000001</v>
      </c>
      <c r="I257" s="27">
        <v>1.684475747</v>
      </c>
      <c r="J257" s="27">
        <v>1.462112654</v>
      </c>
      <c r="K257" s="27">
        <v>1.4121182779999999</v>
      </c>
      <c r="L257" s="27"/>
      <c r="M257" s="42"/>
      <c r="R257" s="75">
        <v>3.5400000000000001E-2</v>
      </c>
      <c r="S257" s="74">
        <f t="shared" si="5"/>
        <v>-6.5833783280318421E-3</v>
      </c>
      <c r="T257" s="28">
        <v>2.0547899108934384</v>
      </c>
      <c r="U257" s="28">
        <v>1.8886643031840158</v>
      </c>
      <c r="V257" s="28">
        <v>1.7476886321510035</v>
      </c>
      <c r="W257" s="28">
        <v>1.5877871977513456</v>
      </c>
      <c r="X257" s="28">
        <v>1.4905379368458702</v>
      </c>
      <c r="Y257" s="28">
        <v>1.3233568161420211</v>
      </c>
      <c r="Z257" s="28">
        <v>1.2358156018551543</v>
      </c>
      <c r="AA257" s="28">
        <v>1.1715645413236253</v>
      </c>
      <c r="AB257" s="28">
        <v>0</v>
      </c>
    </row>
    <row r="258" spans="2:28">
      <c r="B258" s="49">
        <v>3.56E-2</v>
      </c>
      <c r="C258" s="40">
        <v>-58.611606100000003</v>
      </c>
      <c r="D258" s="27">
        <v>2.562094783</v>
      </c>
      <c r="E258" s="27">
        <v>2.537019871</v>
      </c>
      <c r="F258" s="27">
        <v>2.1851322980000001</v>
      </c>
      <c r="G258" s="27">
        <v>2.0592885700000001</v>
      </c>
      <c r="H258" s="27">
        <v>1.8106575030000001</v>
      </c>
      <c r="I258" s="27">
        <v>1.6299264360000001</v>
      </c>
      <c r="J258" s="27">
        <v>1.415170399</v>
      </c>
      <c r="K258" s="27">
        <v>1.374142556</v>
      </c>
      <c r="L258" s="27"/>
      <c r="M258" s="42"/>
      <c r="R258" s="75">
        <v>3.56E-2</v>
      </c>
      <c r="S258" s="74">
        <f t="shared" si="5"/>
        <v>-6.5409560404453932E-3</v>
      </c>
      <c r="T258" s="28">
        <v>1.9851695326577796</v>
      </c>
      <c r="U258" s="28">
        <v>1.820476757674057</v>
      </c>
      <c r="V258" s="28">
        <v>1.6807785918593807</v>
      </c>
      <c r="W258" s="28">
        <v>1.5229454274132035</v>
      </c>
      <c r="X258" s="28">
        <v>1.4279686296376115</v>
      </c>
      <c r="Y258" s="28">
        <v>1.2665295487904675</v>
      </c>
      <c r="Z258" s="28">
        <v>1.1860354868158962</v>
      </c>
      <c r="AA258" s="28">
        <v>1.1301114927527915</v>
      </c>
      <c r="AB258" s="28">
        <v>0</v>
      </c>
    </row>
    <row r="259" spans="2:28">
      <c r="B259" s="49">
        <v>3.5799999999999998E-2</v>
      </c>
      <c r="C259" s="40">
        <v>-86.064733450000006</v>
      </c>
      <c r="D259" s="27">
        <v>2.4958693030000001</v>
      </c>
      <c r="E259" s="27">
        <v>2.473530346</v>
      </c>
      <c r="F259" s="27">
        <v>2.1192224369999999</v>
      </c>
      <c r="G259" s="27">
        <v>1.9950772109999999</v>
      </c>
      <c r="H259" s="27">
        <v>1.751846163</v>
      </c>
      <c r="I259" s="27">
        <v>1.57689795</v>
      </c>
      <c r="J259" s="27">
        <v>1.3681731690000001</v>
      </c>
      <c r="K259" s="27">
        <v>1.3360922669999999</v>
      </c>
      <c r="L259" s="27"/>
      <c r="M259" s="42"/>
      <c r="R259" s="75">
        <v>3.5799999999999998E-2</v>
      </c>
      <c r="S259" s="74">
        <f t="shared" si="5"/>
        <v>-9.6046785882071273E-3</v>
      </c>
      <c r="T259" s="28">
        <v>1.9164582988175882</v>
      </c>
      <c r="U259" s="28">
        <v>1.7531480709180967</v>
      </c>
      <c r="V259" s="28">
        <v>1.6147042036058019</v>
      </c>
      <c r="W259" s="28">
        <v>1.4588829434409014</v>
      </c>
      <c r="X259" s="28">
        <v>1.3660912307731166</v>
      </c>
      <c r="Y259" s="28">
        <v>1.2101798908931622</v>
      </c>
      <c r="Z259" s="28">
        <v>1.1364731190576336</v>
      </c>
      <c r="AA259" s="28">
        <v>1.0886091116966121</v>
      </c>
      <c r="AB259" s="28">
        <v>0</v>
      </c>
    </row>
    <row r="260" spans="2:28">
      <c r="B260" s="49">
        <v>3.5999999999999997E-2</v>
      </c>
      <c r="C260" s="40">
        <v>-74.629466899999997</v>
      </c>
      <c r="D260" s="27">
        <v>2.4302102520000002</v>
      </c>
      <c r="E260" s="27">
        <v>2.4105660809999998</v>
      </c>
      <c r="F260" s="27">
        <v>2.0550162269999999</v>
      </c>
      <c r="G260" s="27">
        <v>1.93365952</v>
      </c>
      <c r="H260" s="27">
        <v>1.694458934</v>
      </c>
      <c r="I260" s="27">
        <v>1.5246893969999999</v>
      </c>
      <c r="J260" s="27">
        <v>1.3220571759999999</v>
      </c>
      <c r="K260" s="27">
        <v>1.299068248</v>
      </c>
      <c r="L260" s="27"/>
      <c r="M260" s="42"/>
      <c r="R260" s="75">
        <v>3.5999999999999997E-2</v>
      </c>
      <c r="S260" s="74">
        <f t="shared" si="5"/>
        <v>-8.3285221954491791E-3</v>
      </c>
      <c r="T260" s="28">
        <v>1.8481701152529009</v>
      </c>
      <c r="U260" s="28">
        <v>1.6863745623675053</v>
      </c>
      <c r="V260" s="28">
        <v>1.5492339571486879</v>
      </c>
      <c r="W260" s="28">
        <v>1.3954569667182215</v>
      </c>
      <c r="X260" s="28">
        <v>1.3048281193998419</v>
      </c>
      <c r="Y260" s="28">
        <v>1.1543062668588033</v>
      </c>
      <c r="Z260" s="28">
        <v>1.087151450557202</v>
      </c>
      <c r="AA260" s="28">
        <v>1.0470862045268734</v>
      </c>
      <c r="AB260" s="28">
        <v>0</v>
      </c>
    </row>
    <row r="261" spans="2:28">
      <c r="B261" s="49">
        <v>3.6200000000000003E-2</v>
      </c>
      <c r="C261" s="40">
        <v>-70.42700644</v>
      </c>
      <c r="D261" s="27">
        <v>2.3648200350000002</v>
      </c>
      <c r="E261" s="27">
        <v>2.3479377270000001</v>
      </c>
      <c r="F261" s="27">
        <v>1.9927158169999999</v>
      </c>
      <c r="G261" s="27">
        <v>1.8750211480000001</v>
      </c>
      <c r="H261" s="27">
        <v>1.637397832</v>
      </c>
      <c r="I261" s="27">
        <v>1.473411306</v>
      </c>
      <c r="J261" s="27">
        <v>1.2762837730000001</v>
      </c>
      <c r="K261" s="27">
        <v>1.2623492089999999</v>
      </c>
      <c r="L261" s="27"/>
      <c r="M261" s="42"/>
      <c r="R261" s="75">
        <v>3.6200000000000003E-2</v>
      </c>
      <c r="S261" s="74">
        <f t="shared" si="5"/>
        <v>-7.8595347207897886E-3</v>
      </c>
      <c r="T261" s="28">
        <v>1.7807940325431695</v>
      </c>
      <c r="U261" s="28">
        <v>1.6204034162275129</v>
      </c>
      <c r="V261" s="28">
        <v>1.484530759862039</v>
      </c>
      <c r="W261" s="28">
        <v>1.3327416847881923</v>
      </c>
      <c r="X261" s="28">
        <v>1.2442037294672548</v>
      </c>
      <c r="Y261" s="28">
        <v>1.0989023170385845</v>
      </c>
      <c r="Z261" s="28">
        <v>1.0380794061141414</v>
      </c>
      <c r="AA261" s="28">
        <v>1.0055657652619598</v>
      </c>
      <c r="AB261" s="28">
        <v>0</v>
      </c>
    </row>
    <row r="262" spans="2:28">
      <c r="B262" s="49">
        <v>3.6400000000000002E-2</v>
      </c>
      <c r="C262" s="40">
        <v>-48.7</v>
      </c>
      <c r="D262" s="27">
        <v>2.3000467489999998</v>
      </c>
      <c r="E262" s="27">
        <v>2.2863653780000002</v>
      </c>
      <c r="F262" s="27">
        <v>1.9309091389999999</v>
      </c>
      <c r="G262" s="27">
        <v>1.8174089630000001</v>
      </c>
      <c r="H262" s="27">
        <v>1.580774517</v>
      </c>
      <c r="I262" s="27">
        <v>1.4232929700000001</v>
      </c>
      <c r="J262" s="27">
        <v>1.2301771530000001</v>
      </c>
      <c r="K262" s="27">
        <v>1.225301757</v>
      </c>
      <c r="L262" s="27"/>
      <c r="M262" s="42"/>
      <c r="R262" s="75">
        <v>3.6400000000000002E-2</v>
      </c>
      <c r="S262" s="74">
        <f t="shared" si="5"/>
        <v>-5.4348375751076825E-3</v>
      </c>
      <c r="T262" s="28">
        <v>1.7142966729417033</v>
      </c>
      <c r="U262" s="28">
        <v>1.5552367817969917</v>
      </c>
      <c r="V262" s="28">
        <v>1.4206043199380225</v>
      </c>
      <c r="W262" s="28">
        <v>1.2707523198411481</v>
      </c>
      <c r="X262" s="28">
        <v>1.1842338171205262</v>
      </c>
      <c r="Y262" s="28">
        <v>1.0439810180673881</v>
      </c>
      <c r="Z262" s="28">
        <v>0.98927094939736326</v>
      </c>
      <c r="AA262" s="28">
        <v>0.96406767890381817</v>
      </c>
      <c r="AB262" s="28">
        <v>0</v>
      </c>
    </row>
    <row r="263" spans="2:28">
      <c r="B263" s="49">
        <v>3.6600000000000001E-2</v>
      </c>
      <c r="C263" s="40">
        <v>-48.7</v>
      </c>
      <c r="D263" s="27">
        <v>2.2364681709999998</v>
      </c>
      <c r="E263" s="27">
        <v>2.225319695</v>
      </c>
      <c r="F263" s="27">
        <v>1.869402521</v>
      </c>
      <c r="G263" s="27">
        <v>1.7587462490000001</v>
      </c>
      <c r="H263" s="27">
        <v>1.5242243259999999</v>
      </c>
      <c r="I263" s="27">
        <v>1.3733882770000001</v>
      </c>
      <c r="J263" s="27">
        <v>1.18437415</v>
      </c>
      <c r="K263" s="27">
        <v>1.1879818289999999</v>
      </c>
      <c r="L263" s="27"/>
      <c r="M263" s="42"/>
      <c r="R263" s="75">
        <v>3.6600000000000001E-2</v>
      </c>
      <c r="S263" s="74">
        <f t="shared" si="5"/>
        <v>-5.4348375751076825E-3</v>
      </c>
      <c r="T263" s="28">
        <v>1.648976460059929</v>
      </c>
      <c r="U263" s="28">
        <v>1.4910589490787032</v>
      </c>
      <c r="V263" s="28">
        <v>1.3575914972489884</v>
      </c>
      <c r="W263" s="28">
        <v>1.2095750389809705</v>
      </c>
      <c r="X263" s="28">
        <v>1.1249702499928986</v>
      </c>
      <c r="Y263" s="28">
        <v>0.98955994736186548</v>
      </c>
      <c r="Z263" s="28">
        <v>0.94073905468287344</v>
      </c>
      <c r="AA263" s="28">
        <v>0.92261022207873022</v>
      </c>
      <c r="AB263" s="28">
        <v>0</v>
      </c>
    </row>
    <row r="264" spans="2:28">
      <c r="B264" s="49">
        <v>3.6799999999999999E-2</v>
      </c>
      <c r="C264" s="40">
        <v>-48.7</v>
      </c>
      <c r="D264" s="27">
        <v>2.1736585819999998</v>
      </c>
      <c r="E264" s="27">
        <v>2.1654712950000001</v>
      </c>
      <c r="F264" s="27">
        <v>1.8074835970000001</v>
      </c>
      <c r="G264" s="27">
        <v>1.6978586410000001</v>
      </c>
      <c r="H264" s="27">
        <v>1.4671339189999999</v>
      </c>
      <c r="I264" s="27">
        <v>1.3238844169999999</v>
      </c>
      <c r="J264" s="27">
        <v>1.1385346220000001</v>
      </c>
      <c r="K264" s="27">
        <v>1.1510727009999999</v>
      </c>
      <c r="L264" s="27"/>
      <c r="M264" s="42"/>
      <c r="R264" s="75">
        <v>3.6799999999999999E-2</v>
      </c>
      <c r="S264" s="74">
        <f t="shared" si="5"/>
        <v>-5.4348375751076825E-3</v>
      </c>
      <c r="T264" s="28">
        <v>1.5845331990257827</v>
      </c>
      <c r="U264" s="28">
        <v>1.4277248746934925</v>
      </c>
      <c r="V264" s="28">
        <v>1.2954055007641017</v>
      </c>
      <c r="W264" s="28">
        <v>1.1491749125606707</v>
      </c>
      <c r="X264" s="28">
        <v>1.0664091128110866</v>
      </c>
      <c r="Y264" s="28">
        <v>0.93565756602016859</v>
      </c>
      <c r="Z264" s="28">
        <v>0.89250447314592518</v>
      </c>
      <c r="AA264" s="28">
        <v>0.88121381366494334</v>
      </c>
      <c r="AB264" s="28">
        <v>0</v>
      </c>
    </row>
    <row r="265" spans="2:28">
      <c r="B265" s="49">
        <v>3.6999999999999998E-2</v>
      </c>
      <c r="C265" s="40">
        <v>-29.3397188</v>
      </c>
      <c r="D265" s="27">
        <v>2.1112942000000001</v>
      </c>
      <c r="E265" s="27">
        <v>2.1068233740000002</v>
      </c>
      <c r="F265" s="27">
        <v>1.7447161689999999</v>
      </c>
      <c r="G265" s="27">
        <v>1.6357942000000001</v>
      </c>
      <c r="H265" s="27">
        <v>1.4100794379999999</v>
      </c>
      <c r="I265" s="27">
        <v>1.274717458</v>
      </c>
      <c r="J265" s="27">
        <v>1.0926482719999999</v>
      </c>
      <c r="K265" s="27">
        <v>1.1140439950000001</v>
      </c>
      <c r="L265" s="27"/>
      <c r="M265" s="42"/>
      <c r="R265" s="75">
        <v>3.6999999999999998E-2</v>
      </c>
      <c r="S265" s="74">
        <f t="shared" si="5"/>
        <v>-3.2742629605201907E-3</v>
      </c>
      <c r="T265" s="28">
        <v>1.5209243543675561</v>
      </c>
      <c r="U265" s="28">
        <v>1.3651980400738635</v>
      </c>
      <c r="V265" s="28">
        <v>1.2340122670404541</v>
      </c>
      <c r="W265" s="28">
        <v>1.0895283480250766</v>
      </c>
      <c r="X265" s="28">
        <v>1.0085384419585735</v>
      </c>
      <c r="Y265" s="28">
        <v>0.88228077249559933</v>
      </c>
      <c r="Z265" s="28">
        <v>0.84458417954620002</v>
      </c>
      <c r="AA265" s="28">
        <v>0.8399003205388339</v>
      </c>
      <c r="AB265" s="28">
        <v>0</v>
      </c>
    </row>
    <row r="266" spans="2:28">
      <c r="B266" s="49">
        <v>3.7199999999999997E-2</v>
      </c>
      <c r="C266" s="40">
        <v>-24.4</v>
      </c>
      <c r="D266" s="27">
        <v>2.0492434350000002</v>
      </c>
      <c r="E266" s="27">
        <v>2.0494160610000001</v>
      </c>
      <c r="F266" s="27">
        <v>1.6827372220000001</v>
      </c>
      <c r="G266" s="27">
        <v>1.5750030479999999</v>
      </c>
      <c r="H266" s="27">
        <v>1.353884994</v>
      </c>
      <c r="I266" s="27">
        <v>1.2258923799999999</v>
      </c>
      <c r="J266" s="27">
        <v>1.0471053930000001</v>
      </c>
      <c r="K266" s="27">
        <v>1.0759158849999999</v>
      </c>
      <c r="L266" s="27"/>
      <c r="M266" s="42"/>
      <c r="R266" s="75">
        <v>3.7199999999999997E-2</v>
      </c>
      <c r="S266" s="74">
        <f t="shared" si="5"/>
        <v>-2.7229987029286948E-3</v>
      </c>
      <c r="T266" s="28">
        <v>1.4584490579740832</v>
      </c>
      <c r="U266" s="28">
        <v>1.3036500544605096</v>
      </c>
      <c r="V266" s="28">
        <v>1.1735315557082113</v>
      </c>
      <c r="W266" s="28">
        <v>1.0307043937367932</v>
      </c>
      <c r="X266" s="28">
        <v>0.95139607395420234</v>
      </c>
      <c r="Y266" s="28">
        <v>0.82944121049516861</v>
      </c>
      <c r="Z266" s="28">
        <v>0.79699009395241638</v>
      </c>
      <c r="AA266" s="28">
        <v>0.79868807920937968</v>
      </c>
      <c r="AB266" s="28">
        <v>0</v>
      </c>
    </row>
    <row r="267" spans="2:28">
      <c r="B267" s="49">
        <v>3.7400000000000003E-2</v>
      </c>
      <c r="C267" s="40">
        <v>-48.7</v>
      </c>
      <c r="D267" s="27">
        <v>1.987760808</v>
      </c>
      <c r="E267" s="27">
        <v>1.9917544819999999</v>
      </c>
      <c r="F267" s="27">
        <v>1.6220295250000001</v>
      </c>
      <c r="G267" s="27">
        <v>1.5172497359999999</v>
      </c>
      <c r="H267" s="27">
        <v>1.2999152899999999</v>
      </c>
      <c r="I267" s="27">
        <v>1.1774370830000001</v>
      </c>
      <c r="J267" s="27">
        <v>1.0020994729999999</v>
      </c>
      <c r="K267" s="27">
        <v>1.0372884010000001</v>
      </c>
      <c r="L267" s="27"/>
      <c r="M267" s="42"/>
      <c r="R267" s="75">
        <v>3.7400000000000003E-2</v>
      </c>
      <c r="S267" s="74">
        <f t="shared" si="5"/>
        <v>-5.4348375751076825E-3</v>
      </c>
      <c r="T267" s="28">
        <v>1.3969310174227787</v>
      </c>
      <c r="U267" s="28">
        <v>1.2430011290022476</v>
      </c>
      <c r="V267" s="28">
        <v>1.1139152842729048</v>
      </c>
      <c r="W267" s="28">
        <v>0.9726866691572974</v>
      </c>
      <c r="X267" s="28">
        <v>0.89498467326699616</v>
      </c>
      <c r="Y267" s="28">
        <v>0.77715530967108948</v>
      </c>
      <c r="Z267" s="28">
        <v>0.74973967966650423</v>
      </c>
      <c r="AA267" s="28">
        <v>0.75759583244309803</v>
      </c>
      <c r="AB267" s="28">
        <v>0</v>
      </c>
    </row>
    <row r="268" spans="2:28">
      <c r="B268" s="49">
        <v>3.7600000000000001E-2</v>
      </c>
      <c r="C268" s="40">
        <v>-33.48481829</v>
      </c>
      <c r="D268" s="27">
        <v>1.926497597</v>
      </c>
      <c r="E268" s="27">
        <v>1.933741149</v>
      </c>
      <c r="F268" s="27">
        <v>1.5625474210000001</v>
      </c>
      <c r="G268" s="27">
        <v>1.462478312</v>
      </c>
      <c r="H268" s="27">
        <v>1.2478157089999999</v>
      </c>
      <c r="I268" s="27">
        <v>1.12850932</v>
      </c>
      <c r="J268" s="27">
        <v>0.95801524000000005</v>
      </c>
      <c r="K268" s="27">
        <v>0.99894613099999996</v>
      </c>
      <c r="L268" s="27"/>
      <c r="M268" s="42"/>
      <c r="R268" s="75">
        <v>3.7600000000000001E-2</v>
      </c>
      <c r="S268" s="74">
        <f t="shared" si="5"/>
        <v>-3.7368490480111905E-3</v>
      </c>
      <c r="T268" s="28">
        <v>1.3358503014182468</v>
      </c>
      <c r="U268" s="28">
        <v>1.1829403882277425</v>
      </c>
      <c r="V268" s="28">
        <v>1.0549373279608638</v>
      </c>
      <c r="W268" s="28">
        <v>0.91533852061228604</v>
      </c>
      <c r="X268" s="28">
        <v>0.83923202611649539</v>
      </c>
      <c r="Y268" s="28">
        <v>0.725420072348953</v>
      </c>
      <c r="Z268" s="28">
        <v>0.70285224509569089</v>
      </c>
      <c r="AA268" s="28">
        <v>0.71664637101492468</v>
      </c>
      <c r="AB268" s="28">
        <v>0</v>
      </c>
    </row>
    <row r="269" spans="2:28">
      <c r="B269" s="49">
        <v>3.78E-2</v>
      </c>
      <c r="C269" s="40">
        <v>-23.59396602</v>
      </c>
      <c r="D269" s="27">
        <v>1.8651103689999999</v>
      </c>
      <c r="E269" s="27">
        <v>1.875227768</v>
      </c>
      <c r="F269" s="27">
        <v>1.5043122440000001</v>
      </c>
      <c r="G269" s="27">
        <v>1.41027686</v>
      </c>
      <c r="H269" s="27">
        <v>1.196334622</v>
      </c>
      <c r="I269" s="27">
        <v>1.0794973640000001</v>
      </c>
      <c r="J269" s="27">
        <v>0.91437440000000003</v>
      </c>
      <c r="K269" s="27">
        <v>0.96133901600000005</v>
      </c>
      <c r="L269" s="27"/>
      <c r="M269" s="42"/>
      <c r="R269" s="75">
        <v>3.78E-2</v>
      </c>
      <c r="S269" s="74">
        <f t="shared" si="5"/>
        <v>-2.6330466749755616E-3</v>
      </c>
      <c r="T269" s="28">
        <v>1.2757229525660401</v>
      </c>
      <c r="U269" s="28">
        <v>1.1237316809714697</v>
      </c>
      <c r="V269" s="28">
        <v>0.99676818515298815</v>
      </c>
      <c r="W269" s="28">
        <v>0.85873890056237434</v>
      </c>
      <c r="X269" s="28">
        <v>0.78416561488851599</v>
      </c>
      <c r="Y269" s="28">
        <v>0.6742293338487223</v>
      </c>
      <c r="Z269" s="28">
        <v>0.65633252347178872</v>
      </c>
      <c r="AA269" s="28">
        <v>0.67585718563810826</v>
      </c>
      <c r="AB269" s="28">
        <v>0</v>
      </c>
    </row>
    <row r="270" spans="2:28">
      <c r="B270" s="49">
        <v>3.7999999999999999E-2</v>
      </c>
      <c r="C270" s="40">
        <v>-64.709373170000006</v>
      </c>
      <c r="D270" s="27">
        <v>1.8042128879999999</v>
      </c>
      <c r="E270" s="27">
        <v>1.816790744</v>
      </c>
      <c r="F270" s="27">
        <v>1.447374927</v>
      </c>
      <c r="G270" s="27">
        <v>1.359061863</v>
      </c>
      <c r="H270" s="27">
        <v>1.144140129</v>
      </c>
      <c r="I270" s="27">
        <v>1.030836555</v>
      </c>
      <c r="J270" s="27">
        <v>0.87115471600000005</v>
      </c>
      <c r="K270" s="27">
        <v>0.92456338599999999</v>
      </c>
      <c r="L270" s="27"/>
      <c r="M270" s="42"/>
      <c r="R270" s="75">
        <v>3.7999999999999999E-2</v>
      </c>
      <c r="S270" s="74">
        <f t="shared" si="5"/>
        <v>-7.2214565249688082E-3</v>
      </c>
      <c r="T270" s="28">
        <v>1.2165532789717777</v>
      </c>
      <c r="U270" s="28">
        <v>1.0654036665815736</v>
      </c>
      <c r="V270" s="28">
        <v>0.93943730173103268</v>
      </c>
      <c r="W270" s="28">
        <v>0.80291582092064762</v>
      </c>
      <c r="X270" s="28">
        <v>0.72980891025445938</v>
      </c>
      <c r="Y270" s="28">
        <v>0.62359634808621911</v>
      </c>
      <c r="Z270" s="28">
        <v>0.61019054584713806</v>
      </c>
      <c r="AA270" s="28">
        <v>0.63524260009636191</v>
      </c>
      <c r="AB270" s="28">
        <v>0</v>
      </c>
    </row>
    <row r="271" spans="2:28">
      <c r="B271" s="49">
        <v>3.8199999999999998E-2</v>
      </c>
      <c r="C271" s="40">
        <v>-52.890621340000003</v>
      </c>
      <c r="D271" s="27">
        <v>1.743165182</v>
      </c>
      <c r="E271" s="27">
        <v>1.7591984169999999</v>
      </c>
      <c r="F271" s="27">
        <v>1.3911266710000001</v>
      </c>
      <c r="G271" s="27">
        <v>1.3063973040000001</v>
      </c>
      <c r="H271" s="27">
        <v>1.0906831770000001</v>
      </c>
      <c r="I271" s="27">
        <v>0.98255879199999996</v>
      </c>
      <c r="J271" s="27">
        <v>0.82777180500000003</v>
      </c>
      <c r="K271" s="27">
        <v>0.88820697500000001</v>
      </c>
      <c r="L271" s="27"/>
      <c r="M271" s="42"/>
      <c r="R271" s="75">
        <v>3.8199999999999998E-2</v>
      </c>
      <c r="S271" s="74">
        <f t="shared" si="5"/>
        <v>-5.9025038240128188E-3</v>
      </c>
      <c r="T271" s="28">
        <v>1.1575194015946355</v>
      </c>
      <c r="U271" s="28">
        <v>1.0074775001249836</v>
      </c>
      <c r="V271" s="28">
        <v>0.88259993393918168</v>
      </c>
      <c r="W271" s="28">
        <v>0.74766677967181649</v>
      </c>
      <c r="X271" s="28">
        <v>0.6760566974519725</v>
      </c>
      <c r="Y271" s="28">
        <v>0.57351423943098023</v>
      </c>
      <c r="Z271" s="28">
        <v>0.56444451163178389</v>
      </c>
      <c r="AA271" s="28">
        <v>0.59482342766886886</v>
      </c>
      <c r="AB271" s="28">
        <v>0</v>
      </c>
    </row>
    <row r="272" spans="2:28">
      <c r="B272" s="49">
        <v>3.8399999999999997E-2</v>
      </c>
      <c r="C272" s="40">
        <v>-48.7</v>
      </c>
      <c r="D272" s="27">
        <v>1.6818</v>
      </c>
      <c r="E272" s="27">
        <v>1.7029000000000001</v>
      </c>
      <c r="F272" s="27">
        <v>1.3354999999999999</v>
      </c>
      <c r="G272" s="27">
        <v>1.2518</v>
      </c>
      <c r="H272" s="27">
        <v>1.036</v>
      </c>
      <c r="I272" s="27">
        <v>0.93469999999999998</v>
      </c>
      <c r="J272" s="27">
        <v>0.78390000000000004</v>
      </c>
      <c r="K272" s="27">
        <v>0.85160000000000002</v>
      </c>
      <c r="L272" s="27"/>
      <c r="M272" s="42"/>
      <c r="R272" s="75">
        <v>3.8399999999999997E-2</v>
      </c>
      <c r="S272" s="74">
        <f t="shared" ref="S272:S335" si="6">C272/$I$39</f>
        <v>-5.4348375751076825E-3</v>
      </c>
      <c r="T272" s="28">
        <v>1.0992910749263056</v>
      </c>
      <c r="U272" s="28">
        <v>0.95028710736975996</v>
      </c>
      <c r="V272" s="28">
        <v>0.82646926109883179</v>
      </c>
      <c r="W272" s="28">
        <v>0.69308487842999189</v>
      </c>
      <c r="X272" s="28">
        <v>0.62293484742791239</v>
      </c>
      <c r="Y272" s="28">
        <v>0.52396618689513907</v>
      </c>
      <c r="Z272" s="28">
        <v>0.51909308504092422</v>
      </c>
      <c r="AA272" s="28">
        <v>0.55461471883579316</v>
      </c>
      <c r="AB272" s="28">
        <v>0</v>
      </c>
    </row>
    <row r="273" spans="2:28">
      <c r="B273" s="49">
        <v>3.8600000000000002E-2</v>
      </c>
      <c r="C273" s="40">
        <v>-28.573446659999998</v>
      </c>
      <c r="D273" s="27">
        <v>1.6209035169999999</v>
      </c>
      <c r="E273" s="27">
        <v>1.6463844080000001</v>
      </c>
      <c r="F273" s="27">
        <v>1.2791470110000001</v>
      </c>
      <c r="G273" s="27">
        <v>1.1958592029999999</v>
      </c>
      <c r="H273" s="27">
        <v>0.98106529899999995</v>
      </c>
      <c r="I273" s="27">
        <v>0.88659273199999999</v>
      </c>
      <c r="J273" s="27">
        <v>0.739776671</v>
      </c>
      <c r="K273" s="27">
        <v>0.81402127800000001</v>
      </c>
      <c r="L273" s="27"/>
      <c r="M273" s="42"/>
      <c r="R273" s="75">
        <v>3.8600000000000002E-2</v>
      </c>
      <c r="S273" s="74">
        <f t="shared" si="6"/>
        <v>-3.1887482866140267E-3</v>
      </c>
      <c r="T273" s="28">
        <v>1.0418611038480656</v>
      </c>
      <c r="U273" s="28">
        <v>0.89385622024040678</v>
      </c>
      <c r="V273" s="28">
        <v>0.77107197306846653</v>
      </c>
      <c r="W273" s="28">
        <v>0.63919658016775016</v>
      </c>
      <c r="X273" s="28">
        <v>0.57046465602224605</v>
      </c>
      <c r="Y273" s="28">
        <v>0.47496146816704143</v>
      </c>
      <c r="Z273" s="28">
        <v>0.47414165234815753</v>
      </c>
      <c r="AA273" s="28">
        <v>0.51462737821783222</v>
      </c>
      <c r="AB273" s="28">
        <v>0</v>
      </c>
    </row>
    <row r="274" spans="2:28">
      <c r="B274" s="49">
        <v>3.8800000000000001E-2</v>
      </c>
      <c r="C274" s="40">
        <v>-57.090626829999998</v>
      </c>
      <c r="D274" s="27">
        <v>1.5601183359999999</v>
      </c>
      <c r="E274" s="27">
        <v>1.5888124189999999</v>
      </c>
      <c r="F274" s="27">
        <v>1.220224663</v>
      </c>
      <c r="G274" s="27">
        <v>1.140609666</v>
      </c>
      <c r="H274" s="27">
        <v>0.92766936099999997</v>
      </c>
      <c r="I274" s="27">
        <v>0.83911365000000004</v>
      </c>
      <c r="J274" s="27">
        <v>0.69624844799999996</v>
      </c>
      <c r="K274" s="27">
        <v>0.77656151100000004</v>
      </c>
      <c r="L274" s="27"/>
      <c r="M274" s="42"/>
      <c r="R274" s="75">
        <v>3.8800000000000001E-2</v>
      </c>
      <c r="S274" s="74">
        <f t="shared" si="6"/>
        <v>-6.3712173281752519E-3</v>
      </c>
      <c r="T274" s="28">
        <v>0.98551906901813968</v>
      </c>
      <c r="U274" s="28">
        <v>0.83836706999418897</v>
      </c>
      <c r="V274" s="28">
        <v>0.71654328866317574</v>
      </c>
      <c r="W274" s="28">
        <v>0.58608792998168624</v>
      </c>
      <c r="X274" s="28">
        <v>0.51869762215624704</v>
      </c>
      <c r="Y274" s="28">
        <v>0.42651449316120665</v>
      </c>
      <c r="Z274" s="28">
        <v>0.4295961582778996</v>
      </c>
      <c r="AA274" s="28">
        <v>0.47487151239726239</v>
      </c>
      <c r="AB274" s="28">
        <v>0</v>
      </c>
    </row>
    <row r="275" spans="2:28">
      <c r="B275" s="49">
        <v>3.9E-2</v>
      </c>
      <c r="C275" s="40">
        <v>-60.521206800000002</v>
      </c>
      <c r="D275" s="27">
        <v>1.4990896309999999</v>
      </c>
      <c r="E275" s="27">
        <v>1.53052068</v>
      </c>
      <c r="F275" s="27">
        <v>1.159898946</v>
      </c>
      <c r="G275" s="27">
        <v>1.0869529579999999</v>
      </c>
      <c r="H275" s="27">
        <v>0.87699332200000002</v>
      </c>
      <c r="I275" s="27">
        <v>0.79263678999999998</v>
      </c>
      <c r="J275" s="27">
        <v>0.65363802000000004</v>
      </c>
      <c r="K275" s="27">
        <v>0.73874545999999996</v>
      </c>
      <c r="L275" s="27"/>
      <c r="M275" s="42"/>
      <c r="R275" s="75">
        <v>3.9E-2</v>
      </c>
      <c r="S275" s="74">
        <f t="shared" si="6"/>
        <v>-6.7540642465606284E-3</v>
      </c>
      <c r="T275" s="28">
        <v>0.92951689065910381</v>
      </c>
      <c r="U275" s="28">
        <v>0.78340849750643404</v>
      </c>
      <c r="V275" s="28">
        <v>0.66260436980837778</v>
      </c>
      <c r="W275" s="28">
        <v>0.53360776281473199</v>
      </c>
      <c r="X275" s="28">
        <v>0.46756477567799326</v>
      </c>
      <c r="Y275" s="28">
        <v>0.37862935704435235</v>
      </c>
      <c r="Z275" s="28">
        <v>0.38547413947179027</v>
      </c>
      <c r="AA275" s="28">
        <v>0.43536292358404249</v>
      </c>
      <c r="AB275" s="28">
        <v>0</v>
      </c>
    </row>
    <row r="276" spans="2:28">
      <c r="B276" s="49">
        <v>3.9199999999999999E-2</v>
      </c>
      <c r="C276" s="40">
        <v>-48.7</v>
      </c>
      <c r="D276" s="27">
        <v>1.4377024030000001</v>
      </c>
      <c r="E276" s="27">
        <v>1.4710650059999999</v>
      </c>
      <c r="F276" s="27">
        <v>1.0995587339999999</v>
      </c>
      <c r="G276" s="27">
        <v>1.0350155329999999</v>
      </c>
      <c r="H276" s="27">
        <v>0.82803446700000005</v>
      </c>
      <c r="I276" s="27">
        <v>0.74613458399999999</v>
      </c>
      <c r="J276" s="27">
        <v>0.61148487699999998</v>
      </c>
      <c r="K276" s="27">
        <v>0.70134144200000004</v>
      </c>
      <c r="L276" s="27"/>
      <c r="M276" s="42"/>
      <c r="R276" s="75">
        <v>3.9199999999999999E-2</v>
      </c>
      <c r="S276" s="74">
        <f t="shared" si="6"/>
        <v>-5.4348375751076825E-3</v>
      </c>
      <c r="T276" s="28">
        <v>0.87412545793561103</v>
      </c>
      <c r="U276" s="28">
        <v>0.72908920657387966</v>
      </c>
      <c r="V276" s="28">
        <v>0.60930660930291636</v>
      </c>
      <c r="W276" s="28">
        <v>0.48176212243017286</v>
      </c>
      <c r="X276" s="28">
        <v>0.41705255622868781</v>
      </c>
      <c r="Y276" s="28">
        <v>0.33129329282298337</v>
      </c>
      <c r="Z276" s="28">
        <v>0.3417790317121121</v>
      </c>
      <c r="AA276" s="28">
        <v>0.39611638160675533</v>
      </c>
      <c r="AB276" s="28">
        <v>0</v>
      </c>
    </row>
    <row r="277" spans="2:28">
      <c r="B277" s="49">
        <v>3.9399999999999998E-2</v>
      </c>
      <c r="C277" s="40">
        <v>-27.81652021</v>
      </c>
      <c r="D277" s="27">
        <v>1.3764391920000001</v>
      </c>
      <c r="E277" s="27">
        <v>1.4114423549999999</v>
      </c>
      <c r="F277" s="27">
        <v>1.0396704750000001</v>
      </c>
      <c r="G277" s="27">
        <v>0.98391599299999999</v>
      </c>
      <c r="H277" s="27">
        <v>0.77986449899999999</v>
      </c>
      <c r="I277" s="27">
        <v>0.69932390200000005</v>
      </c>
      <c r="J277" s="27">
        <v>0.56979121300000002</v>
      </c>
      <c r="K277" s="27">
        <v>0.66468664300000002</v>
      </c>
      <c r="L277" s="27"/>
      <c r="M277" s="42"/>
      <c r="R277" s="75">
        <v>3.9399999999999998E-2</v>
      </c>
      <c r="S277" s="74">
        <f t="shared" si="6"/>
        <v>-3.1042765758942555E-3</v>
      </c>
      <c r="T277" s="28">
        <v>0.81962987592804637</v>
      </c>
      <c r="U277" s="28">
        <v>0.67557756952186077</v>
      </c>
      <c r="V277" s="28">
        <v>0.55676931896106441</v>
      </c>
      <c r="W277" s="28">
        <v>0.43062061765812665</v>
      </c>
      <c r="X277" s="28">
        <v>0.36719673477252479</v>
      </c>
      <c r="Y277" s="28">
        <v>0.28451050328312605</v>
      </c>
      <c r="Z277" s="28">
        <v>0.29851238514992212</v>
      </c>
      <c r="AA277" s="28">
        <v>0.35714121438235757</v>
      </c>
      <c r="AB277" s="28">
        <v>0</v>
      </c>
    </row>
    <row r="278" spans="2:28">
      <c r="B278" s="49">
        <v>3.9600000000000003E-2</v>
      </c>
      <c r="C278" s="40">
        <v>-73.099999999999994</v>
      </c>
      <c r="D278" s="27">
        <v>1.3156814189999999</v>
      </c>
      <c r="E278" s="27">
        <v>1.3528621919999999</v>
      </c>
      <c r="F278" s="27">
        <v>0.98101189899999997</v>
      </c>
      <c r="G278" s="27">
        <v>0.93335480699999995</v>
      </c>
      <c r="H278" s="27">
        <v>0.73095480700000004</v>
      </c>
      <c r="I278" s="27">
        <v>0.65277596699999996</v>
      </c>
      <c r="J278" s="27">
        <v>0.52788159400000001</v>
      </c>
      <c r="K278" s="27">
        <v>0.62855246200000003</v>
      </c>
      <c r="L278" s="27"/>
      <c r="M278" s="42"/>
      <c r="R278" s="75">
        <v>3.9600000000000003E-2</v>
      </c>
      <c r="S278" s="74">
        <f t="shared" si="6"/>
        <v>-8.1578362780363768E-3</v>
      </c>
      <c r="T278" s="28">
        <v>0.76624998965473234</v>
      </c>
      <c r="U278" s="28">
        <v>0.62302726858825919</v>
      </c>
      <c r="V278" s="28">
        <v>0.50511439565491101</v>
      </c>
      <c r="W278" s="28">
        <v>0.38026815775578426</v>
      </c>
      <c r="X278" s="28">
        <v>0.31805233883364536</v>
      </c>
      <c r="Y278" s="28">
        <v>0.23829889443303004</v>
      </c>
      <c r="Z278" s="28">
        <v>0.25567974581712166</v>
      </c>
      <c r="AA278" s="28">
        <v>0.31844509617349581</v>
      </c>
      <c r="AB278" s="28">
        <v>0</v>
      </c>
    </row>
    <row r="279" spans="2:28">
      <c r="B279" s="49">
        <v>3.9800000000000002E-2</v>
      </c>
      <c r="C279" s="40">
        <v>-78.060046869999994</v>
      </c>
      <c r="D279" s="27">
        <v>1.2545684239999999</v>
      </c>
      <c r="E279" s="27">
        <v>1.294776626</v>
      </c>
      <c r="F279" s="27">
        <v>0.92520843600000002</v>
      </c>
      <c r="G279" s="27">
        <v>0.88229302899999995</v>
      </c>
      <c r="H279" s="27">
        <v>0.679913357</v>
      </c>
      <c r="I279" s="27">
        <v>0.60655008799999999</v>
      </c>
      <c r="J279" s="27">
        <v>0.48574288199999999</v>
      </c>
      <c r="K279" s="27">
        <v>0.59286092599999995</v>
      </c>
      <c r="L279" s="27"/>
      <c r="M279" s="42"/>
      <c r="R279" s="75">
        <v>3.9800000000000002E-2</v>
      </c>
      <c r="S279" s="74">
        <f t="shared" si="6"/>
        <v>-8.7113691138345547E-3</v>
      </c>
      <c r="T279" s="28">
        <v>0.71294563294215907</v>
      </c>
      <c r="U279" s="28">
        <v>0.57085091980260239</v>
      </c>
      <c r="V279" s="28">
        <v>0.45393456206985183</v>
      </c>
      <c r="W279" s="28">
        <v>0.33047679144552627</v>
      </c>
      <c r="X279" s="28">
        <v>0.26950847585321591</v>
      </c>
      <c r="Y279" s="28">
        <v>0.1926566596790219</v>
      </c>
      <c r="Z279" s="28">
        <v>0.21330025196033672</v>
      </c>
      <c r="AA279" s="28">
        <v>0.28004417294893275</v>
      </c>
      <c r="AB279" s="28">
        <v>0</v>
      </c>
    </row>
    <row r="280" spans="2:28">
      <c r="B280" s="49">
        <v>0.04</v>
      </c>
      <c r="C280" s="40">
        <v>-88.351786759999996</v>
      </c>
      <c r="D280" s="27">
        <v>1.193178852</v>
      </c>
      <c r="E280" s="27">
        <v>1.2365786169999999</v>
      </c>
      <c r="F280" s="27">
        <v>0.87122835399999998</v>
      </c>
      <c r="G280" s="27">
        <v>0.82927838300000001</v>
      </c>
      <c r="H280" s="27">
        <v>0.62697838299999997</v>
      </c>
      <c r="I280" s="27">
        <v>0.56007791399999995</v>
      </c>
      <c r="J280" s="27">
        <v>0.44406508500000003</v>
      </c>
      <c r="K280" s="27">
        <v>0.55766467500000005</v>
      </c>
      <c r="L280" s="27"/>
      <c r="M280" s="42"/>
      <c r="R280" s="75">
        <v>0.04</v>
      </c>
      <c r="S280" s="74">
        <f t="shared" si="6"/>
        <v>-9.8599098667587152E-3</v>
      </c>
      <c r="T280" s="28">
        <v>0.6601613540286666</v>
      </c>
      <c r="U280" s="28">
        <v>0.51923482680594646</v>
      </c>
      <c r="V280" s="28">
        <v>0.4033276804944495</v>
      </c>
      <c r="W280" s="28">
        <v>0.28126734025579692</v>
      </c>
      <c r="X280" s="28">
        <v>0.22154912056275447</v>
      </c>
      <c r="Y280" s="28">
        <v>0.14756002607564633</v>
      </c>
      <c r="Z280" s="28">
        <v>0.17137220499431213</v>
      </c>
      <c r="AA280" s="28">
        <v>0.24195187020756001</v>
      </c>
      <c r="AB280" s="28">
        <v>0</v>
      </c>
    </row>
    <row r="281" spans="2:28">
      <c r="B281" s="49">
        <v>4.02E-2</v>
      </c>
      <c r="C281" s="40">
        <v>-86.444196950000006</v>
      </c>
      <c r="D281" s="27">
        <v>1.1317521690000001</v>
      </c>
      <c r="E281" s="27">
        <v>1.178902227</v>
      </c>
      <c r="F281" s="27">
        <v>0.817442907</v>
      </c>
      <c r="G281" s="27">
        <v>0.77464132500000005</v>
      </c>
      <c r="H281" s="27">
        <v>0.57299759699999997</v>
      </c>
      <c r="I281" s="27">
        <v>0.51326957799999995</v>
      </c>
      <c r="J281" s="27">
        <v>0.40253059800000002</v>
      </c>
      <c r="K281" s="27">
        <v>0.52231037499999999</v>
      </c>
      <c r="L281" s="27"/>
      <c r="M281" s="42"/>
      <c r="R281" s="75">
        <v>4.02E-2</v>
      </c>
      <c r="S281" s="74">
        <f t="shared" si="6"/>
        <v>-9.6470260725640446E-3</v>
      </c>
      <c r="T281" s="28">
        <v>0.60787239192744535</v>
      </c>
      <c r="U281" s="28">
        <v>0.46816404164691883</v>
      </c>
      <c r="V281" s="28">
        <v>0.35327881138630585</v>
      </c>
      <c r="W281" s="28">
        <v>0.23262831217906255</v>
      </c>
      <c r="X281" s="28">
        <v>0.17416404837924782</v>
      </c>
      <c r="Y281" s="28">
        <v>0.10300310996465786</v>
      </c>
      <c r="Z281" s="28">
        <v>0.12989554017267088</v>
      </c>
      <c r="AA281" s="28">
        <v>0.20417689370285685</v>
      </c>
      <c r="AB281" s="28">
        <v>0</v>
      </c>
    </row>
    <row r="282" spans="2:28">
      <c r="B282" s="49">
        <v>4.0399999999999998E-2</v>
      </c>
      <c r="C282" s="40">
        <v>-62.422319860000002</v>
      </c>
      <c r="D282" s="27">
        <v>1.070865905</v>
      </c>
      <c r="E282" s="27">
        <v>1.1212629169999999</v>
      </c>
      <c r="F282" s="27">
        <v>0.76295992999999995</v>
      </c>
      <c r="G282" s="27">
        <v>0.71879736400000005</v>
      </c>
      <c r="H282" s="27">
        <v>0.52035694200000004</v>
      </c>
      <c r="I282" s="27">
        <v>0.46656344500000002</v>
      </c>
      <c r="J282" s="27">
        <v>0.36109806700000002</v>
      </c>
      <c r="K282" s="27">
        <v>0.48618892800000002</v>
      </c>
      <c r="L282" s="27"/>
      <c r="M282" s="42"/>
      <c r="R282" s="75">
        <v>4.0399999999999998E-2</v>
      </c>
      <c r="S282" s="74">
        <f t="shared" si="6"/>
        <v>-6.9662252464172186E-3</v>
      </c>
      <c r="T282" s="28">
        <v>0.55628828392958218</v>
      </c>
      <c r="U282" s="28">
        <v>0.41775512287362304</v>
      </c>
      <c r="V282" s="28">
        <v>0.30386717704246929</v>
      </c>
      <c r="W282" s="28">
        <v>0.18460270697718703</v>
      </c>
      <c r="X282" s="28">
        <v>0.12737219118487175</v>
      </c>
      <c r="Y282" s="28">
        <v>5.8984608483676919E-2</v>
      </c>
      <c r="Z282" s="28">
        <v>8.8869304550991957E-2</v>
      </c>
      <c r="AA282" s="28">
        <v>0.16672607634671333</v>
      </c>
      <c r="AB282" s="28">
        <v>0</v>
      </c>
    </row>
    <row r="283" spans="2:28">
      <c r="B283" s="49">
        <v>4.0599999999999997E-2</v>
      </c>
      <c r="C283" s="40">
        <v>-70.42700644</v>
      </c>
      <c r="D283" s="27">
        <v>1.0099965440000001</v>
      </c>
      <c r="E283" s="27">
        <v>1.0632336259999999</v>
      </c>
      <c r="F283" s="27">
        <v>0.70679121300000003</v>
      </c>
      <c r="G283" s="27">
        <v>0.66282548299999999</v>
      </c>
      <c r="H283" s="27">
        <v>0.46934346799999999</v>
      </c>
      <c r="I283" s="27">
        <v>0.42031622699999999</v>
      </c>
      <c r="J283" s="27">
        <v>0.320212302</v>
      </c>
      <c r="K283" s="27">
        <v>0.45034124199999997</v>
      </c>
      <c r="L283" s="27"/>
      <c r="M283" s="42"/>
      <c r="R283" s="75">
        <v>4.0599999999999997E-2</v>
      </c>
      <c r="S283" s="74">
        <f t="shared" si="6"/>
        <v>-7.8595347207897886E-3</v>
      </c>
      <c r="T283" s="28">
        <v>0.50579362043274723</v>
      </c>
      <c r="U283" s="28">
        <v>0.36825616113962317</v>
      </c>
      <c r="V283" s="28">
        <v>0.25528890045828617</v>
      </c>
      <c r="W283" s="28">
        <v>0.13731614390010277</v>
      </c>
      <c r="X283" s="28">
        <v>8.1246997571655669E-2</v>
      </c>
      <c r="Y283" s="28">
        <v>1.5518116879664326E-2</v>
      </c>
      <c r="Z283" s="28">
        <v>4.82940510268293E-2</v>
      </c>
      <c r="AA283" s="28">
        <v>0.12960297096482948</v>
      </c>
      <c r="AB283" s="28">
        <v>0</v>
      </c>
    </row>
    <row r="284" spans="2:28">
      <c r="B284" s="49">
        <v>4.0800000000000003E-2</v>
      </c>
      <c r="C284" s="40">
        <v>-74.629466899999997</v>
      </c>
      <c r="D284" s="27">
        <v>0.94938435899999996</v>
      </c>
      <c r="E284" s="27">
        <v>1.0049034560000001</v>
      </c>
      <c r="F284" s="27">
        <v>0.64852823699999995</v>
      </c>
      <c r="G284" s="27">
        <v>0.608135384</v>
      </c>
      <c r="H284" s="27">
        <v>0.42044879899999998</v>
      </c>
      <c r="I284" s="27">
        <v>0.37389894600000001</v>
      </c>
      <c r="J284" s="27">
        <v>0.27908728799999999</v>
      </c>
      <c r="K284" s="27">
        <v>0.41429443500000002</v>
      </c>
      <c r="L284" s="27"/>
      <c r="M284" s="42"/>
      <c r="R284" s="75">
        <v>4.0800000000000003E-2</v>
      </c>
      <c r="S284" s="74">
        <f t="shared" si="6"/>
        <v>-8.3285221954491791E-3</v>
      </c>
      <c r="T284" s="28">
        <v>0.45596968162658502</v>
      </c>
      <c r="U284" s="28">
        <v>0.31945987905751383</v>
      </c>
      <c r="V284" s="28">
        <v>0.20741398103798489</v>
      </c>
      <c r="W284" s="28">
        <v>9.0713538577395253E-2</v>
      </c>
      <c r="X284" s="28">
        <v>3.5776078716429106E-2</v>
      </c>
      <c r="Y284" s="28">
        <v>-2.7379933092461409E-2</v>
      </c>
      <c r="Z284" s="28">
        <v>8.1817496919578472E-3</v>
      </c>
      <c r="AA284" s="28">
        <v>9.281547382453148E-2</v>
      </c>
      <c r="AB284" s="28">
        <v>0</v>
      </c>
    </row>
    <row r="285" spans="2:28">
      <c r="B285" s="49">
        <v>4.1000000000000002E-2</v>
      </c>
      <c r="C285" s="40">
        <v>-91.782366730000007</v>
      </c>
      <c r="D285" s="27">
        <v>0.88939607499999995</v>
      </c>
      <c r="E285" s="27">
        <v>0.94709443500000001</v>
      </c>
      <c r="F285" s="27">
        <v>0.58933667300000003</v>
      </c>
      <c r="G285" s="27">
        <v>0.55470831899999995</v>
      </c>
      <c r="H285" s="27">
        <v>0.37259877000000002</v>
      </c>
      <c r="I285" s="27">
        <v>0.32710339799999999</v>
      </c>
      <c r="J285" s="27">
        <v>0.23768131200000001</v>
      </c>
      <c r="K285" s="27">
        <v>0.37877012300000001</v>
      </c>
      <c r="L285" s="27"/>
      <c r="M285" s="42"/>
      <c r="R285" s="75">
        <v>4.1000000000000002E-2</v>
      </c>
      <c r="S285" s="74">
        <f t="shared" si="6"/>
        <v>-1.0242756785144093E-2</v>
      </c>
      <c r="T285" s="28">
        <v>0.40682158958080294</v>
      </c>
      <c r="U285" s="28">
        <v>0.27135032994485364</v>
      </c>
      <c r="V285" s="28">
        <v>0.16022064256689039</v>
      </c>
      <c r="W285" s="28">
        <v>4.4775827430541766E-2</v>
      </c>
      <c r="X285" s="28">
        <v>-9.053697492586759E-3</v>
      </c>
      <c r="Y285" s="28">
        <v>-6.9709322671390184E-2</v>
      </c>
      <c r="Z285" s="28">
        <v>-3.1460672325844243E-2</v>
      </c>
      <c r="AA285" s="28">
        <v>5.6373709983566854E-2</v>
      </c>
      <c r="AB285" s="28">
        <v>0</v>
      </c>
    </row>
    <row r="286" spans="2:28">
      <c r="B286" s="49">
        <v>4.1200000000000001E-2</v>
      </c>
      <c r="C286" s="40">
        <v>-63.188393900000001</v>
      </c>
      <c r="D286" s="27">
        <v>0.82998622499999997</v>
      </c>
      <c r="E286" s="27">
        <v>0.88996113700000001</v>
      </c>
      <c r="F286" s="27">
        <v>0.53115802999999995</v>
      </c>
      <c r="G286" s="27">
        <v>0.50161729200000005</v>
      </c>
      <c r="H286" s="27">
        <v>0.32375779599999999</v>
      </c>
      <c r="I286" s="27">
        <v>0.28002960100000002</v>
      </c>
      <c r="J286" s="27">
        <v>0.195713834</v>
      </c>
      <c r="K286" s="27">
        <v>0.34353235599999998</v>
      </c>
      <c r="L286" s="27"/>
      <c r="M286" s="42"/>
      <c r="R286" s="75">
        <v>4.1200000000000001E-2</v>
      </c>
      <c r="S286" s="74">
        <f t="shared" si="6"/>
        <v>-7.0517178126986669E-3</v>
      </c>
      <c r="T286" s="28">
        <v>0.35812785400980512</v>
      </c>
      <c r="U286" s="28">
        <v>0.22378672308333003</v>
      </c>
      <c r="V286" s="28">
        <v>0.11360068958500549</v>
      </c>
      <c r="W286" s="28">
        <v>-5.6548221769202713E-4</v>
      </c>
      <c r="X286" s="28">
        <v>-5.3281805201455999E-2</v>
      </c>
      <c r="Y286" s="28">
        <v>-0.11147530952802187</v>
      </c>
      <c r="Z286" s="28">
        <v>-7.0626823695034785E-2</v>
      </c>
      <c r="AA286" s="28">
        <v>2.0288140871933012E-2</v>
      </c>
      <c r="AB286" s="28">
        <v>0</v>
      </c>
    </row>
    <row r="287" spans="2:28">
      <c r="B287" s="49">
        <v>4.1399999999999999E-2</v>
      </c>
      <c r="C287" s="40">
        <v>-48.7</v>
      </c>
      <c r="D287" s="27">
        <v>0.77108963100000005</v>
      </c>
      <c r="E287" s="27">
        <v>0.83457117800000002</v>
      </c>
      <c r="F287" s="27">
        <v>0.475124253</v>
      </c>
      <c r="G287" s="27">
        <v>0.44817592299999998</v>
      </c>
      <c r="H287" s="27">
        <v>0.27383708299999998</v>
      </c>
      <c r="I287" s="27">
        <v>0.23262478</v>
      </c>
      <c r="J287" s="27">
        <v>0.15287978899999999</v>
      </c>
      <c r="K287" s="27">
        <v>0.30796467500000002</v>
      </c>
      <c r="L287" s="27"/>
      <c r="M287" s="42"/>
      <c r="R287" s="75">
        <v>4.1399999999999999E-2</v>
      </c>
      <c r="S287" s="74">
        <f t="shared" si="6"/>
        <v>-5.4348375751076825E-3</v>
      </c>
      <c r="T287" s="28">
        <v>0.31058888326529671</v>
      </c>
      <c r="U287" s="28">
        <v>0.1771613175247605</v>
      </c>
      <c r="V287" s="28">
        <v>6.7826278610511923E-2</v>
      </c>
      <c r="W287" s="28">
        <v>-4.5159010251831236E-2</v>
      </c>
      <c r="X287" s="28">
        <v>-9.6834611813623031E-2</v>
      </c>
      <c r="Y287" s="28">
        <v>-0.15267363586710689</v>
      </c>
      <c r="Z287" s="28">
        <v>-0.10932031807822983</v>
      </c>
      <c r="AA287" s="28">
        <v>-1.5436707964477605E-2</v>
      </c>
      <c r="AB287" s="28">
        <v>0</v>
      </c>
    </row>
    <row r="288" spans="2:28">
      <c r="B288" s="49">
        <v>4.1599999999999998E-2</v>
      </c>
      <c r="C288" s="40">
        <v>-66.996426479999997</v>
      </c>
      <c r="D288" s="27">
        <v>0.71325717600000005</v>
      </c>
      <c r="E288" s="27">
        <v>0.78050673699999995</v>
      </c>
      <c r="F288" s="27">
        <v>0.42088172200000001</v>
      </c>
      <c r="G288" s="27">
        <v>0.39448172199999998</v>
      </c>
      <c r="H288" s="27">
        <v>0.222781429</v>
      </c>
      <c r="I288" s="27">
        <v>0.185355888</v>
      </c>
      <c r="J288" s="27">
        <v>0.110705214</v>
      </c>
      <c r="K288" s="27">
        <v>0.27207949599999998</v>
      </c>
      <c r="L288" s="27"/>
      <c r="M288" s="42"/>
      <c r="R288" s="75">
        <v>4.1599999999999998E-2</v>
      </c>
      <c r="S288" s="74">
        <f t="shared" si="6"/>
        <v>-7.4766878035203961E-3</v>
      </c>
      <c r="T288" s="28">
        <v>0.264104692616147</v>
      </c>
      <c r="U288" s="28">
        <v>0.13146882753448469</v>
      </c>
      <c r="V288" s="28">
        <v>2.2922591237853708E-2</v>
      </c>
      <c r="W288" s="28">
        <v>-8.8963376782031506E-2</v>
      </c>
      <c r="X288" s="28">
        <v>-0.13967013392351463</v>
      </c>
      <c r="Y288" s="28">
        <v>-0.19328056124911888</v>
      </c>
      <c r="Z288" s="28">
        <v>-0.14753286056219875</v>
      </c>
      <c r="AA288" s="28">
        <v>-5.0796807579701966E-2</v>
      </c>
      <c r="AB288" s="28">
        <v>0</v>
      </c>
    </row>
    <row r="289" spans="2:28">
      <c r="B289" s="49">
        <v>4.1799999999999997E-2</v>
      </c>
      <c r="C289" s="40">
        <v>-73.099999999999994</v>
      </c>
      <c r="D289" s="27">
        <v>0.65618886300000001</v>
      </c>
      <c r="E289" s="27">
        <v>0.72649396200000005</v>
      </c>
      <c r="F289" s="27">
        <v>0.36800041</v>
      </c>
      <c r="G289" s="27">
        <v>0.34049396199999998</v>
      </c>
      <c r="H289" s="27">
        <v>0.17169126600000001</v>
      </c>
      <c r="I289" s="27">
        <v>0.13860281399999999</v>
      </c>
      <c r="J289" s="27">
        <v>6.9805217000000003E-2</v>
      </c>
      <c r="K289" s="27">
        <v>0.23581676400000001</v>
      </c>
      <c r="L289" s="27"/>
      <c r="M289" s="42"/>
      <c r="R289" s="75">
        <v>4.1799999999999997E-2</v>
      </c>
      <c r="S289" s="74">
        <f t="shared" si="6"/>
        <v>-8.1578362780363768E-3</v>
      </c>
      <c r="T289" s="28">
        <v>0.218143372079623</v>
      </c>
      <c r="U289" s="28">
        <v>8.6409578944442511E-2</v>
      </c>
      <c r="V289" s="28">
        <v>-2.1317998926366277E-2</v>
      </c>
      <c r="W289" s="28">
        <v>-0.13209211796688738</v>
      </c>
      <c r="X289" s="28">
        <v>-0.18183989424513211</v>
      </c>
      <c r="Y289" s="28">
        <v>-0.23329033720708853</v>
      </c>
      <c r="Z289" s="28">
        <v>-0.1852500842786583</v>
      </c>
      <c r="AA289" s="28">
        <v>-8.578142595193898E-2</v>
      </c>
      <c r="AB289" s="28">
        <v>0</v>
      </c>
    </row>
    <row r="290" spans="2:28">
      <c r="B290" s="49">
        <v>4.2000000000000003E-2</v>
      </c>
      <c r="C290" s="40">
        <v>-119.61294669999999</v>
      </c>
      <c r="D290" s="27">
        <v>0.59918213200000003</v>
      </c>
      <c r="E290" s="27">
        <v>0.67213210300000004</v>
      </c>
      <c r="F290" s="27">
        <v>0.31591956599999999</v>
      </c>
      <c r="G290" s="27">
        <v>0.28701019300000002</v>
      </c>
      <c r="H290" s="27">
        <v>0.12130703</v>
      </c>
      <c r="I290" s="27">
        <v>9.2500703000000004E-2</v>
      </c>
      <c r="J290" s="27">
        <v>2.9731869000000001E-2</v>
      </c>
      <c r="K290" s="27">
        <v>0.200069303</v>
      </c>
      <c r="L290" s="27"/>
      <c r="M290" s="42"/>
      <c r="R290" s="75">
        <v>4.2000000000000003E-2</v>
      </c>
      <c r="S290" s="74">
        <f t="shared" si="6"/>
        <v>-1.3348602406458162E-2</v>
      </c>
      <c r="T290" s="28">
        <v>0.17278638127605672</v>
      </c>
      <c r="U290" s="28">
        <v>4.1995535689328095E-2</v>
      </c>
      <c r="V290" s="28">
        <v>-6.4903956038789401E-2</v>
      </c>
      <c r="W290" s="28">
        <v>-0.17456739795299436</v>
      </c>
      <c r="X290" s="28">
        <v>-0.22336718620263776</v>
      </c>
      <c r="Y290" s="28">
        <v>-0.27271311332571674</v>
      </c>
      <c r="Z290" s="28">
        <v>-0.22246783465269979</v>
      </c>
      <c r="AA290" s="28">
        <v>-0.12038020157661222</v>
      </c>
      <c r="AB290" s="28">
        <v>0</v>
      </c>
    </row>
    <row r="291" spans="2:28">
      <c r="B291" s="49">
        <v>4.2200000000000001E-2</v>
      </c>
      <c r="C291" s="40">
        <v>-97.5</v>
      </c>
      <c r="D291" s="27">
        <v>0.54278095000000004</v>
      </c>
      <c r="E291" s="27">
        <v>0.61765890999999995</v>
      </c>
      <c r="F291" s="27">
        <v>0.26363065699999999</v>
      </c>
      <c r="G291" s="27">
        <v>0.23492274299999999</v>
      </c>
      <c r="H291" s="27">
        <v>7.1653809999999998E-2</v>
      </c>
      <c r="I291" s="27">
        <v>4.776905E-2</v>
      </c>
      <c r="J291" s="27">
        <v>-9.7688159999999996E-3</v>
      </c>
      <c r="K291" s="27">
        <v>0.164627784</v>
      </c>
      <c r="L291" s="27"/>
      <c r="M291" s="42"/>
      <c r="R291" s="75">
        <v>4.2200000000000001E-2</v>
      </c>
      <c r="S291" s="74">
        <f t="shared" si="6"/>
        <v>-1.0880834980965072E-2</v>
      </c>
      <c r="T291" s="28">
        <v>0.12737714304239589</v>
      </c>
      <c r="U291" s="28">
        <v>-2.1784534278954529E-3</v>
      </c>
      <c r="V291" s="28">
        <v>-0.10814215740278368</v>
      </c>
      <c r="W291" s="28">
        <v>-0.21658121205214179</v>
      </c>
      <c r="X291" s="28">
        <v>-0.26436270938060991</v>
      </c>
      <c r="Y291" s="28">
        <v>-0.3115689648340001</v>
      </c>
      <c r="Z291" s="28">
        <v>-0.2591795187480852</v>
      </c>
      <c r="AA291" s="28">
        <v>-0.15458078047174195</v>
      </c>
      <c r="AB291" s="28">
        <v>0</v>
      </c>
    </row>
    <row r="292" spans="2:28">
      <c r="B292" s="49">
        <v>4.24E-2</v>
      </c>
      <c r="C292" s="40">
        <v>-76.144639720000001</v>
      </c>
      <c r="D292" s="27">
        <v>0.486901054</v>
      </c>
      <c r="E292" s="27">
        <v>0.56380123000000004</v>
      </c>
      <c r="F292" s="27">
        <v>0.211151318</v>
      </c>
      <c r="G292" s="27">
        <v>0.18425782099999999</v>
      </c>
      <c r="H292" s="27">
        <v>2.3333039999999999E-2</v>
      </c>
      <c r="I292" s="27">
        <v>4.4147630000000004E-3</v>
      </c>
      <c r="J292" s="27">
        <v>-4.9047451999999998E-2</v>
      </c>
      <c r="K292" s="27">
        <v>0.12890913900000001</v>
      </c>
      <c r="L292" s="27"/>
      <c r="M292" s="42"/>
      <c r="R292" s="75">
        <v>4.24E-2</v>
      </c>
      <c r="S292" s="74">
        <f t="shared" si="6"/>
        <v>-8.4976129177267538E-3</v>
      </c>
      <c r="T292" s="28">
        <v>8.2886226676294181E-2</v>
      </c>
      <c r="U292" s="28">
        <v>-4.5601920400618279E-2</v>
      </c>
      <c r="V292" s="28">
        <v>-0.15069507569379728</v>
      </c>
      <c r="W292" s="28">
        <v>-0.25796680901447649</v>
      </c>
      <c r="X292" s="28">
        <v>-0.30476336521570269</v>
      </c>
      <c r="Y292" s="28">
        <v>-0.34987480029909573</v>
      </c>
      <c r="Z292" s="28">
        <v>-0.29539817400008456</v>
      </c>
      <c r="AA292" s="28">
        <v>-0.18837963115538855</v>
      </c>
      <c r="AB292" s="28">
        <v>0</v>
      </c>
    </row>
    <row r="293" spans="2:28">
      <c r="B293" s="49">
        <v>4.2599999999999999E-2</v>
      </c>
      <c r="C293" s="40">
        <v>-48.7</v>
      </c>
      <c r="D293" s="27">
        <v>0.43209144700000002</v>
      </c>
      <c r="E293" s="27">
        <v>0.51056162900000002</v>
      </c>
      <c r="F293" s="27">
        <v>0.15842255399999999</v>
      </c>
      <c r="G293" s="27">
        <v>0.13501587600000001</v>
      </c>
      <c r="H293" s="27">
        <v>-2.3870240000000001E-2</v>
      </c>
      <c r="I293" s="27">
        <v>-3.7872291000000002E-2</v>
      </c>
      <c r="J293" s="27">
        <v>-8.8592852999999999E-2</v>
      </c>
      <c r="K293" s="27">
        <v>9.2934915000000007E-2</v>
      </c>
      <c r="L293" s="27"/>
      <c r="M293" s="42"/>
      <c r="R293" s="75">
        <v>4.2599999999999999E-2</v>
      </c>
      <c r="S293" s="74">
        <f t="shared" si="6"/>
        <v>-5.4348375751076825E-3</v>
      </c>
      <c r="T293" s="28">
        <v>3.9463901645405232E-2</v>
      </c>
      <c r="U293" s="28">
        <v>-8.8127692766663823E-2</v>
      </c>
      <c r="V293" s="28">
        <v>-0.19242436633847756</v>
      </c>
      <c r="W293" s="28">
        <v>-0.29861669469106428</v>
      </c>
      <c r="X293" s="28">
        <v>-0.34449474448905343</v>
      </c>
      <c r="Y293" s="28">
        <v>-0.3876098985019934</v>
      </c>
      <c r="Z293" s="28">
        <v>-0.33112425072310342</v>
      </c>
      <c r="AA293" s="28">
        <v>-0.22177797142720762</v>
      </c>
      <c r="AB293" s="28">
        <v>0</v>
      </c>
    </row>
    <row r="294" spans="2:28">
      <c r="B294" s="49">
        <v>4.2799999999999998E-2</v>
      </c>
      <c r="C294" s="40">
        <v>-67.765181709999993</v>
      </c>
      <c r="D294" s="27">
        <v>0.37829185199999998</v>
      </c>
      <c r="E294" s="27">
        <v>0.45789507600000001</v>
      </c>
      <c r="F294" s="27">
        <v>0.105951348</v>
      </c>
      <c r="G294" s="27">
        <v>8.7233060000000001E-2</v>
      </c>
      <c r="H294" s="27">
        <v>-7.0910667999999996E-2</v>
      </c>
      <c r="I294" s="27">
        <v>-8.0028956999999998E-2</v>
      </c>
      <c r="J294" s="27">
        <v>-0.12828810099999999</v>
      </c>
      <c r="K294" s="27">
        <v>5.7068523000000003E-2</v>
      </c>
      <c r="L294" s="27"/>
      <c r="M294" s="42"/>
      <c r="R294" s="75">
        <v>4.2799999999999998E-2</v>
      </c>
      <c r="S294" s="74">
        <f t="shared" si="6"/>
        <v>-7.5624795860679229E-3</v>
      </c>
      <c r="T294" s="28">
        <v>-2.7125596736288049E-3</v>
      </c>
      <c r="U294" s="28">
        <v>-0.12961061817650699</v>
      </c>
      <c r="V294" s="28">
        <v>-0.23320318738291695</v>
      </c>
      <c r="W294" s="28">
        <v>-0.33843266237765879</v>
      </c>
      <c r="X294" s="28">
        <v>-0.3834858632533707</v>
      </c>
      <c r="Y294" s="28">
        <v>-0.42474619444676076</v>
      </c>
      <c r="Z294" s="28">
        <v>-0.36635135509696592</v>
      </c>
      <c r="AA294" s="28">
        <v>-0.25477461767172621</v>
      </c>
      <c r="AB294" s="28">
        <v>0</v>
      </c>
    </row>
    <row r="295" spans="2:28">
      <c r="B295" s="49">
        <v>4.2999999999999997E-2</v>
      </c>
      <c r="C295" s="40">
        <v>-96.356473350000002</v>
      </c>
      <c r="D295" s="27">
        <v>0.32512302300000001</v>
      </c>
      <c r="E295" s="27">
        <v>0.40587615700000002</v>
      </c>
      <c r="F295" s="27">
        <v>5.4738663999999999E-2</v>
      </c>
      <c r="G295" s="27">
        <v>4.0941828E-2</v>
      </c>
      <c r="H295" s="27">
        <v>-0.11820662</v>
      </c>
      <c r="I295" s="27">
        <v>-0.12240345599999999</v>
      </c>
      <c r="J295" s="27">
        <v>-0.16772530799999999</v>
      </c>
      <c r="K295" s="27">
        <v>2.1805974999999998E-2</v>
      </c>
      <c r="L295" s="27"/>
      <c r="M295" s="42"/>
      <c r="R295" s="75">
        <v>4.2999999999999997E-2</v>
      </c>
      <c r="S295" s="74">
        <f t="shared" si="6"/>
        <v>-1.075321934224727E-2</v>
      </c>
      <c r="T295" s="28">
        <v>-4.4349884569503645E-2</v>
      </c>
      <c r="U295" s="28">
        <v>-0.17043343550150983</v>
      </c>
      <c r="V295" s="28">
        <v>-0.27328851436350998</v>
      </c>
      <c r="W295" s="28">
        <v>-0.3775467352456095</v>
      </c>
      <c r="X295" s="28">
        <v>-0.42178982399337794</v>
      </c>
      <c r="Y295" s="28">
        <v>-0.46127034515227811</v>
      </c>
      <c r="Z295" s="28">
        <v>-0.40106214221757952</v>
      </c>
      <c r="AA295" s="28">
        <v>-0.28736059399871405</v>
      </c>
      <c r="AB295" s="28">
        <v>0</v>
      </c>
    </row>
    <row r="296" spans="2:28">
      <c r="B296" s="49">
        <v>4.3200000000000002E-2</v>
      </c>
      <c r="C296" s="40">
        <v>-118.8535756</v>
      </c>
      <c r="D296" s="27">
        <v>0.27276899199999999</v>
      </c>
      <c r="E296" s="27">
        <v>0.35458136000000001</v>
      </c>
      <c r="F296" s="27">
        <v>5.2435520000000003E-3</v>
      </c>
      <c r="G296" s="27">
        <v>-4.4694019999999999E-3</v>
      </c>
      <c r="H296" s="27">
        <v>-0.16560662400000001</v>
      </c>
      <c r="I296" s="27">
        <v>-0.164307327</v>
      </c>
      <c r="J296" s="27">
        <v>-0.20580779599999999</v>
      </c>
      <c r="K296" s="27">
        <v>-1.3595545000000001E-2</v>
      </c>
      <c r="L296" s="27"/>
      <c r="M296" s="42"/>
      <c r="R296" s="75">
        <v>4.3200000000000002E-2</v>
      </c>
      <c r="S296" s="74">
        <f t="shared" si="6"/>
        <v>-1.3263857876935967E-2</v>
      </c>
      <c r="T296" s="28">
        <v>-8.5724963772863205E-2</v>
      </c>
      <c r="U296" s="28">
        <v>-0.21080916905872377</v>
      </c>
      <c r="V296" s="28">
        <v>-0.31286331760379144</v>
      </c>
      <c r="W296" s="28">
        <v>-0.41608853901133541</v>
      </c>
      <c r="X296" s="28">
        <v>-0.45948960530153415</v>
      </c>
      <c r="Y296" s="28">
        <v>-0.49719923393087295</v>
      </c>
      <c r="Z296" s="28">
        <v>-0.43524882279232752</v>
      </c>
      <c r="AA296" s="28">
        <v>-0.31952313633042068</v>
      </c>
      <c r="AB296" s="28">
        <v>0</v>
      </c>
    </row>
    <row r="297" spans="2:28">
      <c r="B297" s="49">
        <v>4.3400000000000001E-2</v>
      </c>
      <c r="C297" s="40">
        <v>-97.5</v>
      </c>
      <c r="D297" s="27">
        <v>0.22119876999999999</v>
      </c>
      <c r="E297" s="27">
        <v>0.30403637999999999</v>
      </c>
      <c r="F297" s="27">
        <v>-4.3018102000000003E-2</v>
      </c>
      <c r="G297" s="27">
        <v>-4.9305271999999997E-2</v>
      </c>
      <c r="H297" s="27">
        <v>-0.21228348</v>
      </c>
      <c r="I297" s="27">
        <v>-0.20571423599999999</v>
      </c>
      <c r="J297" s="27">
        <v>-0.24346379600000001</v>
      </c>
      <c r="K297" s="27">
        <v>-4.9288576000000001E-2</v>
      </c>
      <c r="L297" s="27"/>
      <c r="M297" s="42"/>
      <c r="R297" s="75">
        <v>4.3400000000000001E-2</v>
      </c>
      <c r="S297" s="74">
        <f t="shared" si="6"/>
        <v>-1.0880834980965072E-2</v>
      </c>
      <c r="T297" s="28">
        <v>-0.12682782531766856</v>
      </c>
      <c r="U297" s="28">
        <v>-0.25078085642653863</v>
      </c>
      <c r="V297" s="28">
        <v>-0.3519861335448734</v>
      </c>
      <c r="W297" s="28">
        <v>-0.45411864290224596</v>
      </c>
      <c r="X297" s="28">
        <v>-0.49663762470341039</v>
      </c>
      <c r="Y297" s="28">
        <v>-0.53255701356776008</v>
      </c>
      <c r="Z297" s="28">
        <v>-0.46891327209101419</v>
      </c>
      <c r="AA297" s="28">
        <v>-0.35125301144159393</v>
      </c>
      <c r="AB297" s="28">
        <v>0</v>
      </c>
    </row>
    <row r="298" spans="2:28">
      <c r="B298" s="49">
        <v>4.36E-2</v>
      </c>
      <c r="C298" s="40">
        <v>-108.9352665</v>
      </c>
      <c r="D298" s="27">
        <v>0.17098201499999999</v>
      </c>
      <c r="E298" s="27">
        <v>0.25475694199999999</v>
      </c>
      <c r="F298" s="27">
        <v>-9.054007E-2</v>
      </c>
      <c r="G298" s="27">
        <v>-9.4624546000000004E-2</v>
      </c>
      <c r="H298" s="27">
        <v>-0.25769648499999998</v>
      </c>
      <c r="I298" s="27">
        <v>-0.24728424099999999</v>
      </c>
      <c r="J298" s="27">
        <v>-0.28100333900000002</v>
      </c>
      <c r="K298" s="27">
        <v>-8.4953485999999995E-2</v>
      </c>
      <c r="L298" s="27"/>
      <c r="M298" s="42"/>
      <c r="R298" s="75">
        <v>4.36E-2</v>
      </c>
      <c r="S298" s="74">
        <f t="shared" si="6"/>
        <v>-1.2156991368143103E-2</v>
      </c>
      <c r="T298" s="28">
        <v>-0.16697100329197792</v>
      </c>
      <c r="U298" s="28">
        <v>-0.2899619232388897</v>
      </c>
      <c r="V298" s="28">
        <v>-0.39038713618060411</v>
      </c>
      <c r="W298" s="28">
        <v>-0.49148989004156401</v>
      </c>
      <c r="X298" s="28">
        <v>-0.53316671873676535</v>
      </c>
      <c r="Y298" s="28">
        <v>-0.56734822503590099</v>
      </c>
      <c r="Z298" s="28">
        <v>-0.50206522047563029</v>
      </c>
      <c r="AA298" s="28">
        <v>-0.38254933543373271</v>
      </c>
      <c r="AB298" s="28">
        <v>0</v>
      </c>
    </row>
    <row r="299" spans="2:28">
      <c r="B299" s="49">
        <v>4.3799999999999999E-2</v>
      </c>
      <c r="C299" s="40">
        <v>-106.26740909999999</v>
      </c>
      <c r="D299" s="27">
        <v>0.121107034</v>
      </c>
      <c r="E299" s="27">
        <v>0.20575551</v>
      </c>
      <c r="F299" s="27">
        <v>-0.13733499399999999</v>
      </c>
      <c r="G299" s="27">
        <v>-0.14051465399999999</v>
      </c>
      <c r="H299" s="27">
        <v>-0.30244583800000002</v>
      </c>
      <c r="I299" s="27">
        <v>-0.28868786600000002</v>
      </c>
      <c r="J299" s="27">
        <v>-0.31795328299999998</v>
      </c>
      <c r="K299" s="27">
        <v>-0.120092263</v>
      </c>
      <c r="L299" s="27"/>
      <c r="M299" s="42"/>
      <c r="R299" s="75">
        <v>4.3799999999999999E-2</v>
      </c>
      <c r="S299" s="74">
        <f t="shared" si="6"/>
        <v>-1.1859262997659549E-2</v>
      </c>
      <c r="T299" s="28">
        <v>-0.2065673731648674</v>
      </c>
      <c r="U299" s="28">
        <v>-0.32854601970855268</v>
      </c>
      <c r="V299" s="28">
        <v>-0.42817739561734075</v>
      </c>
      <c r="W299" s="28">
        <v>-0.52824613657640385</v>
      </c>
      <c r="X299" s="28">
        <v>-0.56908532492012154</v>
      </c>
      <c r="Y299" s="28">
        <v>-0.60156337862121589</v>
      </c>
      <c r="Z299" s="28">
        <v>-0.53469914290341147</v>
      </c>
      <c r="AA299" s="28">
        <v>-0.41340958700938951</v>
      </c>
      <c r="AB299" s="28">
        <v>0</v>
      </c>
    </row>
    <row r="300" spans="2:28">
      <c r="B300" s="49">
        <v>4.3999999999999997E-2</v>
      </c>
      <c r="C300" s="40">
        <v>-97.5</v>
      </c>
      <c r="D300" s="27">
        <v>7.1592209000000004E-2</v>
      </c>
      <c r="E300" s="27">
        <v>0.156573462</v>
      </c>
      <c r="F300" s="27">
        <v>-0.18385770400000001</v>
      </c>
      <c r="G300" s="27">
        <v>-0.18604516700000001</v>
      </c>
      <c r="H300" s="27">
        <v>-0.34608260099999999</v>
      </c>
      <c r="I300" s="27">
        <v>-0.32941376700000002</v>
      </c>
      <c r="J300" s="27">
        <v>-0.35471364999999999</v>
      </c>
      <c r="K300" s="27">
        <v>-0.15517609800000001</v>
      </c>
      <c r="L300" s="27"/>
      <c r="M300" s="42"/>
      <c r="R300" s="75">
        <v>4.3999999999999997E-2</v>
      </c>
      <c r="S300" s="74">
        <f t="shared" si="6"/>
        <v>-1.0880834980965072E-2</v>
      </c>
      <c r="T300" s="28">
        <v>-0.24544861581261909</v>
      </c>
      <c r="U300" s="28">
        <v>-0.36644502337282192</v>
      </c>
      <c r="V300" s="28">
        <v>-0.46529541510432637</v>
      </c>
      <c r="W300" s="28">
        <v>-0.56435555336204302</v>
      </c>
      <c r="X300" s="28">
        <v>-0.60437922873209249</v>
      </c>
      <c r="Y300" s="28">
        <v>-0.63520235251388146</v>
      </c>
      <c r="Z300" s="28">
        <v>-0.56681374744776714</v>
      </c>
      <c r="AA300" s="28">
        <v>-0.44382984710708878</v>
      </c>
      <c r="AB300" s="28">
        <v>0</v>
      </c>
    </row>
    <row r="301" spans="2:28">
      <c r="B301" s="49">
        <v>4.4200000000000003E-2</v>
      </c>
      <c r="C301" s="40">
        <v>-97.5</v>
      </c>
      <c r="D301" s="27">
        <v>2.2757995999999999E-2</v>
      </c>
      <c r="E301" s="27">
        <v>0.107856415</v>
      </c>
      <c r="F301" s="27">
        <v>-0.230568893</v>
      </c>
      <c r="G301" s="27">
        <v>-0.230797364</v>
      </c>
      <c r="H301" s="27">
        <v>-0.38872583500000002</v>
      </c>
      <c r="I301" s="27">
        <v>-0.36955905100000003</v>
      </c>
      <c r="J301" s="27">
        <v>-0.39170017600000001</v>
      </c>
      <c r="K301" s="27">
        <v>-0.18983339199999999</v>
      </c>
      <c r="L301" s="27"/>
      <c r="M301" s="42"/>
      <c r="R301" s="75">
        <v>4.4200000000000003E-2</v>
      </c>
      <c r="S301" s="74">
        <f t="shared" si="6"/>
        <v>-1.0880834980965072E-2</v>
      </c>
      <c r="T301" s="28">
        <v>-0.28347464185309662</v>
      </c>
      <c r="U301" s="28">
        <v>-0.40356601891861754</v>
      </c>
      <c r="V301" s="28">
        <v>-0.50167018497319815</v>
      </c>
      <c r="W301" s="28">
        <v>-0.59976984233578845</v>
      </c>
      <c r="X301" s="28">
        <v>-0.63901778197084702</v>
      </c>
      <c r="Y301" s="28">
        <v>-0.66825552721580583</v>
      </c>
      <c r="Z301" s="28">
        <v>-0.59840708370866513</v>
      </c>
      <c r="AA301" s="28">
        <v>-0.47380758057596067</v>
      </c>
      <c r="AB301" s="28">
        <v>0</v>
      </c>
    </row>
    <row r="302" spans="2:28">
      <c r="B302" s="49">
        <v>4.4400000000000002E-2</v>
      </c>
      <c r="C302" s="40">
        <v>-97.5</v>
      </c>
      <c r="D302" s="27">
        <v>-2.5219156E-2</v>
      </c>
      <c r="E302" s="27">
        <v>6.0768541000000002E-2</v>
      </c>
      <c r="F302" s="27">
        <v>-0.27735659099999999</v>
      </c>
      <c r="G302" s="27">
        <v>-0.27480913899999998</v>
      </c>
      <c r="H302" s="27">
        <v>-0.43142478000000001</v>
      </c>
      <c r="I302" s="27">
        <v>-0.40907117799999998</v>
      </c>
      <c r="J302" s="27">
        <v>-0.42810193299999999</v>
      </c>
      <c r="K302" s="27">
        <v>-0.223967311</v>
      </c>
      <c r="L302" s="27"/>
      <c r="M302" s="42"/>
      <c r="R302" s="75">
        <v>4.4400000000000002E-2</v>
      </c>
      <c r="S302" s="74">
        <f t="shared" si="6"/>
        <v>-1.0880834980965072E-2</v>
      </c>
      <c r="T302" s="28">
        <v>-0.32072635251642384</v>
      </c>
      <c r="U302" s="28">
        <v>-0.43994443838881064</v>
      </c>
      <c r="V302" s="28">
        <v>-0.53732575801701987</v>
      </c>
      <c r="W302" s="28">
        <v>-0.63449421783335724</v>
      </c>
      <c r="X302" s="28">
        <v>-0.67299609586103948</v>
      </c>
      <c r="Y302" s="28">
        <v>-0.70071182769848028</v>
      </c>
      <c r="Z302" s="28">
        <v>-0.6294733929306322</v>
      </c>
      <c r="AA302" s="28">
        <v>-0.50333859625967414</v>
      </c>
      <c r="AB302" s="28">
        <v>0</v>
      </c>
    </row>
    <row r="303" spans="2:28">
      <c r="B303" s="49">
        <v>4.4600000000000001E-2</v>
      </c>
      <c r="C303" s="40">
        <v>-97.5</v>
      </c>
      <c r="D303" s="27">
        <v>-7.2356825E-2</v>
      </c>
      <c r="E303" s="27">
        <v>1.5233685E-2</v>
      </c>
      <c r="F303" s="27">
        <v>-0.32425524300000003</v>
      </c>
      <c r="G303" s="27">
        <v>-0.31737738700000001</v>
      </c>
      <c r="H303" s="27">
        <v>-0.47407738700000002</v>
      </c>
      <c r="I303" s="27">
        <v>-0.44842442900000001</v>
      </c>
      <c r="J303" s="27">
        <v>-0.46407146999999999</v>
      </c>
      <c r="K303" s="27">
        <v>-0.258080961</v>
      </c>
      <c r="L303" s="27"/>
      <c r="M303" s="42"/>
      <c r="R303" s="75">
        <v>4.4600000000000001E-2</v>
      </c>
      <c r="S303" s="74">
        <f t="shared" si="6"/>
        <v>-1.0880834980965072E-2</v>
      </c>
      <c r="T303" s="28">
        <v>-0.35722111317054844</v>
      </c>
      <c r="U303" s="28">
        <v>-0.47558965082065696</v>
      </c>
      <c r="V303" s="28">
        <v>-0.57226648125008794</v>
      </c>
      <c r="W303" s="28">
        <v>-0.66852936100702476</v>
      </c>
      <c r="X303" s="28">
        <v>-0.70631194384383877</v>
      </c>
      <c r="Y303" s="28">
        <v>-0.73256633768231094</v>
      </c>
      <c r="Z303" s="28">
        <v>-0.66000701920229832</v>
      </c>
      <c r="AA303" s="28">
        <v>-0.53241765251284234</v>
      </c>
      <c r="AB303" s="28">
        <v>0</v>
      </c>
    </row>
    <row r="304" spans="2:28">
      <c r="B304" s="49">
        <v>4.48E-2</v>
      </c>
      <c r="C304" s="40">
        <v>-85.3</v>
      </c>
      <c r="D304" s="27">
        <v>-0.1187</v>
      </c>
      <c r="E304" s="27">
        <v>-2.9000000000000001E-2</v>
      </c>
      <c r="F304" s="27">
        <v>-0.37130000000000002</v>
      </c>
      <c r="G304" s="27">
        <v>-0.35949999999999999</v>
      </c>
      <c r="H304" s="27">
        <v>-0.51595000000000002</v>
      </c>
      <c r="I304" s="27">
        <v>-0.4869</v>
      </c>
      <c r="J304" s="27">
        <v>-0.49985000000000002</v>
      </c>
      <c r="K304" s="27">
        <v>-0.29165000000000002</v>
      </c>
      <c r="L304" s="27"/>
      <c r="M304" s="42"/>
      <c r="R304" s="75">
        <v>4.48E-2</v>
      </c>
      <c r="S304" s="74">
        <f t="shared" si="6"/>
        <v>-9.5193356295007244E-3</v>
      </c>
      <c r="T304" s="28">
        <v>-0.39297071533707056</v>
      </c>
      <c r="U304" s="28">
        <v>-0.51050723727407044</v>
      </c>
      <c r="V304" s="28">
        <v>-0.60649392468250141</v>
      </c>
      <c r="W304" s="28">
        <v>-0.70187465970299567</v>
      </c>
      <c r="X304" s="28">
        <v>-0.73896296982430854</v>
      </c>
      <c r="Y304" s="28">
        <v>-0.76381503347210511</v>
      </c>
      <c r="Z304" s="28">
        <v>-0.69000284784012944</v>
      </c>
      <c r="AA304" s="28">
        <v>-0.56103948072038756</v>
      </c>
      <c r="AB304" s="28">
        <v>0</v>
      </c>
    </row>
    <row r="305" spans="2:28">
      <c r="B305" s="49">
        <v>4.4999999999999998E-2</v>
      </c>
      <c r="C305" s="40">
        <v>-89.495313420000002</v>
      </c>
      <c r="D305" s="27">
        <v>-0.16430404200000001</v>
      </c>
      <c r="E305" s="27">
        <v>-7.2897715000000002E-2</v>
      </c>
      <c r="F305" s="27">
        <v>-0.418411951</v>
      </c>
      <c r="G305" s="27">
        <v>-0.40209296999999999</v>
      </c>
      <c r="H305" s="27">
        <v>-0.55715067399999996</v>
      </c>
      <c r="I305" s="27">
        <v>-0.52423327500000005</v>
      </c>
      <c r="J305" s="27">
        <v>-0.53502378399999995</v>
      </c>
      <c r="K305" s="27">
        <v>-0.32495026399999999</v>
      </c>
      <c r="L305" s="27"/>
      <c r="M305" s="42"/>
      <c r="R305" s="75">
        <v>4.4999999999999998E-2</v>
      </c>
      <c r="S305" s="74">
        <f t="shared" si="6"/>
        <v>-9.9875255065925012E-3</v>
      </c>
      <c r="T305" s="28">
        <v>-0.4277744254316328</v>
      </c>
      <c r="U305" s="28">
        <v>-0.54457709207535987</v>
      </c>
      <c r="V305" s="28">
        <v>-0.63992040476812229</v>
      </c>
      <c r="W305" s="28">
        <v>-0.73447601532479556</v>
      </c>
      <c r="X305" s="28">
        <v>-0.77091782616659688</v>
      </c>
      <c r="Y305" s="28">
        <v>-0.7944494515957784</v>
      </c>
      <c r="Z305" s="28">
        <v>-0.71945778470679211</v>
      </c>
      <c r="AA305" s="28">
        <v>-0.58920029383990014</v>
      </c>
      <c r="AB305" s="28">
        <v>0</v>
      </c>
    </row>
    <row r="306" spans="2:28">
      <c r="B306" s="49">
        <v>4.5199999999999997E-2</v>
      </c>
      <c r="C306" s="40">
        <v>-76.916520210000002</v>
      </c>
      <c r="D306" s="27">
        <v>-0.20964674899999999</v>
      </c>
      <c r="E306" s="27">
        <v>-0.116918805</v>
      </c>
      <c r="F306" s="27">
        <v>-0.46509033399999999</v>
      </c>
      <c r="G306" s="27">
        <v>-0.44514393699999999</v>
      </c>
      <c r="H306" s="27">
        <v>-0.59761933199999995</v>
      </c>
      <c r="I306" s="27">
        <v>-0.56083550100000001</v>
      </c>
      <c r="J306" s="27">
        <v>-0.56951704700000005</v>
      </c>
      <c r="K306" s="27">
        <v>-0.35800474500000001</v>
      </c>
      <c r="L306" s="27"/>
      <c r="M306" s="42"/>
      <c r="R306" s="75">
        <v>4.5199999999999997E-2</v>
      </c>
      <c r="S306" s="74">
        <f t="shared" si="6"/>
        <v>-8.5837534740007687E-3</v>
      </c>
      <c r="T306" s="28">
        <v>-0.46185591973423268</v>
      </c>
      <c r="U306" s="28">
        <v>-0.57791345500768321</v>
      </c>
      <c r="V306" s="28">
        <v>-0.67261927495332885</v>
      </c>
      <c r="W306" s="28">
        <v>-0.76636677821554899</v>
      </c>
      <c r="X306" s="28">
        <v>-0.80218583030389012</v>
      </c>
      <c r="Y306" s="28">
        <v>-0.82446069475081496</v>
      </c>
      <c r="Z306" s="28">
        <v>-0.74836358990706142</v>
      </c>
      <c r="AA306" s="28">
        <v>-0.61689459529760893</v>
      </c>
      <c r="AB306" s="28">
        <v>0</v>
      </c>
    </row>
    <row r="307" spans="2:28">
      <c r="B307" s="49">
        <v>4.5400000000000003E-2</v>
      </c>
      <c r="C307" s="40">
        <v>-121.9</v>
      </c>
      <c r="D307" s="27">
        <v>-0.255002636</v>
      </c>
      <c r="E307" s="27">
        <v>-0.16088681899999999</v>
      </c>
      <c r="F307" s="27">
        <v>-0.50977100200000003</v>
      </c>
      <c r="G307" s="27">
        <v>-0.487564675</v>
      </c>
      <c r="H307" s="27">
        <v>-0.63731564100000004</v>
      </c>
      <c r="I307" s="27">
        <v>-0.59616502599999999</v>
      </c>
      <c r="J307" s="27">
        <v>-0.60334604599999997</v>
      </c>
      <c r="K307" s="27">
        <v>-0.39032864699999997</v>
      </c>
      <c r="L307" s="27"/>
      <c r="M307" s="42"/>
      <c r="R307" s="75">
        <v>4.5400000000000003E-2</v>
      </c>
      <c r="S307" s="74">
        <f t="shared" si="6"/>
        <v>-1.3603833683893769E-2</v>
      </c>
      <c r="T307" s="28">
        <v>-0.49498146376776175</v>
      </c>
      <c r="U307" s="28">
        <v>-0.61038624950537956</v>
      </c>
      <c r="V307" s="28">
        <v>-0.70449951640823594</v>
      </c>
      <c r="W307" s="28">
        <v>-0.7974952542376047</v>
      </c>
      <c r="X307" s="28">
        <v>-0.83273969075549392</v>
      </c>
      <c r="Y307" s="28">
        <v>-0.85384259644076754</v>
      </c>
      <c r="Z307" s="28">
        <v>-0.77671661078063203</v>
      </c>
      <c r="AA307" s="28">
        <v>-0.64411766255819813</v>
      </c>
      <c r="AB307" s="28">
        <v>0</v>
      </c>
    </row>
    <row r="308" spans="2:28">
      <c r="B308" s="49">
        <v>4.5600000000000002E-2</v>
      </c>
      <c r="C308" s="40">
        <v>-126.4553603</v>
      </c>
      <c r="D308" s="27">
        <v>-0.29964235500000003</v>
      </c>
      <c r="E308" s="27">
        <v>-0.204111189</v>
      </c>
      <c r="F308" s="27">
        <v>-0.55184247200000003</v>
      </c>
      <c r="G308" s="27">
        <v>-0.52914874000000001</v>
      </c>
      <c r="H308" s="27">
        <v>-0.67539882799999995</v>
      </c>
      <c r="I308" s="27">
        <v>-0.63061142400000003</v>
      </c>
      <c r="J308" s="27">
        <v>-0.63631148199999998</v>
      </c>
      <c r="K308" s="27">
        <v>-0.421874048</v>
      </c>
      <c r="L308" s="27"/>
      <c r="M308" s="42"/>
      <c r="R308" s="75">
        <v>4.5600000000000002E-2</v>
      </c>
      <c r="S308" s="74">
        <f t="shared" si="6"/>
        <v>-1.4112204183413147E-2</v>
      </c>
      <c r="T308" s="28">
        <v>-0.52805212947376023</v>
      </c>
      <c r="U308" s="28">
        <v>-0.64251522371441072</v>
      </c>
      <c r="V308" s="28">
        <v>-0.73593147068340303</v>
      </c>
      <c r="W308" s="28">
        <v>-0.8280749652352738</v>
      </c>
      <c r="X308" s="28">
        <v>-0.86268845279612094</v>
      </c>
      <c r="Y308" s="28">
        <v>-0.88260226625694416</v>
      </c>
      <c r="Z308" s="28">
        <v>-0.80450361571157458</v>
      </c>
      <c r="AA308" s="28">
        <v>-0.67085904406885966</v>
      </c>
      <c r="AB308" s="28">
        <v>0</v>
      </c>
    </row>
    <row r="309" spans="2:28">
      <c r="B309" s="49">
        <v>4.58E-2</v>
      </c>
      <c r="C309" s="40">
        <v>-137.46852290000001</v>
      </c>
      <c r="D309" s="27">
        <v>-0.34429009399999999</v>
      </c>
      <c r="E309" s="27">
        <v>-0.245848066</v>
      </c>
      <c r="F309" s="27">
        <v>-0.59227315400000002</v>
      </c>
      <c r="G309" s="27">
        <v>-0.56902942599999995</v>
      </c>
      <c r="H309" s="27">
        <v>-0.712682649</v>
      </c>
      <c r="I309" s="27">
        <v>-0.66488434900000004</v>
      </c>
      <c r="J309" s="27">
        <v>-0.66888909699999999</v>
      </c>
      <c r="K309" s="27">
        <v>-0.45216266100000002</v>
      </c>
      <c r="L309" s="27"/>
      <c r="M309" s="42"/>
      <c r="R309" s="75">
        <v>4.58E-2</v>
      </c>
      <c r="S309" s="74">
        <f t="shared" si="6"/>
        <v>-1.5341254489763265E-2</v>
      </c>
      <c r="T309" s="28">
        <v>-0.56059497360314525</v>
      </c>
      <c r="U309" s="28">
        <v>-0.67409280143907069</v>
      </c>
      <c r="V309" s="28">
        <v>-0.76680140020601573</v>
      </c>
      <c r="W309" s="28">
        <v>-0.85807449751640008</v>
      </c>
      <c r="X309" s="28">
        <v>-0.89204195334012037</v>
      </c>
      <c r="Y309" s="28">
        <v>-0.91076364109630703</v>
      </c>
      <c r="Z309" s="28">
        <v>-0.83173036521619725</v>
      </c>
      <c r="AA309" s="28">
        <v>-0.69711179568553083</v>
      </c>
      <c r="AB309" s="28">
        <v>0</v>
      </c>
    </row>
    <row r="310" spans="2:28">
      <c r="B310" s="49">
        <v>4.5999999999999999E-2</v>
      </c>
      <c r="C310" s="40">
        <v>-121.9</v>
      </c>
      <c r="D310" s="27">
        <v>-0.388625308</v>
      </c>
      <c r="E310" s="27">
        <v>-0.28678441700000001</v>
      </c>
      <c r="F310" s="27">
        <v>-0.63133427099999995</v>
      </c>
      <c r="G310" s="27">
        <v>-0.60730292900000005</v>
      </c>
      <c r="H310" s="27">
        <v>-0.74884651400000002</v>
      </c>
      <c r="I310" s="27">
        <v>-0.69843696499999997</v>
      </c>
      <c r="J310" s="27">
        <v>-0.70115249000000002</v>
      </c>
      <c r="K310" s="27">
        <v>-0.48210234299999999</v>
      </c>
      <c r="L310" s="27"/>
      <c r="M310" s="42"/>
      <c r="R310" s="75">
        <v>4.5999999999999999E-2</v>
      </c>
      <c r="S310" s="74">
        <f t="shared" si="6"/>
        <v>-1.3603833683893769E-2</v>
      </c>
      <c r="T310" s="28">
        <v>-0.59266025513248</v>
      </c>
      <c r="U310" s="28">
        <v>-0.70514112287103614</v>
      </c>
      <c r="V310" s="28">
        <v>-0.79712213386943587</v>
      </c>
      <c r="W310" s="28">
        <v>-0.8875017074107906</v>
      </c>
      <c r="X310" s="28">
        <v>-0.9208066797742841</v>
      </c>
      <c r="Y310" s="28">
        <v>-0.93833266883737976</v>
      </c>
      <c r="Z310" s="28">
        <v>-0.85839913029328296</v>
      </c>
      <c r="AA310" s="28">
        <v>-0.72287316968851167</v>
      </c>
      <c r="AB310" s="28">
        <v>0</v>
      </c>
    </row>
    <row r="311" spans="2:28">
      <c r="B311" s="49">
        <v>4.6199999999999998E-2</v>
      </c>
      <c r="C311" s="40">
        <v>-104.74710020000001</v>
      </c>
      <c r="D311" s="27">
        <v>-0.43214024600000001</v>
      </c>
      <c r="E311" s="27">
        <v>-0.32690158200000002</v>
      </c>
      <c r="F311" s="27">
        <v>-0.67049068499999998</v>
      </c>
      <c r="G311" s="27">
        <v>-0.64437381400000004</v>
      </c>
      <c r="H311" s="27">
        <v>-0.78430052699999997</v>
      </c>
      <c r="I311" s="27">
        <v>-0.731664851</v>
      </c>
      <c r="J311" s="27">
        <v>-0.73274006999999997</v>
      </c>
      <c r="K311" s="27">
        <v>-0.51216678400000004</v>
      </c>
      <c r="L311" s="27"/>
      <c r="M311" s="42"/>
      <c r="R311" s="75">
        <v>4.6199999999999998E-2</v>
      </c>
      <c r="S311" s="74">
        <f t="shared" si="6"/>
        <v>-1.1689599097546806E-2</v>
      </c>
      <c r="T311" s="28">
        <v>-0.62380635395207207</v>
      </c>
      <c r="U311" s="28">
        <v>-0.73540161797781878</v>
      </c>
      <c r="V311" s="28">
        <v>-0.82670820411496782</v>
      </c>
      <c r="W311" s="28">
        <v>-0.91624830163917725</v>
      </c>
      <c r="X311" s="28">
        <v>-0.94892673528441351</v>
      </c>
      <c r="Y311" s="28">
        <v>-0.96530493915744642</v>
      </c>
      <c r="Z311" s="28">
        <v>-0.88451459414628408</v>
      </c>
      <c r="AA311" s="28">
        <v>-0.74814335566667378</v>
      </c>
      <c r="AB311" s="28">
        <v>0</v>
      </c>
    </row>
    <row r="312" spans="2:28">
      <c r="B312" s="49">
        <v>4.6399999999999997E-2</v>
      </c>
      <c r="C312" s="40">
        <v>-97.5</v>
      </c>
      <c r="D312" s="27">
        <v>-0.47486781900000002</v>
      </c>
      <c r="E312" s="27">
        <v>-0.36675498200000001</v>
      </c>
      <c r="F312" s="27">
        <v>-0.71095509999999995</v>
      </c>
      <c r="G312" s="27">
        <v>-0.68170468900000003</v>
      </c>
      <c r="H312" s="27">
        <v>-0.82025451299999996</v>
      </c>
      <c r="I312" s="27">
        <v>-0.76486664699999996</v>
      </c>
      <c r="J312" s="27">
        <v>-0.763628839</v>
      </c>
      <c r="K312" s="27">
        <v>-0.54185369299999997</v>
      </c>
      <c r="L312" s="27"/>
      <c r="M312" s="42"/>
      <c r="R312" s="75">
        <v>4.6399999999999997E-2</v>
      </c>
      <c r="S312" s="74">
        <f t="shared" si="6"/>
        <v>-1.0880834980965072E-2</v>
      </c>
      <c r="T312" s="28">
        <v>-0.65392004051341446</v>
      </c>
      <c r="U312" s="28">
        <v>-0.76476594628124395</v>
      </c>
      <c r="V312" s="28">
        <v>-0.85545631845681913</v>
      </c>
      <c r="W312" s="28">
        <v>-0.94423255687729568</v>
      </c>
      <c r="X312" s="28">
        <v>-0.97634320623831272</v>
      </c>
      <c r="Y312" s="28">
        <v>-0.99166002017879795</v>
      </c>
      <c r="Z312" s="28">
        <v>-0.91007359060720217</v>
      </c>
      <c r="AA312" s="28">
        <v>-0.77292318011846528</v>
      </c>
      <c r="AB312" s="28">
        <v>0</v>
      </c>
    </row>
    <row r="313" spans="2:28">
      <c r="B313" s="49">
        <v>4.6600000000000003E-2</v>
      </c>
      <c r="C313" s="40">
        <v>-97.5</v>
      </c>
      <c r="D313" s="27">
        <v>-0.51601218500000001</v>
      </c>
      <c r="E313" s="27">
        <v>-0.40593251299999999</v>
      </c>
      <c r="F313" s="27">
        <v>-0.75246373799999999</v>
      </c>
      <c r="G313" s="27">
        <v>-0.71983251299999995</v>
      </c>
      <c r="H313" s="27">
        <v>-0.85641534900000005</v>
      </c>
      <c r="I313" s="27">
        <v>-0.79757475099999997</v>
      </c>
      <c r="J313" s="27">
        <v>-0.79367633299999996</v>
      </c>
      <c r="K313" s="27">
        <v>-0.57073415299999997</v>
      </c>
      <c r="L313" s="27"/>
      <c r="M313" s="42"/>
      <c r="R313" s="75">
        <v>4.6600000000000003E-2</v>
      </c>
      <c r="S313" s="74">
        <f t="shared" si="6"/>
        <v>-1.0880834980965072E-2</v>
      </c>
      <c r="T313" s="28">
        <v>-0.68309893433231095</v>
      </c>
      <c r="U313" s="28">
        <v>-0.79326372298443371</v>
      </c>
      <c r="V313" s="28">
        <v>-0.88337435413887555</v>
      </c>
      <c r="W313" s="28">
        <v>-0.97144130862365019</v>
      </c>
      <c r="X313" s="28">
        <v>-1.0030339698372808</v>
      </c>
      <c r="Y313" s="28">
        <v>-1.0173775372930531</v>
      </c>
      <c r="Z313" s="28">
        <v>-0.935067163732064</v>
      </c>
      <c r="AA313" s="28">
        <v>-0.7972098761139178</v>
      </c>
      <c r="AB313" s="28">
        <v>0</v>
      </c>
    </row>
    <row r="314" spans="2:28">
      <c r="B314" s="49">
        <v>4.6800000000000001E-2</v>
      </c>
      <c r="C314" s="40">
        <v>-92.165181709999999</v>
      </c>
      <c r="D314" s="27">
        <v>-0.55616817100000004</v>
      </c>
      <c r="E314" s="27">
        <v>-0.44424953099999998</v>
      </c>
      <c r="F314" s="27">
        <v>-0.79377749099999995</v>
      </c>
      <c r="G314" s="27">
        <v>-0.75812766700000001</v>
      </c>
      <c r="H314" s="27">
        <v>-0.89154056299999995</v>
      </c>
      <c r="I314" s="27">
        <v>-0.82931582599999998</v>
      </c>
      <c r="J314" s="27">
        <v>-0.82280363400000001</v>
      </c>
      <c r="K314" s="27">
        <v>-0.59895990600000004</v>
      </c>
      <c r="L314" s="27"/>
      <c r="M314" s="42"/>
      <c r="R314" s="75">
        <v>4.6800000000000001E-2</v>
      </c>
      <c r="S314" s="74">
        <f t="shared" si="6"/>
        <v>-1.0285478288996619E-2</v>
      </c>
      <c r="T314" s="28">
        <v>-0.71145781088502524</v>
      </c>
      <c r="U314" s="28">
        <v>-0.8209578210363202</v>
      </c>
      <c r="V314" s="28">
        <v>-0.9105056631076095</v>
      </c>
      <c r="W314" s="28">
        <v>-0.99789371081887901</v>
      </c>
      <c r="X314" s="28">
        <v>-1.0290021476328286</v>
      </c>
      <c r="Y314" s="28">
        <v>-1.0424464602185368</v>
      </c>
      <c r="Z314" s="28">
        <v>-0.95948587892791504</v>
      </c>
      <c r="AA314" s="28">
        <v>-0.82099781567206342</v>
      </c>
      <c r="AB314" s="28">
        <v>0</v>
      </c>
    </row>
    <row r="315" spans="2:28">
      <c r="B315" s="49">
        <v>4.7E-2</v>
      </c>
      <c r="C315" s="40">
        <v>-73.099999999999994</v>
      </c>
      <c r="D315" s="27">
        <v>-0.59543362600000005</v>
      </c>
      <c r="E315" s="27">
        <v>-0.48234288199999997</v>
      </c>
      <c r="F315" s="27">
        <v>-0.83319918000000004</v>
      </c>
      <c r="G315" s="27">
        <v>-0.79614288200000005</v>
      </c>
      <c r="H315" s="27">
        <v>-0.92506268300000005</v>
      </c>
      <c r="I315" s="27">
        <v>-0.86025934400000004</v>
      </c>
      <c r="J315" s="27">
        <v>-0.850504335</v>
      </c>
      <c r="K315" s="27">
        <v>-0.62638711199999997</v>
      </c>
      <c r="L315" s="27"/>
      <c r="M315" s="42"/>
      <c r="R315" s="75">
        <v>4.7E-2</v>
      </c>
      <c r="S315" s="74">
        <f t="shared" si="6"/>
        <v>-8.1578362780363768E-3</v>
      </c>
      <c r="T315" s="28">
        <v>-0.73892581778693656</v>
      </c>
      <c r="U315" s="28">
        <v>-0.84781318948394391</v>
      </c>
      <c r="V315" s="28">
        <v>-0.93682922568143057</v>
      </c>
      <c r="W315" s="28">
        <v>-1.0235774024844291</v>
      </c>
      <c r="X315" s="28">
        <v>-1.0542394678827223</v>
      </c>
      <c r="Y315" s="28">
        <v>-1.0668597388457248</v>
      </c>
      <c r="Z315" s="28">
        <v>-0.9833234633391249</v>
      </c>
      <c r="AA315" s="28">
        <v>-0.84428141227435238</v>
      </c>
      <c r="AB315" s="28">
        <v>0</v>
      </c>
    </row>
    <row r="316" spans="2:28">
      <c r="B316" s="49">
        <v>4.7199999999999999E-2</v>
      </c>
      <c r="C316" s="40">
        <v>-73.099999999999994</v>
      </c>
      <c r="D316" s="27">
        <v>-0.63382144100000004</v>
      </c>
      <c r="E316" s="27">
        <v>-0.51927785599999998</v>
      </c>
      <c r="F316" s="27">
        <v>-0.87015290000000001</v>
      </c>
      <c r="G316" s="27">
        <v>-0.83302161699999999</v>
      </c>
      <c r="H316" s="27">
        <v>-0.95690333900000002</v>
      </c>
      <c r="I316" s="27">
        <v>-0.89044094900000004</v>
      </c>
      <c r="J316" s="27">
        <v>-0.877803691</v>
      </c>
      <c r="K316" s="27">
        <v>-0.65305377899999995</v>
      </c>
      <c r="L316" s="27"/>
      <c r="M316" s="42"/>
      <c r="R316" s="75">
        <v>4.7199999999999999E-2</v>
      </c>
      <c r="S316" s="74">
        <f t="shared" si="6"/>
        <v>-8.1578362780363768E-3</v>
      </c>
      <c r="T316" s="28">
        <v>-0.76526822101367753</v>
      </c>
      <c r="U316" s="28">
        <v>-0.87368494229613758</v>
      </c>
      <c r="V316" s="28">
        <v>-0.96223642501659901</v>
      </c>
      <c r="W316" s="28">
        <v>-1.0484226745117575</v>
      </c>
      <c r="X316" s="28">
        <v>-1.0787034307168497</v>
      </c>
      <c r="Y316" s="28">
        <v>-1.090603976879835</v>
      </c>
      <c r="Z316" s="28">
        <v>-1.006575162494957</v>
      </c>
      <c r="AA316" s="28">
        <v>-0.8670571157817174</v>
      </c>
      <c r="AB316" s="28">
        <v>0</v>
      </c>
    </row>
    <row r="317" spans="2:28">
      <c r="B317" s="49">
        <v>4.7399999999999998E-2</v>
      </c>
      <c r="C317" s="40">
        <v>-108.9419695</v>
      </c>
      <c r="D317" s="27">
        <v>-0.67076846400000001</v>
      </c>
      <c r="E317" s="27">
        <v>-0.55446676399999995</v>
      </c>
      <c r="F317" s="27">
        <v>-0.90406506399999997</v>
      </c>
      <c r="G317" s="27">
        <v>-0.86772608399999995</v>
      </c>
      <c r="H317" s="27">
        <v>-0.98700855799999998</v>
      </c>
      <c r="I317" s="27">
        <v>-0.91981477099999998</v>
      </c>
      <c r="J317" s="27">
        <v>-0.90518651800000005</v>
      </c>
      <c r="K317" s="27">
        <v>-0.67949894499999997</v>
      </c>
      <c r="L317" s="27"/>
      <c r="M317" s="42"/>
      <c r="R317" s="75">
        <v>4.7399999999999998E-2</v>
      </c>
      <c r="S317" s="74">
        <f t="shared" si="6"/>
        <v>-1.2157739411598256E-2</v>
      </c>
      <c r="T317" s="28">
        <v>-0.79075103068942099</v>
      </c>
      <c r="U317" s="28">
        <v>-0.8987049430057088</v>
      </c>
      <c r="V317" s="28">
        <v>-0.98680805497159252</v>
      </c>
      <c r="W317" s="28">
        <v>-1.0724631999734702</v>
      </c>
      <c r="X317" s="28">
        <v>-1.1023999979268446</v>
      </c>
      <c r="Y317" s="28">
        <v>-1.1136658457734081</v>
      </c>
      <c r="Z317" s="28">
        <v>-1.0292299866260202</v>
      </c>
      <c r="AA317" s="28">
        <v>-0.88931921551513193</v>
      </c>
      <c r="AB317" s="28">
        <v>0</v>
      </c>
    </row>
    <row r="318" spans="2:28">
      <c r="B318" s="49">
        <v>4.7600000000000003E-2</v>
      </c>
      <c r="C318" s="40">
        <v>-77.674106620000003</v>
      </c>
      <c r="D318" s="27">
        <v>-0.70655055700000002</v>
      </c>
      <c r="E318" s="27">
        <v>-0.58849115399999996</v>
      </c>
      <c r="F318" s="27">
        <v>-0.93451921500000001</v>
      </c>
      <c r="G318" s="27">
        <v>-0.89941610999999999</v>
      </c>
      <c r="H318" s="27">
        <v>-1.015903574</v>
      </c>
      <c r="I318" s="27">
        <v>-0.94824106600000002</v>
      </c>
      <c r="J318" s="27">
        <v>-0.93251605199999998</v>
      </c>
      <c r="K318" s="27">
        <v>-0.70598166399999995</v>
      </c>
      <c r="L318" s="27"/>
      <c r="M318" s="42"/>
      <c r="R318" s="75">
        <v>4.7600000000000003E-2</v>
      </c>
      <c r="S318" s="74">
        <f t="shared" si="6"/>
        <v>-8.6682988351395561E-3</v>
      </c>
      <c r="T318" s="28">
        <v>-0.81601471518448954</v>
      </c>
      <c r="U318" s="28">
        <v>-0.9232650817044612</v>
      </c>
      <c r="V318" s="28">
        <v>-1.0108324082702465</v>
      </c>
      <c r="W318" s="28">
        <v>-1.0958753318565664</v>
      </c>
      <c r="X318" s="28">
        <v>-1.1254259512691198</v>
      </c>
      <c r="Y318" s="28">
        <v>-1.1360564006312379</v>
      </c>
      <c r="Z318" s="28">
        <v>-1.0512758250023471</v>
      </c>
      <c r="AA318" s="28">
        <v>-0.91105650918393888</v>
      </c>
      <c r="AB318" s="28">
        <v>0</v>
      </c>
    </row>
    <row r="319" spans="2:28">
      <c r="B319" s="49">
        <v>4.7800000000000002E-2</v>
      </c>
      <c r="C319" s="40">
        <v>-93.695545129999999</v>
      </c>
      <c r="D319" s="27">
        <v>-0.74135304800000001</v>
      </c>
      <c r="E319" s="27">
        <v>-0.62224525200000003</v>
      </c>
      <c r="F319" s="27">
        <v>-0.963564596</v>
      </c>
      <c r="G319" s="27">
        <v>-0.92741512299999995</v>
      </c>
      <c r="H319" s="27">
        <v>-1.044649004</v>
      </c>
      <c r="I319" s="27">
        <v>-0.97588528699999999</v>
      </c>
      <c r="J319" s="27">
        <v>-0.95986969499999997</v>
      </c>
      <c r="K319" s="27">
        <v>-0.73252291899999999</v>
      </c>
      <c r="L319" s="27"/>
      <c r="M319" s="42"/>
      <c r="R319" s="75">
        <v>4.7800000000000002E-2</v>
      </c>
      <c r="S319" s="74">
        <f t="shared" si="6"/>
        <v>-1.0456264256524059E-2</v>
      </c>
      <c r="T319" s="28">
        <v>-0.84011092971847956</v>
      </c>
      <c r="U319" s="28">
        <v>-0.94686108098829913</v>
      </c>
      <c r="V319" s="28">
        <v>-1.0339721762807528</v>
      </c>
      <c r="W319" s="28">
        <v>-1.1184865765690835</v>
      </c>
      <c r="X319" s="28">
        <v>-1.1477093246617507</v>
      </c>
      <c r="Y319" s="28">
        <v>-1.1577832819394147</v>
      </c>
      <c r="Z319" s="28">
        <v>-1.0727209446644588</v>
      </c>
      <c r="AA319" s="28">
        <v>-0.93226614520778395</v>
      </c>
      <c r="AB319" s="28">
        <v>0</v>
      </c>
    </row>
    <row r="320" spans="2:28">
      <c r="B320" s="49">
        <v>4.8000000000000001E-2</v>
      </c>
      <c r="C320" s="40">
        <v>-60.907147039999998</v>
      </c>
      <c r="D320" s="27">
        <v>-0.77507914499999997</v>
      </c>
      <c r="E320" s="27">
        <v>-0.65580410099999997</v>
      </c>
      <c r="F320" s="27">
        <v>-0.99307867599999999</v>
      </c>
      <c r="G320" s="27">
        <v>-0.95282800199999995</v>
      </c>
      <c r="H320" s="27">
        <v>-1.0742538370000001</v>
      </c>
      <c r="I320" s="27">
        <v>-1.0025532509999999</v>
      </c>
      <c r="J320" s="27">
        <v>-0.98620316299999999</v>
      </c>
      <c r="K320" s="27">
        <v>-0.758303163</v>
      </c>
      <c r="L320" s="27"/>
      <c r="M320" s="42"/>
      <c r="R320" s="75">
        <v>4.8000000000000001E-2</v>
      </c>
      <c r="S320" s="74">
        <f t="shared" si="6"/>
        <v>-6.7971345241396438E-3</v>
      </c>
      <c r="T320" s="28">
        <v>-0.86363046302785573</v>
      </c>
      <c r="U320" s="28">
        <v>-0.96979076853770452</v>
      </c>
      <c r="V320" s="28">
        <v>-1.0564201974591867</v>
      </c>
      <c r="W320" s="28">
        <v>-1.1403869724340372</v>
      </c>
      <c r="X320" s="28">
        <v>-1.1692810948858052</v>
      </c>
      <c r="Y320" s="28">
        <v>-1.1788349712004982</v>
      </c>
      <c r="Z320" s="28">
        <v>-1.0935566668872807</v>
      </c>
      <c r="AA320" s="28">
        <v>-0.95294425592870036</v>
      </c>
      <c r="AB320" s="28">
        <v>0</v>
      </c>
    </row>
    <row r="321" spans="2:28">
      <c r="B321" s="49">
        <v>4.82E-2</v>
      </c>
      <c r="C321" s="40">
        <v>-97.5</v>
      </c>
      <c r="D321" s="27">
        <v>-0.80764622100000005</v>
      </c>
      <c r="E321" s="27">
        <v>-0.68861019300000004</v>
      </c>
      <c r="F321" s="27">
        <v>-1.022697891</v>
      </c>
      <c r="G321" s="27">
        <v>-0.97655149399999996</v>
      </c>
      <c r="H321" s="27">
        <v>-1.105204042</v>
      </c>
      <c r="I321" s="27">
        <v>-1.028310721</v>
      </c>
      <c r="J321" s="27">
        <v>-1.0112154659999999</v>
      </c>
      <c r="K321" s="27">
        <v>-0.78335764500000005</v>
      </c>
      <c r="L321" s="27"/>
      <c r="M321" s="42"/>
      <c r="R321" s="75">
        <v>4.82E-2</v>
      </c>
      <c r="S321" s="74">
        <f t="shared" si="6"/>
        <v>-1.0880834980965072E-2</v>
      </c>
      <c r="T321" s="28">
        <v>-0.88587188500972192</v>
      </c>
      <c r="U321" s="28">
        <v>-0.99166372183296669</v>
      </c>
      <c r="V321" s="28">
        <v>-1.0779035282625595</v>
      </c>
      <c r="W321" s="28">
        <v>-1.1614245191013921</v>
      </c>
      <c r="X321" s="28">
        <v>-1.1900660339074411</v>
      </c>
      <c r="Y321" s="28">
        <v>-1.199204980890479</v>
      </c>
      <c r="Z321" s="28">
        <v>-1.1137852823023375</v>
      </c>
      <c r="AA321" s="28">
        <v>-0.9730893085115585</v>
      </c>
      <c r="AB321" s="28">
        <v>0</v>
      </c>
    </row>
    <row r="322" spans="2:28">
      <c r="B322" s="49">
        <v>4.8399999999999999E-2</v>
      </c>
      <c r="C322" s="40">
        <v>-111.98839390000001</v>
      </c>
      <c r="D322" s="27">
        <v>-0.83834155899999996</v>
      </c>
      <c r="E322" s="27">
        <v>-0.72136664699999997</v>
      </c>
      <c r="F322" s="27">
        <v>-1.05305721</v>
      </c>
      <c r="G322" s="27">
        <v>-1.000053869</v>
      </c>
      <c r="H322" s="27">
        <v>-1.1358415589999999</v>
      </c>
      <c r="I322" s="27">
        <v>-1.0532695190000001</v>
      </c>
      <c r="J322" s="27">
        <v>-1.0353538689999999</v>
      </c>
      <c r="K322" s="27">
        <v>-0.80761324700000003</v>
      </c>
      <c r="L322" s="27"/>
      <c r="M322" s="42"/>
      <c r="R322" s="75">
        <v>4.8399999999999999E-2</v>
      </c>
      <c r="S322" s="74">
        <f t="shared" si="6"/>
        <v>-1.2497715218556058E-2</v>
      </c>
      <c r="T322" s="28">
        <v>-0.9078523118939974</v>
      </c>
      <c r="U322" s="28">
        <v>-1.0130311015102174</v>
      </c>
      <c r="V322" s="28">
        <v>-1.0987932137593985</v>
      </c>
      <c r="W322" s="28">
        <v>-1.1817957271840143</v>
      </c>
      <c r="X322" s="28">
        <v>-1.2101514369455393</v>
      </c>
      <c r="Y322" s="28">
        <v>-1.2188878972414596</v>
      </c>
      <c r="Z322" s="28">
        <v>-1.1333912457934914</v>
      </c>
      <c r="AA322" s="28">
        <v>-0.99269387798561393</v>
      </c>
      <c r="AB322" s="28">
        <v>0</v>
      </c>
    </row>
    <row r="323" spans="2:28">
      <c r="B323" s="49">
        <v>4.8599999999999997E-2</v>
      </c>
      <c r="C323" s="40">
        <v>-103.2176333</v>
      </c>
      <c r="D323" s="27">
        <v>-0.86761206800000001</v>
      </c>
      <c r="E323" s="27">
        <v>-0.75352624499999998</v>
      </c>
      <c r="F323" s="27">
        <v>-1.082612068</v>
      </c>
      <c r="G323" s="27">
        <v>-1.0241493850000001</v>
      </c>
      <c r="H323" s="27">
        <v>-1.1642698300000001</v>
      </c>
      <c r="I323" s="27">
        <v>-1.077802519</v>
      </c>
      <c r="J323" s="27">
        <v>-1.0581477450000001</v>
      </c>
      <c r="K323" s="27">
        <v>-0.83106028099999996</v>
      </c>
      <c r="L323" s="27"/>
      <c r="M323" s="42"/>
      <c r="R323" s="75">
        <v>4.8599999999999997E-2</v>
      </c>
      <c r="S323" s="74">
        <f t="shared" si="6"/>
        <v>-1.1518913180134004E-2</v>
      </c>
      <c r="T323" s="28">
        <v>-0.92938427536102708</v>
      </c>
      <c r="U323" s="28">
        <v>-1.0338517974687635</v>
      </c>
      <c r="V323" s="28">
        <v>-1.1190976173175091</v>
      </c>
      <c r="W323" s="28">
        <v>-1.2015380014140429</v>
      </c>
      <c r="X323" s="28">
        <v>-1.2295802157244828</v>
      </c>
      <c r="Y323" s="28">
        <v>-1.2379059958954495</v>
      </c>
      <c r="Z323" s="28">
        <v>-1.1523755733308647</v>
      </c>
      <c r="AA323" s="28">
        <v>-1.0117497138345981</v>
      </c>
      <c r="AB323" s="28">
        <v>0</v>
      </c>
    </row>
    <row r="324" spans="2:28">
      <c r="B324" s="49">
        <v>4.8800000000000003E-2</v>
      </c>
      <c r="C324" s="40">
        <v>-97.5</v>
      </c>
      <c r="D324" s="27">
        <v>-0.89645799599999998</v>
      </c>
      <c r="E324" s="27">
        <v>-0.78483263000000003</v>
      </c>
      <c r="F324" s="27">
        <v>-1.1097708260000001</v>
      </c>
      <c r="G324" s="27">
        <v>-1.048871119</v>
      </c>
      <c r="H324" s="27">
        <v>-1.190046046</v>
      </c>
      <c r="I324" s="27">
        <v>-1.1021961920000001</v>
      </c>
      <c r="J324" s="27">
        <v>-1.079846632</v>
      </c>
      <c r="K324" s="27">
        <v>-0.85313409500000004</v>
      </c>
      <c r="L324" s="27"/>
      <c r="M324" s="42"/>
      <c r="R324" s="75">
        <v>4.8800000000000003E-2</v>
      </c>
      <c r="S324" s="74">
        <f t="shared" si="6"/>
        <v>-1.0880834980965072E-2</v>
      </c>
      <c r="T324" s="28">
        <v>-0.9500934749241351</v>
      </c>
      <c r="U324" s="28">
        <v>-1.0539172105644741</v>
      </c>
      <c r="V324" s="28">
        <v>-1.1386723397065217</v>
      </c>
      <c r="W324" s="28">
        <v>-1.2205749326702413</v>
      </c>
      <c r="X324" s="28">
        <v>-1.2483198859887712</v>
      </c>
      <c r="Y324" s="28">
        <v>-1.25626483231841</v>
      </c>
      <c r="Z324" s="28">
        <v>-1.1707442678959039</v>
      </c>
      <c r="AA324" s="28">
        <v>-1.0302556209310529</v>
      </c>
      <c r="AB324" s="28">
        <v>0</v>
      </c>
    </row>
    <row r="325" spans="2:28">
      <c r="B325" s="49">
        <v>4.9000000000000002E-2</v>
      </c>
      <c r="C325" s="40">
        <v>-97.5</v>
      </c>
      <c r="D325" s="27">
        <v>-0.92508535400000003</v>
      </c>
      <c r="E325" s="27">
        <v>-0.81437299399999996</v>
      </c>
      <c r="F325" s="27">
        <v>-1.1341595200000001</v>
      </c>
      <c r="G325" s="27">
        <v>-1.0743005269999999</v>
      </c>
      <c r="H325" s="27">
        <v>-1.2123075569999999</v>
      </c>
      <c r="I325" s="27">
        <v>-1.1257362040000001</v>
      </c>
      <c r="J325" s="27">
        <v>-1.100662332</v>
      </c>
      <c r="K325" s="27">
        <v>-0.87427188</v>
      </c>
      <c r="L325" s="27"/>
      <c r="M325" s="42"/>
      <c r="R325" s="75">
        <v>4.9000000000000002E-2</v>
      </c>
      <c r="S325" s="74">
        <f t="shared" si="6"/>
        <v>-1.0880834980965072E-2</v>
      </c>
      <c r="T325" s="28">
        <v>-0.96994040416177996</v>
      </c>
      <c r="U325" s="28">
        <v>-1.0731810239374724</v>
      </c>
      <c r="V325" s="28">
        <v>-1.1574750390156416</v>
      </c>
      <c r="W325" s="28">
        <v>-1.2388707122283622</v>
      </c>
      <c r="X325" s="28">
        <v>-1.2663441053771489</v>
      </c>
      <c r="Y325" s="28">
        <v>-1.2739550751985378</v>
      </c>
      <c r="Z325" s="28">
        <v>-1.1884971145223773</v>
      </c>
      <c r="AA325" s="28">
        <v>-1.0482114268534155</v>
      </c>
      <c r="AB325" s="28">
        <v>0</v>
      </c>
    </row>
    <row r="326" spans="2:28">
      <c r="B326" s="49">
        <v>4.9200000000000001E-2</v>
      </c>
      <c r="C326" s="40">
        <v>-90.638840070000001</v>
      </c>
      <c r="D326" s="27">
        <v>-0.95256748700000005</v>
      </c>
      <c r="E326" s="27">
        <v>-0.842792443</v>
      </c>
      <c r="F326" s="27">
        <v>-1.1557646749999999</v>
      </c>
      <c r="G326" s="27">
        <v>-1.098342707</v>
      </c>
      <c r="H326" s="27">
        <v>-1.2312460460000001</v>
      </c>
      <c r="I326" s="27">
        <v>-1.148555185</v>
      </c>
      <c r="J326" s="27">
        <v>-1.1205803160000001</v>
      </c>
      <c r="K326" s="27">
        <v>-0.89533339199999995</v>
      </c>
      <c r="L326" s="27"/>
      <c r="M326" s="42"/>
      <c r="R326" s="75">
        <v>4.9200000000000001E-2</v>
      </c>
      <c r="S326" s="74">
        <f t="shared" si="6"/>
        <v>-1.0115141145310305E-2</v>
      </c>
      <c r="T326" s="28">
        <v>-0.98900958220312674</v>
      </c>
      <c r="U326" s="28">
        <v>-1.091676419560643</v>
      </c>
      <c r="V326" s="28">
        <v>-1.1755165745630625</v>
      </c>
      <c r="W326" s="28">
        <v>-1.2564237560496196</v>
      </c>
      <c r="X326" s="28">
        <v>-1.2836456121427446</v>
      </c>
      <c r="Y326" s="28">
        <v>-1.2909703162335837</v>
      </c>
      <c r="Z326" s="28">
        <v>-1.2056299294752608</v>
      </c>
      <c r="AA326" s="28">
        <v>-1.0656151217851106</v>
      </c>
      <c r="AB326" s="28">
        <v>0</v>
      </c>
    </row>
    <row r="327" spans="2:28">
      <c r="B327" s="49">
        <v>4.9399999999999999E-2</v>
      </c>
      <c r="C327" s="40">
        <v>-95.211606099999997</v>
      </c>
      <c r="D327" s="27">
        <v>-0.97911365800000005</v>
      </c>
      <c r="E327" s="27">
        <v>-0.87032145400000005</v>
      </c>
      <c r="F327" s="27">
        <v>-1.175721571</v>
      </c>
      <c r="G327" s="27">
        <v>-1.119702814</v>
      </c>
      <c r="H327" s="27">
        <v>-1.2488512899999999</v>
      </c>
      <c r="I327" s="27">
        <v>-1.171244959</v>
      </c>
      <c r="J327" s="27">
        <v>-1.140502814</v>
      </c>
      <c r="K327" s="27">
        <v>-0.91635591999999999</v>
      </c>
      <c r="L327" s="27"/>
      <c r="M327" s="42"/>
      <c r="R327" s="75">
        <v>4.9399999999999999E-2</v>
      </c>
      <c r="S327" s="74">
        <f t="shared" si="6"/>
        <v>-1.0625454094838435E-2</v>
      </c>
      <c r="T327" s="28">
        <v>-1.0071972494098846</v>
      </c>
      <c r="U327" s="28">
        <v>-1.1093395294467536</v>
      </c>
      <c r="V327" s="28">
        <v>-1.1927483545243593</v>
      </c>
      <c r="W327" s="28">
        <v>-1.2732027825728742</v>
      </c>
      <c r="X327" s="28">
        <v>-1.3002050180507558</v>
      </c>
      <c r="Y327" s="28">
        <v>-1.3073041628889828</v>
      </c>
      <c r="Z327" s="28">
        <v>-1.2221400212280347</v>
      </c>
      <c r="AA327" s="28">
        <v>-1.0824645397539947</v>
      </c>
      <c r="AB327" s="28">
        <v>0</v>
      </c>
    </row>
    <row r="328" spans="2:28">
      <c r="B328" s="49">
        <v>4.9599999999999998E-2</v>
      </c>
      <c r="C328" s="40">
        <v>-106.6482132</v>
      </c>
      <c r="D328" s="27">
        <v>-1.00451406</v>
      </c>
      <c r="E328" s="27">
        <v>-0.89715166999999996</v>
      </c>
      <c r="F328" s="27">
        <v>-1.195363738</v>
      </c>
      <c r="G328" s="27">
        <v>-1.1391261859999999</v>
      </c>
      <c r="H328" s="27">
        <v>-1.2670011720000001</v>
      </c>
      <c r="I328" s="27">
        <v>-1.193801406</v>
      </c>
      <c r="J328" s="27">
        <v>-1.160363738</v>
      </c>
      <c r="K328" s="27">
        <v>-0.93707627400000004</v>
      </c>
      <c r="L328" s="27"/>
      <c r="M328" s="42"/>
      <c r="R328" s="75">
        <v>4.9599999999999998E-2</v>
      </c>
      <c r="S328" s="74">
        <f t="shared" si="6"/>
        <v>-1.1901760090707498E-2</v>
      </c>
      <c r="T328" s="28">
        <v>-1.0246496155999945</v>
      </c>
      <c r="U328" s="28">
        <v>-1.1262493255168069</v>
      </c>
      <c r="V328" s="28">
        <v>-1.2092270933484635</v>
      </c>
      <c r="W328" s="28">
        <v>-1.2892359122524815</v>
      </c>
      <c r="X328" s="28">
        <v>-1.3160324852802125</v>
      </c>
      <c r="Y328" s="28">
        <v>-1.3229508317832528</v>
      </c>
      <c r="Z328" s="28">
        <v>-1.2380223179959844</v>
      </c>
      <c r="AA328" s="28">
        <v>-1.0987561727552839</v>
      </c>
      <c r="AB328" s="28">
        <v>0</v>
      </c>
    </row>
    <row r="329" spans="2:28">
      <c r="B329" s="49">
        <v>4.9799999999999997E-2</v>
      </c>
      <c r="C329" s="40">
        <v>-78.060046869999994</v>
      </c>
      <c r="D329" s="27">
        <v>-1.029310779</v>
      </c>
      <c r="E329" s="27">
        <v>-0.92330749899999998</v>
      </c>
      <c r="F329" s="27">
        <v>-1.215562917</v>
      </c>
      <c r="G329" s="27">
        <v>-1.1579475100000001</v>
      </c>
      <c r="H329" s="27">
        <v>-1.2875002929999999</v>
      </c>
      <c r="I329" s="27">
        <v>-1.215818981</v>
      </c>
      <c r="J329" s="27">
        <v>-1.1800848859999999</v>
      </c>
      <c r="K329" s="27">
        <v>-0.95690521399999995</v>
      </c>
      <c r="L329" s="27"/>
      <c r="M329" s="42"/>
      <c r="R329" s="75">
        <v>4.9799999999999997E-2</v>
      </c>
      <c r="S329" s="74">
        <f t="shared" si="6"/>
        <v>-8.7113691138345547E-3</v>
      </c>
      <c r="T329" s="28">
        <v>-1.0415018746456379</v>
      </c>
      <c r="U329" s="28">
        <v>-1.1424968685522174</v>
      </c>
      <c r="V329" s="28">
        <v>-1.2250250999818022</v>
      </c>
      <c r="W329" s="28">
        <v>-1.304570462968546</v>
      </c>
      <c r="X329" s="28">
        <v>-1.331155914236879</v>
      </c>
      <c r="Y329" s="28">
        <v>-1.3379142515575002</v>
      </c>
      <c r="Z329" s="28">
        <v>-1.2532730867620629</v>
      </c>
      <c r="AA329" s="28">
        <v>-1.1144852119595297</v>
      </c>
      <c r="AB329" s="28">
        <v>0</v>
      </c>
    </row>
    <row r="330" spans="2:28">
      <c r="B330" s="49">
        <v>0.05</v>
      </c>
      <c r="C330" s="40">
        <v>-49.458030479999998</v>
      </c>
      <c r="D330" s="27">
        <v>-1.0533662370000001</v>
      </c>
      <c r="E330" s="27">
        <v>-0.94853516999999998</v>
      </c>
      <c r="F330" s="27">
        <v>-1.2363470110000001</v>
      </c>
      <c r="G330" s="27">
        <v>-1.177187397</v>
      </c>
      <c r="H330" s="27">
        <v>-1.3105786639999999</v>
      </c>
      <c r="I330" s="27">
        <v>-1.2369439040000001</v>
      </c>
      <c r="J330" s="27">
        <v>-1.1997780769999999</v>
      </c>
      <c r="K330" s="27">
        <v>-0.97648118399999995</v>
      </c>
      <c r="L330" s="27"/>
      <c r="M330" s="42"/>
      <c r="R330" s="75">
        <v>0.05</v>
      </c>
      <c r="S330" s="74">
        <f t="shared" si="6"/>
        <v>-5.5194324937068795E-3</v>
      </c>
      <c r="T330" s="28">
        <v>-1.0571414239801009</v>
      </c>
      <c r="U330" s="28">
        <v>-1.1577321398228633</v>
      </c>
      <c r="V330" s="28">
        <v>-1.2398930424821473</v>
      </c>
      <c r="W330" s="28">
        <v>-1.3190642264817414</v>
      </c>
      <c r="X330" s="28">
        <v>-1.3455032842773678</v>
      </c>
      <c r="Y330" s="28">
        <v>-1.3521886491445423</v>
      </c>
      <c r="Z330" s="28">
        <v>-1.267896504481784</v>
      </c>
      <c r="AA330" s="28">
        <v>-1.1296520743366316</v>
      </c>
      <c r="AB330" s="28">
        <v>0</v>
      </c>
    </row>
    <row r="331" spans="2:28">
      <c r="B331" s="49">
        <v>5.0200000000000002E-2</v>
      </c>
      <c r="C331" s="40">
        <v>-76.530579959999997</v>
      </c>
      <c r="D331" s="27">
        <v>-1.0755291739999999</v>
      </c>
      <c r="E331" s="27">
        <v>-0.97249947299999995</v>
      </c>
      <c r="F331" s="27">
        <v>-1.257829174</v>
      </c>
      <c r="G331" s="27">
        <v>-1.197815114</v>
      </c>
      <c r="H331" s="27">
        <v>-1.334483831</v>
      </c>
      <c r="I331" s="27">
        <v>-1.256821441</v>
      </c>
      <c r="J331" s="27">
        <v>-1.219249561</v>
      </c>
      <c r="K331" s="27">
        <v>-0.99518084399999995</v>
      </c>
      <c r="L331" s="27"/>
      <c r="M331" s="42"/>
      <c r="R331" s="75">
        <v>5.0200000000000002E-2</v>
      </c>
      <c r="S331" s="74">
        <f t="shared" si="6"/>
        <v>-8.5406831953057701E-3</v>
      </c>
      <c r="T331" s="28">
        <v>-1.071438616655215</v>
      </c>
      <c r="U331" s="28">
        <v>-1.1718279741948618</v>
      </c>
      <c r="V331" s="28">
        <v>-1.2537131917160185</v>
      </c>
      <c r="W331" s="28">
        <v>-1.3326210752334009</v>
      </c>
      <c r="X331" s="28">
        <v>-1.3590031100061239</v>
      </c>
      <c r="Y331" s="28">
        <v>-1.3657457068466958</v>
      </c>
      <c r="Z331" s="28">
        <v>-1.2818878032665038</v>
      </c>
      <c r="AA331" s="28">
        <v>-1.1442586005089854</v>
      </c>
      <c r="AB331" s="28">
        <v>0</v>
      </c>
    </row>
    <row r="332" spans="2:28">
      <c r="B332" s="49">
        <v>5.04E-2</v>
      </c>
      <c r="C332" s="40">
        <v>-97.5</v>
      </c>
      <c r="D332" s="27">
        <v>-1.0973798939999999</v>
      </c>
      <c r="E332" s="27">
        <v>-0.99474865199999996</v>
      </c>
      <c r="F332" s="27">
        <v>-1.279679894</v>
      </c>
      <c r="G332" s="27">
        <v>-1.219767351</v>
      </c>
      <c r="H332" s="27">
        <v>-1.3568737399999999</v>
      </c>
      <c r="I332" s="27">
        <v>-1.2751176440000001</v>
      </c>
      <c r="J332" s="27">
        <v>-1.2378113719999999</v>
      </c>
      <c r="K332" s="27">
        <v>-1.012305217</v>
      </c>
      <c r="L332" s="27"/>
      <c r="M332" s="42"/>
      <c r="R332" s="75">
        <v>5.04E-2</v>
      </c>
      <c r="S332" s="74">
        <f t="shared" si="6"/>
        <v>-1.0880834980965072E-2</v>
      </c>
      <c r="T332" s="28">
        <v>-1.0852479236018817</v>
      </c>
      <c r="U332" s="28">
        <v>-1.1852577443644372</v>
      </c>
      <c r="V332" s="28">
        <v>-1.2668112965594709</v>
      </c>
      <c r="W332" s="28">
        <v>-1.3454156449298502</v>
      </c>
      <c r="X332" s="28">
        <v>-1.3717327544753388</v>
      </c>
      <c r="Y332" s="28">
        <v>-1.3785766179059804</v>
      </c>
      <c r="Z332" s="28">
        <v>-1.2952301074926957</v>
      </c>
      <c r="AA332" s="28">
        <v>-1.1582975076363937</v>
      </c>
      <c r="AB332" s="28">
        <v>0</v>
      </c>
    </row>
    <row r="333" spans="2:28">
      <c r="B333" s="49">
        <v>5.0599999999999999E-2</v>
      </c>
      <c r="C333" s="40">
        <v>-97.5</v>
      </c>
      <c r="D333" s="27">
        <v>-1.1186752200000001</v>
      </c>
      <c r="E333" s="27">
        <v>-1.016265905</v>
      </c>
      <c r="F333" s="27">
        <v>-1.30097522</v>
      </c>
      <c r="G333" s="27">
        <v>-1.2418143530000001</v>
      </c>
      <c r="H333" s="27">
        <v>-1.375434212</v>
      </c>
      <c r="I333" s="27">
        <v>-1.2927671350000001</v>
      </c>
      <c r="J333" s="27">
        <v>-1.255473345</v>
      </c>
      <c r="K333" s="27">
        <v>-1.028831107</v>
      </c>
      <c r="L333" s="27"/>
      <c r="M333" s="42"/>
      <c r="R333" s="75">
        <v>5.0599999999999999E-2</v>
      </c>
      <c r="S333" s="74">
        <f t="shared" si="6"/>
        <v>-1.0880834980965072E-2</v>
      </c>
      <c r="T333" s="28">
        <v>-1.098650246915152</v>
      </c>
      <c r="U333" s="28">
        <v>-1.1981273158604984</v>
      </c>
      <c r="V333" s="28">
        <v>-1.2792913450826771</v>
      </c>
      <c r="W333" s="28">
        <v>-1.3575371182958769</v>
      </c>
      <c r="X333" s="28">
        <v>-1.3837587649072935</v>
      </c>
      <c r="Y333" s="28">
        <v>-1.3907036122526726</v>
      </c>
      <c r="Z333" s="28">
        <v>-1.307920197697213</v>
      </c>
      <c r="AA333" s="28">
        <v>-1.1717598371997853</v>
      </c>
      <c r="AB333" s="28">
        <v>0</v>
      </c>
    </row>
    <row r="334" spans="2:28">
      <c r="B334" s="49">
        <v>5.0799999999999998E-2</v>
      </c>
      <c r="C334" s="40">
        <v>-97.5</v>
      </c>
      <c r="D334" s="27">
        <v>-1.13921652</v>
      </c>
      <c r="E334" s="27">
        <v>-1.0375101929999999</v>
      </c>
      <c r="F334" s="27">
        <v>-1.3216477449999999</v>
      </c>
      <c r="G334" s="27">
        <v>-1.2624540710000001</v>
      </c>
      <c r="H334" s="27">
        <v>-1.3900141770000001</v>
      </c>
      <c r="I334" s="27">
        <v>-1.30981693</v>
      </c>
      <c r="J334" s="27">
        <v>-1.2717264210000001</v>
      </c>
      <c r="K334" s="27">
        <v>-1.045285706</v>
      </c>
      <c r="L334" s="27"/>
      <c r="M334" s="42"/>
      <c r="R334" s="75">
        <v>5.0799999999999998E-2</v>
      </c>
      <c r="S334" s="74">
        <f t="shared" si="6"/>
        <v>-1.0880834980965072E-2</v>
      </c>
      <c r="T334" s="28">
        <v>-1.1113491028108635</v>
      </c>
      <c r="U334" s="28">
        <v>-1.2102958329135982</v>
      </c>
      <c r="V334" s="28">
        <v>-1.2910724783307845</v>
      </c>
      <c r="W334" s="28">
        <v>-1.3689564260157117</v>
      </c>
      <c r="X334" s="28">
        <v>-1.3950808143230813</v>
      </c>
      <c r="Y334" s="28">
        <v>-1.4021408473362553</v>
      </c>
      <c r="Z334" s="28">
        <v>-1.3199642489610706</v>
      </c>
      <c r="AA334" s="28">
        <v>-1.1846428261514004</v>
      </c>
      <c r="AB334" s="28">
        <v>0</v>
      </c>
    </row>
    <row r="335" spans="2:28">
      <c r="B335" s="49">
        <v>5.0999999999999997E-2</v>
      </c>
      <c r="C335" s="40">
        <v>-97.5</v>
      </c>
      <c r="D335" s="27">
        <v>-1.1595287809999999</v>
      </c>
      <c r="E335" s="27">
        <v>-1.058028781</v>
      </c>
      <c r="F335" s="27">
        <v>-1.341531829</v>
      </c>
      <c r="G335" s="27">
        <v>-1.2811379249999999</v>
      </c>
      <c r="H335" s="27">
        <v>-1.4016027550000001</v>
      </c>
      <c r="I335" s="27">
        <v>-1.3253844669999999</v>
      </c>
      <c r="J335" s="27">
        <v>-1.286818816</v>
      </c>
      <c r="K335" s="27">
        <v>-1.0616955450000001</v>
      </c>
      <c r="L335" s="27"/>
      <c r="M335" s="42"/>
      <c r="R335" s="75">
        <v>5.0999999999999997E-2</v>
      </c>
      <c r="S335" s="74">
        <f t="shared" si="6"/>
        <v>-1.0880834980965072E-2</v>
      </c>
      <c r="T335" s="28">
        <v>-1.1232917467940262</v>
      </c>
      <c r="U335" s="28">
        <v>-1.2217258209420152</v>
      </c>
      <c r="V335" s="28">
        <v>-1.3021268312987488</v>
      </c>
      <c r="W335" s="28">
        <v>-1.3796561339131839</v>
      </c>
      <c r="X335" s="28">
        <v>-1.405690483010654</v>
      </c>
      <c r="Y335" s="28">
        <v>-1.4128900482002593</v>
      </c>
      <c r="Z335" s="28">
        <v>-1.3313655966121742</v>
      </c>
      <c r="AA335" s="28">
        <v>-1.1969464916278925</v>
      </c>
      <c r="AB335" s="28">
        <v>0</v>
      </c>
    </row>
    <row r="336" spans="2:28">
      <c r="B336" s="49">
        <v>5.1200000000000002E-2</v>
      </c>
      <c r="C336" s="40">
        <v>-121.9</v>
      </c>
      <c r="D336" s="27">
        <v>-1.1789000000000001</v>
      </c>
      <c r="E336" s="27">
        <v>-1.0773999999999999</v>
      </c>
      <c r="F336" s="27">
        <v>-1.3596999999999999</v>
      </c>
      <c r="G336" s="27">
        <v>-1.298</v>
      </c>
      <c r="H336" s="27">
        <v>-1.4121999999999999</v>
      </c>
      <c r="I336" s="27">
        <v>-1.3391</v>
      </c>
      <c r="J336" s="27">
        <v>-1.3015000000000001</v>
      </c>
      <c r="K336" s="27">
        <v>-1.0781000000000001</v>
      </c>
      <c r="L336" s="27"/>
      <c r="M336" s="42"/>
      <c r="R336" s="75">
        <v>5.1200000000000002E-2</v>
      </c>
      <c r="S336" s="74">
        <f t="shared" ref="S336:S379" si="7">C336/$I$39</f>
        <v>-1.3603833683893769E-2</v>
      </c>
      <c r="T336" s="28">
        <v>-1.1344821641962619</v>
      </c>
      <c r="U336" s="28">
        <v>-1.2324096270061953</v>
      </c>
      <c r="V336" s="28">
        <v>-1.3124390859622685</v>
      </c>
      <c r="W336" s="28">
        <v>-1.3896244855748643</v>
      </c>
      <c r="X336" s="28">
        <v>-1.4155802890596989</v>
      </c>
      <c r="Y336" s="28">
        <v>-1.4229517921304149</v>
      </c>
      <c r="Z336" s="28">
        <v>-1.3421250026950953</v>
      </c>
      <c r="AA336" s="28">
        <v>-1.2086708868386977</v>
      </c>
      <c r="AB336" s="28">
        <v>0</v>
      </c>
    </row>
    <row r="337" spans="2:28">
      <c r="B337" s="49">
        <v>5.1400000000000001E-2</v>
      </c>
      <c r="C337" s="40">
        <v>-73.099999999999994</v>
      </c>
      <c r="D337" s="27">
        <v>-1.1971277259999999</v>
      </c>
      <c r="E337" s="27">
        <v>-1.096465123</v>
      </c>
      <c r="F337" s="27">
        <v>-1.3766559789999999</v>
      </c>
      <c r="G337" s="27">
        <v>-1.312846835</v>
      </c>
      <c r="H337" s="27">
        <v>-1.425118581</v>
      </c>
      <c r="I337" s="27">
        <v>-1.3515174679999999</v>
      </c>
      <c r="J337" s="27">
        <v>-1.3160124849999999</v>
      </c>
      <c r="K337" s="27">
        <v>-1.0942872800000001</v>
      </c>
      <c r="L337" s="27"/>
      <c r="M337" s="42"/>
      <c r="R337" s="75">
        <v>5.1400000000000001E-2</v>
      </c>
      <c r="S337" s="74">
        <f t="shared" si="7"/>
        <v>-8.1578362780363768E-3</v>
      </c>
      <c r="T337" s="28">
        <v>-1.145320593153822</v>
      </c>
      <c r="U337" s="28">
        <v>-1.2425817475298044</v>
      </c>
      <c r="V337" s="28">
        <v>-1.3221760838574086</v>
      </c>
      <c r="W337" s="28">
        <v>-1.3989605048581173</v>
      </c>
      <c r="X337" s="28">
        <v>-1.4248037185690441</v>
      </c>
      <c r="Y337" s="28">
        <v>-1.4323345848296438</v>
      </c>
      <c r="Z337" s="28">
        <v>-1.3522397231142356</v>
      </c>
      <c r="AA337" s="28">
        <v>-1.2198130651313879</v>
      </c>
      <c r="AB337" s="28">
        <v>0</v>
      </c>
    </row>
    <row r="338" spans="2:28">
      <c r="B338" s="49">
        <v>5.16E-2</v>
      </c>
      <c r="C338" s="40">
        <v>-73.099999999999994</v>
      </c>
      <c r="D338" s="27">
        <v>-1.215026948</v>
      </c>
      <c r="E338" s="27">
        <v>-1.115233275</v>
      </c>
      <c r="F338" s="27">
        <v>-1.3933486820000001</v>
      </c>
      <c r="G338" s="27">
        <v>-1.3280830699999999</v>
      </c>
      <c r="H338" s="27">
        <v>-1.441733275</v>
      </c>
      <c r="I338" s="27">
        <v>-1.3629292909999999</v>
      </c>
      <c r="J338" s="27">
        <v>-1.3303953129999999</v>
      </c>
      <c r="K338" s="27">
        <v>-1.1103391920000001</v>
      </c>
      <c r="L338" s="27"/>
      <c r="M338" s="42"/>
      <c r="R338" s="75">
        <v>5.16E-2</v>
      </c>
      <c r="S338" s="74">
        <f t="shared" si="7"/>
        <v>-8.1578362780363768E-3</v>
      </c>
      <c r="T338" s="28">
        <v>-1.1546758905686778</v>
      </c>
      <c r="U338" s="28">
        <v>-1.2516045162769827</v>
      </c>
      <c r="V338" s="28">
        <v>-1.3308938008466715</v>
      </c>
      <c r="W338" s="28">
        <v>-1.407414861832341</v>
      </c>
      <c r="X338" s="28">
        <v>-1.4332381586824987</v>
      </c>
      <c r="Y338" s="28">
        <v>-1.4410324787834583</v>
      </c>
      <c r="Z338" s="28">
        <v>-1.3617227124249618</v>
      </c>
      <c r="AA338" s="28">
        <v>-1.2303782182717156</v>
      </c>
      <c r="AB338" s="28">
        <v>0</v>
      </c>
    </row>
    <row r="339" spans="2:28">
      <c r="B339" s="49">
        <v>5.1799999999999999E-2</v>
      </c>
      <c r="C339" s="40">
        <v>-85.678793200000001</v>
      </c>
      <c r="D339" s="27">
        <v>-1.232320445</v>
      </c>
      <c r="E339" s="27">
        <v>-1.133693732</v>
      </c>
      <c r="F339" s="27">
        <v>-1.4097657880000001</v>
      </c>
      <c r="G339" s="27">
        <v>-1.345596837</v>
      </c>
      <c r="H339" s="27">
        <v>-1.4605030459999999</v>
      </c>
      <c r="I339" s="27">
        <v>-1.3738490329999999</v>
      </c>
      <c r="J339" s="27">
        <v>-1.344637844</v>
      </c>
      <c r="K339" s="27">
        <v>-1.1254440539999999</v>
      </c>
      <c r="L339" s="27"/>
      <c r="M339" s="42"/>
      <c r="R339" s="75">
        <v>5.1799999999999999E-2</v>
      </c>
      <c r="S339" s="74">
        <f t="shared" si="7"/>
        <v>-9.561608309512127E-3</v>
      </c>
      <c r="T339" s="28">
        <v>-1.1631047718230962</v>
      </c>
      <c r="U339" s="28">
        <v>-1.2597265178672923</v>
      </c>
      <c r="V339" s="28">
        <v>-1.3387347620086085</v>
      </c>
      <c r="W339" s="28">
        <v>-1.4150314697691233</v>
      </c>
      <c r="X339" s="28">
        <v>-1.440877148508434</v>
      </c>
      <c r="Y339" s="28">
        <v>-1.4490175122868443</v>
      </c>
      <c r="Z339" s="28">
        <v>-1.3705647417204641</v>
      </c>
      <c r="AA339" s="28">
        <v>-1.2403685114182552</v>
      </c>
      <c r="AB339" s="28">
        <v>0</v>
      </c>
    </row>
    <row r="340" spans="2:28">
      <c r="B340" s="49">
        <v>5.1999999999999998E-2</v>
      </c>
      <c r="C340" s="40">
        <v>-97.5</v>
      </c>
      <c r="D340" s="27">
        <v>-1.2484134819999999</v>
      </c>
      <c r="E340" s="27">
        <v>-1.1519573860000001</v>
      </c>
      <c r="F340" s="27">
        <v>-1.4262635400000001</v>
      </c>
      <c r="G340" s="27">
        <v>-1.364507444</v>
      </c>
      <c r="H340" s="27">
        <v>-1.479057386</v>
      </c>
      <c r="I340" s="27">
        <v>-1.3853757330000001</v>
      </c>
      <c r="J340" s="27">
        <v>-1.358682122</v>
      </c>
      <c r="K340" s="27">
        <v>-1.139613365</v>
      </c>
      <c r="L340" s="27"/>
      <c r="M340" s="42"/>
      <c r="R340" s="75">
        <v>5.1999999999999998E-2</v>
      </c>
      <c r="S340" s="74">
        <f t="shared" si="7"/>
        <v>-1.0880834980965072E-2</v>
      </c>
      <c r="T340" s="28">
        <v>-1.1708888823448724</v>
      </c>
      <c r="U340" s="28">
        <v>-1.2671269060933235</v>
      </c>
      <c r="V340" s="28">
        <v>-1.3458331424776511</v>
      </c>
      <c r="W340" s="28">
        <v>-1.4218927847692384</v>
      </c>
      <c r="X340" s="28">
        <v>-1.4477646617597726</v>
      </c>
      <c r="Y340" s="28">
        <v>-1.4562914910660854</v>
      </c>
      <c r="Z340" s="28">
        <v>-1.3787581874538848</v>
      </c>
      <c r="AA340" s="28">
        <v>-1.2497794333426269</v>
      </c>
      <c r="AB340" s="28">
        <v>0</v>
      </c>
    </row>
    <row r="341" spans="2:28">
      <c r="B341" s="49">
        <v>5.2200000000000003E-2</v>
      </c>
      <c r="C341" s="40">
        <v>-97.5</v>
      </c>
      <c r="D341" s="27">
        <v>-1.2639441119999999</v>
      </c>
      <c r="E341" s="27">
        <v>-1.1694332160000001</v>
      </c>
      <c r="F341" s="27">
        <v>-1.4433332160000001</v>
      </c>
      <c r="G341" s="27">
        <v>-1.384037961</v>
      </c>
      <c r="H341" s="27">
        <v>-1.4955019329999999</v>
      </c>
      <c r="I341" s="27">
        <v>-1.397523726</v>
      </c>
      <c r="J341" s="27">
        <v>-1.372111248</v>
      </c>
      <c r="K341" s="27">
        <v>-1.1528393669999999</v>
      </c>
      <c r="L341" s="27"/>
      <c r="M341" s="42"/>
      <c r="R341" s="75">
        <v>5.2200000000000003E-2</v>
      </c>
      <c r="S341" s="74">
        <f t="shared" si="7"/>
        <v>-1.0880834980965072E-2</v>
      </c>
      <c r="T341" s="28">
        <v>-1.178108348900492</v>
      </c>
      <c r="U341" s="28">
        <v>-1.2738786804573985</v>
      </c>
      <c r="V341" s="28">
        <v>-1.3522516807282108</v>
      </c>
      <c r="W341" s="28">
        <v>-1.4280494844875156</v>
      </c>
      <c r="X341" s="28">
        <v>-1.4539374535103085</v>
      </c>
      <c r="Y341" s="28">
        <v>-1.4628676636450804</v>
      </c>
      <c r="Z341" s="28">
        <v>-1.3863022258042788</v>
      </c>
      <c r="AA341" s="28">
        <v>-1.2586071539480796</v>
      </c>
      <c r="AB341" s="28">
        <v>0</v>
      </c>
    </row>
    <row r="342" spans="2:28">
      <c r="B342" s="49">
        <v>5.2400000000000002E-2</v>
      </c>
      <c r="C342" s="40">
        <v>-73.858030479999996</v>
      </c>
      <c r="D342" s="27">
        <v>-1.279072802</v>
      </c>
      <c r="E342" s="27">
        <v>-1.185085229</v>
      </c>
      <c r="F342" s="27">
        <v>-1.4603256149999999</v>
      </c>
      <c r="G342" s="27">
        <v>-1.4028349360000001</v>
      </c>
      <c r="H342" s="27">
        <v>-1.507917468</v>
      </c>
      <c r="I342" s="27">
        <v>-1.409595135</v>
      </c>
      <c r="J342" s="27">
        <v>-1.3845044550000001</v>
      </c>
      <c r="K342" s="27">
        <v>-1.1657386279999999</v>
      </c>
      <c r="L342" s="27"/>
      <c r="M342" s="42"/>
      <c r="R342" s="75">
        <v>5.2400000000000002E-2</v>
      </c>
      <c r="S342" s="74">
        <f t="shared" si="7"/>
        <v>-8.2424311966355739E-3</v>
      </c>
      <c r="T342" s="28">
        <v>-1.1845848858940002</v>
      </c>
      <c r="U342" s="28">
        <v>-1.2798994318353643</v>
      </c>
      <c r="V342" s="28">
        <v>-1.3579475185853385</v>
      </c>
      <c r="W342" s="28">
        <v>-1.433487875587401</v>
      </c>
      <c r="X342" s="28">
        <v>-1.4593976865819629</v>
      </c>
      <c r="Y342" s="28">
        <v>-1.4687547907161089</v>
      </c>
      <c r="Z342" s="28">
        <v>-1.3932018786857381</v>
      </c>
      <c r="AA342" s="28">
        <v>-1.2668511073018276</v>
      </c>
      <c r="AB342" s="28">
        <v>0</v>
      </c>
    </row>
    <row r="343" spans="2:28">
      <c r="B343" s="49">
        <v>5.2600000000000001E-2</v>
      </c>
      <c r="C343" s="40">
        <v>-92.539953130000001</v>
      </c>
      <c r="D343" s="27">
        <v>-1.2930987110000001</v>
      </c>
      <c r="E343" s="27">
        <v>-1.199580023</v>
      </c>
      <c r="F343" s="27">
        <v>-1.4761003509999999</v>
      </c>
      <c r="G343" s="27">
        <v>-1.4188393669999999</v>
      </c>
      <c r="H343" s="27">
        <v>-1.5158180429999999</v>
      </c>
      <c r="I343" s="27">
        <v>-1.420710838</v>
      </c>
      <c r="J343" s="27">
        <v>-1.3958295249999999</v>
      </c>
      <c r="K343" s="27">
        <v>-1.1785157589999999</v>
      </c>
      <c r="L343" s="27"/>
      <c r="M343" s="42"/>
      <c r="R343" s="75">
        <v>5.2600000000000001E-2</v>
      </c>
      <c r="S343" s="74">
        <f t="shared" si="7"/>
        <v>-1.0327302145166896E-2</v>
      </c>
      <c r="T343" s="28">
        <v>-1.1899101347164207</v>
      </c>
      <c r="U343" s="28">
        <v>-1.2849406970385779</v>
      </c>
      <c r="V343" s="28">
        <v>-1.3627366904015863</v>
      </c>
      <c r="W343" s="28">
        <v>-1.4380969192284963</v>
      </c>
      <c r="X343" s="28">
        <v>-1.4640855417276544</v>
      </c>
      <c r="Y343" s="28">
        <v>-1.4739471103013708</v>
      </c>
      <c r="Z343" s="28">
        <v>-1.3994632237063387</v>
      </c>
      <c r="AA343" s="28">
        <v>-1.274515214544766</v>
      </c>
      <c r="AB343" s="28">
        <v>0</v>
      </c>
    </row>
    <row r="344" spans="2:28">
      <c r="B344" s="49">
        <v>5.28E-2</v>
      </c>
      <c r="C344" s="40">
        <v>-82.248213239999998</v>
      </c>
      <c r="D344" s="27">
        <v>-1.306849151</v>
      </c>
      <c r="E344" s="27">
        <v>-1.213761629</v>
      </c>
      <c r="F344" s="27">
        <v>-1.4899117159999999</v>
      </c>
      <c r="G344" s="27">
        <v>-1.431886819</v>
      </c>
      <c r="H344" s="27">
        <v>-1.522374575</v>
      </c>
      <c r="I344" s="27">
        <v>-1.4316118339999999</v>
      </c>
      <c r="J344" s="27">
        <v>-1.406111892</v>
      </c>
      <c r="K344" s="27">
        <v>-1.191249209</v>
      </c>
      <c r="L344" s="27"/>
      <c r="M344" s="42"/>
      <c r="R344" s="75">
        <v>5.28E-2</v>
      </c>
      <c r="S344" s="74">
        <f t="shared" si="7"/>
        <v>-9.1787613922427354E-3</v>
      </c>
      <c r="T344" s="28">
        <v>-1.1946985038545364</v>
      </c>
      <c r="U344" s="28">
        <v>-1.2893281606534641</v>
      </c>
      <c r="V344" s="28">
        <v>-1.3668334922207503</v>
      </c>
      <c r="W344" s="28">
        <v>-1.4419864011030317</v>
      </c>
      <c r="X344" s="28">
        <v>-1.4680471040079901</v>
      </c>
      <c r="Y344" s="28">
        <v>-1.4784406165415218</v>
      </c>
      <c r="Z344" s="28">
        <v>-1.4050795507230645</v>
      </c>
      <c r="AA344" s="28">
        <v>-1.281598734831995</v>
      </c>
      <c r="AB344" s="28">
        <v>0</v>
      </c>
    </row>
    <row r="345" spans="2:28">
      <c r="B345" s="49">
        <v>5.2999999999999999E-2</v>
      </c>
      <c r="C345" s="40">
        <v>-97.5</v>
      </c>
      <c r="D345" s="27">
        <v>-1.319897069</v>
      </c>
      <c r="E345" s="27">
        <v>-1.227598652</v>
      </c>
      <c r="F345" s="27">
        <v>-1.5013579720000001</v>
      </c>
      <c r="G345" s="27">
        <v>-1.4416376319999999</v>
      </c>
      <c r="H345" s="27">
        <v>-1.5301016999999999</v>
      </c>
      <c r="I345" s="27">
        <v>-1.4418939040000001</v>
      </c>
      <c r="J345" s="27">
        <v>-1.4154017000000001</v>
      </c>
      <c r="K345" s="27">
        <v>-1.2038517580000001</v>
      </c>
      <c r="L345" s="27"/>
      <c r="M345" s="42"/>
      <c r="R345" s="75">
        <v>5.2999999999999999E-2</v>
      </c>
      <c r="S345" s="74">
        <f t="shared" si="7"/>
        <v>-1.0880834980965072E-2</v>
      </c>
      <c r="T345" s="28">
        <v>-1.1985925958531298</v>
      </c>
      <c r="U345" s="28">
        <v>-1.2928843646285535</v>
      </c>
      <c r="V345" s="28">
        <v>-1.3701249092083865</v>
      </c>
      <c r="W345" s="28">
        <v>-1.4451053974756234</v>
      </c>
      <c r="X345" s="28">
        <v>-1.4712665776919527</v>
      </c>
      <c r="Y345" s="28">
        <v>-1.482243288654296</v>
      </c>
      <c r="Z345" s="28">
        <v>-1.4100554233817717</v>
      </c>
      <c r="AA345" s="28">
        <v>-1.2881018725589211</v>
      </c>
      <c r="AB345" s="28">
        <v>0</v>
      </c>
    </row>
    <row r="346" spans="2:28">
      <c r="B346" s="49">
        <v>5.3199999999999997E-2</v>
      </c>
      <c r="C346" s="40">
        <v>-115.0388401</v>
      </c>
      <c r="D346" s="27">
        <v>-1.3321755710000001</v>
      </c>
      <c r="E346" s="27">
        <v>-1.2411662569999999</v>
      </c>
      <c r="F346" s="27">
        <v>-1.510906678</v>
      </c>
      <c r="G346" s="27">
        <v>-1.4489971880000001</v>
      </c>
      <c r="H346" s="27">
        <v>-1.5404724080000001</v>
      </c>
      <c r="I346" s="27">
        <v>-1.4516660809999999</v>
      </c>
      <c r="J346" s="27">
        <v>-1.4241191559999999</v>
      </c>
      <c r="K346" s="27">
        <v>-1.2163193320000001</v>
      </c>
      <c r="L346" s="27"/>
      <c r="M346" s="42"/>
      <c r="R346" s="75">
        <v>5.3199999999999997E-2</v>
      </c>
      <c r="S346" s="74">
        <f t="shared" si="7"/>
        <v>-1.2838139851586949E-2</v>
      </c>
      <c r="T346" s="28">
        <v>-1.2019487587798035</v>
      </c>
      <c r="U346" s="28">
        <v>-1.2958072905267832</v>
      </c>
      <c r="V346" s="28">
        <v>-1.3727510592519818</v>
      </c>
      <c r="W346" s="28">
        <v>-1.4475320541445984</v>
      </c>
      <c r="X346" s="28">
        <v>-1.4737829698086682</v>
      </c>
      <c r="Y346" s="28">
        <v>-1.4853586675772876</v>
      </c>
      <c r="Z346" s="28">
        <v>-1.4143899121131125</v>
      </c>
      <c r="AA346" s="28">
        <v>-1.294024381335406</v>
      </c>
      <c r="AB346" s="28">
        <v>0</v>
      </c>
    </row>
    <row r="347" spans="2:28">
      <c r="B347" s="49">
        <v>5.3400000000000003E-2</v>
      </c>
      <c r="C347" s="40">
        <v>-78.445987110000004</v>
      </c>
      <c r="D347" s="27">
        <v>-1.343559285</v>
      </c>
      <c r="E347" s="27">
        <v>-1.254462097</v>
      </c>
      <c r="F347" s="27">
        <v>-1.519867428</v>
      </c>
      <c r="G347" s="27">
        <v>-1.4549632100000001</v>
      </c>
      <c r="H347" s="27">
        <v>-1.553262097</v>
      </c>
      <c r="I347" s="27">
        <v>-1.4616578790000001</v>
      </c>
      <c r="J347" s="27">
        <v>-1.4326112479999999</v>
      </c>
      <c r="K347" s="27">
        <v>-1.228115466</v>
      </c>
      <c r="L347" s="27"/>
      <c r="M347" s="42"/>
      <c r="R347" s="75">
        <v>5.3400000000000003E-2</v>
      </c>
      <c r="S347" s="74">
        <f t="shared" si="7"/>
        <v>-8.754439391413571E-3</v>
      </c>
      <c r="T347" s="28">
        <v>-1.2048651328021729</v>
      </c>
      <c r="U347" s="28">
        <v>-1.298186132592384</v>
      </c>
      <c r="V347" s="28">
        <v>-1.3747950155338897</v>
      </c>
      <c r="W347" s="28">
        <v>-1.4493315100643467</v>
      </c>
      <c r="X347" s="28">
        <v>-1.4756435035744286</v>
      </c>
      <c r="Y347" s="28">
        <v>-1.4878045227151788</v>
      </c>
      <c r="Z347" s="28">
        <v>-1.4180868076650199</v>
      </c>
      <c r="AA347" s="28">
        <v>-1.2993649564982659</v>
      </c>
      <c r="AB347" s="28">
        <v>0</v>
      </c>
    </row>
    <row r="348" spans="2:28">
      <c r="B348" s="49">
        <v>5.3600000000000002E-2</v>
      </c>
      <c r="C348" s="40">
        <v>-95.970533099999997</v>
      </c>
      <c r="D348" s="27">
        <v>-1.3544641479999999</v>
      </c>
      <c r="E348" s="27">
        <v>-1.266695489</v>
      </c>
      <c r="F348" s="27">
        <v>-1.5291516110000001</v>
      </c>
      <c r="G348" s="27">
        <v>-1.4609886350000001</v>
      </c>
      <c r="H348" s="27">
        <v>-1.566308026</v>
      </c>
      <c r="I348" s="27">
        <v>-1.4709450500000001</v>
      </c>
      <c r="J348" s="27">
        <v>-1.4415077329999999</v>
      </c>
      <c r="K348" s="27">
        <v>-1.238932806</v>
      </c>
      <c r="L348" s="27"/>
      <c r="M348" s="42"/>
      <c r="R348" s="75">
        <v>5.3600000000000002E-2</v>
      </c>
      <c r="S348" s="74">
        <f t="shared" si="7"/>
        <v>-1.071014906355227E-2</v>
      </c>
      <c r="T348" s="28">
        <v>-1.206512327867663</v>
      </c>
      <c r="U348" s="28">
        <v>-1.2995469779345001</v>
      </c>
      <c r="V348" s="28">
        <v>-1.3759190672898145</v>
      </c>
      <c r="W348" s="28">
        <v>-1.4503141793411634</v>
      </c>
      <c r="X348" s="28">
        <v>-1.4767563927618985</v>
      </c>
      <c r="Y348" s="28">
        <v>-1.4895819751663737</v>
      </c>
      <c r="Z348" s="28">
        <v>-1.4211598061160542</v>
      </c>
      <c r="AA348" s="28">
        <v>-1.3041304156397391</v>
      </c>
      <c r="AB348" s="28">
        <v>0</v>
      </c>
    </row>
    <row r="349" spans="2:28">
      <c r="B349" s="49">
        <v>5.3800000000000001E-2</v>
      </c>
      <c r="C349" s="40">
        <v>-78.817633270000002</v>
      </c>
      <c r="D349" s="27">
        <v>-1.364774634</v>
      </c>
      <c r="E349" s="27">
        <v>-1.2776386639999999</v>
      </c>
      <c r="F349" s="27">
        <v>-1.5395792619999999</v>
      </c>
      <c r="G349" s="27">
        <v>-1.4681825420000001</v>
      </c>
      <c r="H349" s="27">
        <v>-1.577204335</v>
      </c>
      <c r="I349" s="27">
        <v>-1.4790528409999999</v>
      </c>
      <c r="J349" s="27">
        <v>-1.450974634</v>
      </c>
      <c r="K349" s="27">
        <v>-1.248727768</v>
      </c>
      <c r="L349" s="27"/>
      <c r="M349" s="42"/>
      <c r="R349" s="75">
        <v>5.3800000000000001E-2</v>
      </c>
      <c r="S349" s="74">
        <f t="shared" si="7"/>
        <v>-8.7959144738573598E-3</v>
      </c>
      <c r="T349" s="28">
        <v>-1.2076020998694241</v>
      </c>
      <c r="U349" s="28">
        <v>-1.3002512798293604</v>
      </c>
      <c r="V349" s="28">
        <v>-1.3763565311448998</v>
      </c>
      <c r="W349" s="28">
        <v>-1.4505904316468461</v>
      </c>
      <c r="X349" s="28">
        <v>-1.4771610182551622</v>
      </c>
      <c r="Y349" s="28">
        <v>-1.490680739744729</v>
      </c>
      <c r="Z349" s="28">
        <v>-1.4236035397245614</v>
      </c>
      <c r="AA349" s="28">
        <v>-1.3083232711937567</v>
      </c>
      <c r="AB349" s="28">
        <v>0</v>
      </c>
    </row>
    <row r="350" spans="2:28">
      <c r="B350" s="49">
        <v>5.3999999999999999E-2</v>
      </c>
      <c r="C350" s="40">
        <v>-97.5</v>
      </c>
      <c r="D350" s="27">
        <v>-1.374068464</v>
      </c>
      <c r="E350" s="27">
        <v>-1.287224736</v>
      </c>
      <c r="F350" s="27">
        <v>-1.5503559200000001</v>
      </c>
      <c r="G350" s="27">
        <v>-1.474731067</v>
      </c>
      <c r="H350" s="27">
        <v>-1.5851310670000001</v>
      </c>
      <c r="I350" s="27">
        <v>-1.486034174</v>
      </c>
      <c r="J350" s="27">
        <v>-1.460065358</v>
      </c>
      <c r="K350" s="27">
        <v>-1.2580715710000001</v>
      </c>
      <c r="L350" s="27"/>
      <c r="M350" s="42"/>
      <c r="R350" s="75">
        <v>5.3999999999999999E-2</v>
      </c>
      <c r="S350" s="74">
        <f t="shared" si="7"/>
        <v>-1.0880834980965072E-2</v>
      </c>
      <c r="T350" s="28">
        <v>-1.2076896528515699</v>
      </c>
      <c r="U350" s="28">
        <v>-1.3000687862411038</v>
      </c>
      <c r="V350" s="28">
        <v>-1.3759551063614546</v>
      </c>
      <c r="W350" s="28">
        <v>-1.4500846624305459</v>
      </c>
      <c r="X350" s="28">
        <v>-1.4768272043809241</v>
      </c>
      <c r="Y350" s="28">
        <v>-1.4911060295838721</v>
      </c>
      <c r="Z350" s="28">
        <v>-1.4254239651146015</v>
      </c>
      <c r="AA350" s="28">
        <v>-1.3119460771943379</v>
      </c>
      <c r="AB350" s="28">
        <v>0</v>
      </c>
    </row>
    <row r="351" spans="2:28">
      <c r="B351" s="49">
        <v>5.4199999999999998E-2</v>
      </c>
      <c r="C351" s="40">
        <v>-111.6082601</v>
      </c>
      <c r="D351" s="27">
        <v>-1.3826896310000001</v>
      </c>
      <c r="E351" s="27">
        <v>-1.2951427069999999</v>
      </c>
      <c r="F351" s="27">
        <v>-1.5600365549999999</v>
      </c>
      <c r="G351" s="27">
        <v>-1.48007065</v>
      </c>
      <c r="H351" s="27">
        <v>-1.5898346219999999</v>
      </c>
      <c r="I351" s="27">
        <v>-1.492017575</v>
      </c>
      <c r="J351" s="27">
        <v>-1.468100527</v>
      </c>
      <c r="K351" s="27">
        <v>-1.2676834800000001</v>
      </c>
      <c r="L351" s="27"/>
      <c r="M351" s="42"/>
      <c r="R351" s="75">
        <v>5.4199999999999998E-2</v>
      </c>
      <c r="S351" s="74">
        <f t="shared" si="7"/>
        <v>-1.2455292929853624E-2</v>
      </c>
      <c r="T351" s="28">
        <v>-1.207294390488193</v>
      </c>
      <c r="U351" s="28">
        <v>-1.2992836345960836</v>
      </c>
      <c r="V351" s="28">
        <v>-1.3749096292202077</v>
      </c>
      <c r="W351" s="28">
        <v>-1.4489027372798082</v>
      </c>
      <c r="X351" s="28">
        <v>-1.4758052126072032</v>
      </c>
      <c r="Y351" s="28">
        <v>-1.4908604016530207</v>
      </c>
      <c r="Z351" s="28">
        <v>-1.4266186028982579</v>
      </c>
      <c r="AA351" s="28">
        <v>-1.3149995208642447</v>
      </c>
      <c r="AB351" s="28">
        <v>0</v>
      </c>
    </row>
    <row r="352" spans="2:28">
      <c r="B352" s="49">
        <v>5.4399999999999997E-2</v>
      </c>
      <c r="C352" s="40">
        <v>-103.6035735</v>
      </c>
      <c r="D352" s="27">
        <v>-1.390099121</v>
      </c>
      <c r="E352" s="27">
        <v>-1.301849209</v>
      </c>
      <c r="F352" s="27">
        <v>-1.567774107</v>
      </c>
      <c r="G352" s="27">
        <v>-1.4837496189999999</v>
      </c>
      <c r="H352" s="27">
        <v>-1.5921497950000001</v>
      </c>
      <c r="I352" s="27">
        <v>-1.4968494429999999</v>
      </c>
      <c r="J352" s="27">
        <v>-1.4750741650000001</v>
      </c>
      <c r="K352" s="27">
        <v>-1.2766489160000001</v>
      </c>
      <c r="L352" s="27"/>
      <c r="M352" s="42"/>
      <c r="R352" s="75">
        <v>5.4399999999999997E-2</v>
      </c>
      <c r="S352" s="74">
        <f t="shared" si="7"/>
        <v>-1.1561983453249087E-2</v>
      </c>
      <c r="T352" s="28">
        <v>-1.2064270924172211</v>
      </c>
      <c r="U352" s="28">
        <v>-1.2979430025710288</v>
      </c>
      <c r="V352" s="28">
        <v>-1.3732791078953093</v>
      </c>
      <c r="W352" s="28">
        <v>-1.4470997079776717</v>
      </c>
      <c r="X352" s="28">
        <v>-1.4741397544138575</v>
      </c>
      <c r="Y352" s="28">
        <v>-1.4899633894034066</v>
      </c>
      <c r="Z352" s="28">
        <v>-1.4271929199074631</v>
      </c>
      <c r="AA352" s="28">
        <v>-1.3174832916884327</v>
      </c>
      <c r="AB352" s="28">
        <v>0</v>
      </c>
    </row>
    <row r="353" spans="2:28">
      <c r="B353" s="49">
        <v>5.4600000000000003E-2</v>
      </c>
      <c r="C353" s="40">
        <v>-75.002227430000005</v>
      </c>
      <c r="D353" s="27">
        <v>-1.3968556270000001</v>
      </c>
      <c r="E353" s="27">
        <v>-1.307349179</v>
      </c>
      <c r="F353" s="27">
        <v>-1.5728959549999999</v>
      </c>
      <c r="G353" s="27">
        <v>-1.485414244</v>
      </c>
      <c r="H353" s="27">
        <v>-1.5929610199999999</v>
      </c>
      <c r="I353" s="27">
        <v>-1.50056612</v>
      </c>
      <c r="J353" s="27">
        <v>-1.4799115469999999</v>
      </c>
      <c r="K353" s="27">
        <v>-1.2853230950000001</v>
      </c>
      <c r="L353" s="27"/>
      <c r="M353" s="42"/>
      <c r="R353" s="75">
        <v>5.4600000000000003E-2</v>
      </c>
      <c r="S353" s="74">
        <f t="shared" si="7"/>
        <v>-8.370121639698894E-3</v>
      </c>
      <c r="T353" s="28">
        <v>-1.2047702316509685</v>
      </c>
      <c r="U353" s="28">
        <v>-1.2958761558684024</v>
      </c>
      <c r="V353" s="28">
        <v>-1.3709467438648471</v>
      </c>
      <c r="W353" s="28">
        <v>-1.4446183023523613</v>
      </c>
      <c r="X353" s="28">
        <v>-1.4718111059820451</v>
      </c>
      <c r="Y353" s="28">
        <v>-1.4884271506983351</v>
      </c>
      <c r="Z353" s="28">
        <v>-1.4271578984135949</v>
      </c>
      <c r="AA353" s="28">
        <v>-1.3194021313692192</v>
      </c>
      <c r="AB353" s="28">
        <v>0</v>
      </c>
    </row>
    <row r="354" spans="2:28">
      <c r="B354" s="49">
        <v>5.4800000000000001E-2</v>
      </c>
      <c r="C354" s="40">
        <v>-75.387053309999999</v>
      </c>
      <c r="D354" s="27">
        <v>-1.403178032</v>
      </c>
      <c r="E354" s="27">
        <v>-1.312274927</v>
      </c>
      <c r="F354" s="27">
        <v>-1.574262507</v>
      </c>
      <c r="G354" s="27">
        <v>-1.4855906270000001</v>
      </c>
      <c r="H354" s="27">
        <v>-1.5946249560000001</v>
      </c>
      <c r="I354" s="27">
        <v>-1.503799941</v>
      </c>
      <c r="J354" s="27">
        <v>-1.4818187460000001</v>
      </c>
      <c r="K354" s="27">
        <v>-1.2936998829999999</v>
      </c>
      <c r="L354" s="27"/>
      <c r="M354" s="42"/>
      <c r="R354" s="75">
        <v>5.4800000000000001E-2</v>
      </c>
      <c r="S354" s="74">
        <f t="shared" si="7"/>
        <v>-8.4130675565879665E-3</v>
      </c>
      <c r="T354" s="28">
        <v>-1.2019265768610616</v>
      </c>
      <c r="U354" s="28">
        <v>-1.2928282677003105</v>
      </c>
      <c r="V354" s="28">
        <v>-1.367718892660085</v>
      </c>
      <c r="W354" s="28">
        <v>-1.4413354360588884</v>
      </c>
      <c r="X354" s="28">
        <v>-1.4687489299982275</v>
      </c>
      <c r="Y354" s="28">
        <v>-1.4862424325861703</v>
      </c>
      <c r="Z354" s="28">
        <v>-1.4265226006586527</v>
      </c>
      <c r="AA354" s="28">
        <v>-1.3207646345055064</v>
      </c>
      <c r="AB354" s="28">
        <v>0</v>
      </c>
    </row>
    <row r="355" spans="2:28">
      <c r="B355" s="49">
        <v>5.5E-2</v>
      </c>
      <c r="C355" s="40">
        <v>-97.5</v>
      </c>
      <c r="D355" s="27">
        <v>-1.4090745600000001</v>
      </c>
      <c r="E355" s="27">
        <v>-1.3170152399999999</v>
      </c>
      <c r="F355" s="27">
        <v>-1.573687573</v>
      </c>
      <c r="G355" s="27">
        <v>-1.4855265529999999</v>
      </c>
      <c r="H355" s="27">
        <v>-1.597543494</v>
      </c>
      <c r="I355" s="27">
        <v>-1.507470047</v>
      </c>
      <c r="J355" s="27">
        <v>-1.482</v>
      </c>
      <c r="K355" s="27">
        <v>-1.301040094</v>
      </c>
      <c r="L355" s="27"/>
      <c r="M355" s="42"/>
      <c r="R355" s="75">
        <v>5.5E-2</v>
      </c>
      <c r="S355" s="74">
        <f t="shared" si="7"/>
        <v>-1.0880834980965072E-2</v>
      </c>
      <c r="T355" s="28">
        <v>-1.1982787413750604</v>
      </c>
      <c r="U355" s="28">
        <v>-1.2889826160617981</v>
      </c>
      <c r="V355" s="28">
        <v>-1.3637054143816909</v>
      </c>
      <c r="W355" s="28">
        <v>-1.4372953132466986</v>
      </c>
      <c r="X355" s="28">
        <v>-1.4649614965856304</v>
      </c>
      <c r="Y355" s="28">
        <v>-1.483398277255972</v>
      </c>
      <c r="Z355" s="28">
        <v>-1.4252841563350112</v>
      </c>
      <c r="AA355" s="28">
        <v>-1.3215752785469226</v>
      </c>
      <c r="AB355" s="28">
        <v>0</v>
      </c>
    </row>
    <row r="356" spans="2:28">
      <c r="B356" s="49">
        <v>5.5199999999999999E-2</v>
      </c>
      <c r="C356" s="40">
        <v>-97.5</v>
      </c>
      <c r="D356" s="27">
        <v>-1.4145692439999999</v>
      </c>
      <c r="E356" s="27">
        <v>-1.3221130050000001</v>
      </c>
      <c r="F356" s="27">
        <v>-1.5731437610000001</v>
      </c>
      <c r="G356" s="27">
        <v>-1.486081371</v>
      </c>
      <c r="H356" s="27">
        <v>-1.6009565910000001</v>
      </c>
      <c r="I356" s="27">
        <v>-1.5105189809999999</v>
      </c>
      <c r="J356" s="27">
        <v>-1.4823938489999999</v>
      </c>
      <c r="K356" s="27">
        <v>-1.3074442879999999</v>
      </c>
      <c r="L356" s="27"/>
      <c r="M356" s="42"/>
      <c r="R356" s="75">
        <v>5.5199999999999999E-2</v>
      </c>
      <c r="S356" s="74">
        <f t="shared" si="7"/>
        <v>-1.0880834980965072E-2</v>
      </c>
      <c r="T356" s="28">
        <v>-1.1942496662569599</v>
      </c>
      <c r="U356" s="28">
        <v>-1.2846047184760825</v>
      </c>
      <c r="V356" s="28">
        <v>-1.3591056769524437</v>
      </c>
      <c r="W356" s="28">
        <v>-1.4326233075922581</v>
      </c>
      <c r="X356" s="28">
        <v>-1.4605205729196864</v>
      </c>
      <c r="Y356" s="28">
        <v>-1.4799079975769096</v>
      </c>
      <c r="Z356" s="28">
        <v>-1.4234407039411754</v>
      </c>
      <c r="AA356" s="28">
        <v>-1.3218331767643756</v>
      </c>
      <c r="AB356" s="28">
        <v>0</v>
      </c>
    </row>
    <row r="357" spans="2:28">
      <c r="B357" s="49">
        <v>5.5399999999999998E-2</v>
      </c>
      <c r="C357" s="40">
        <v>-82.634153490000003</v>
      </c>
      <c r="D357" s="27">
        <v>-1.4196588750000001</v>
      </c>
      <c r="E357" s="27">
        <v>-1.327319801</v>
      </c>
      <c r="F357" s="27">
        <v>-1.574235735</v>
      </c>
      <c r="G357" s="27">
        <v>-1.487979438</v>
      </c>
      <c r="H357" s="27">
        <v>-1.60367481</v>
      </c>
      <c r="I357" s="27">
        <v>-1.5124311070000001</v>
      </c>
      <c r="J357" s="27">
        <v>-1.484118512</v>
      </c>
      <c r="K357" s="27">
        <v>-1.3127588750000001</v>
      </c>
      <c r="L357" s="27"/>
      <c r="M357" s="42"/>
      <c r="R357" s="75">
        <v>5.5399999999999998E-2</v>
      </c>
      <c r="S357" s="74">
        <f t="shared" si="7"/>
        <v>-9.221831670937734E-3</v>
      </c>
      <c r="T357" s="28">
        <v>-1.1895808001717525</v>
      </c>
      <c r="U357" s="28">
        <v>-1.2795863355135488</v>
      </c>
      <c r="V357" s="28">
        <v>-1.3538661867579984</v>
      </c>
      <c r="W357" s="28">
        <v>-1.4273109520769698</v>
      </c>
      <c r="X357" s="28">
        <v>-1.4554398539624422</v>
      </c>
      <c r="Y357" s="28">
        <v>-1.4757915164531294</v>
      </c>
      <c r="Z357" s="28">
        <v>-1.4210021025525859</v>
      </c>
      <c r="AA357" s="28">
        <v>-1.321540564811287</v>
      </c>
      <c r="AB357" s="28">
        <v>0</v>
      </c>
    </row>
    <row r="358" spans="2:28">
      <c r="B358" s="49">
        <v>5.5599999999999997E-2</v>
      </c>
      <c r="C358" s="40">
        <v>-92.165181709999999</v>
      </c>
      <c r="D358" s="27">
        <v>-1.4243473040000001</v>
      </c>
      <c r="E358" s="27">
        <v>-1.3316566240000001</v>
      </c>
      <c r="F358" s="27">
        <v>-1.577400352</v>
      </c>
      <c r="G358" s="27">
        <v>-1.4906752640000001</v>
      </c>
      <c r="H358" s="27">
        <v>-1.6039093200000001</v>
      </c>
      <c r="I358" s="27">
        <v>-1.5136813600000001</v>
      </c>
      <c r="J358" s="27">
        <v>-1.486775264</v>
      </c>
      <c r="K358" s="27">
        <v>-1.317603576</v>
      </c>
      <c r="L358" s="27"/>
      <c r="M358" s="42"/>
      <c r="R358" s="75">
        <v>5.5599999999999997E-2</v>
      </c>
      <c r="S358" s="74">
        <f t="shared" si="7"/>
        <v>-1.0285478288996619E-2</v>
      </c>
      <c r="T358" s="28">
        <v>-1.1839937194801307</v>
      </c>
      <c r="U358" s="28">
        <v>-1.2737629007072482</v>
      </c>
      <c r="V358" s="28">
        <v>-1.3478717312943547</v>
      </c>
      <c r="W358" s="28">
        <v>-1.4212923866568583</v>
      </c>
      <c r="X358" s="28">
        <v>-1.4496880550003413</v>
      </c>
      <c r="Y358" s="28">
        <v>-1.4710522110359112</v>
      </c>
      <c r="Z358" s="28">
        <v>-1.4179790767595293</v>
      </c>
      <c r="AA358" s="28">
        <v>-1.320704363327754</v>
      </c>
      <c r="AB358" s="28">
        <v>0</v>
      </c>
    </row>
    <row r="359" spans="2:28">
      <c r="B359" s="49">
        <v>5.5800000000000002E-2</v>
      </c>
      <c r="C359" s="40">
        <v>-97.5</v>
      </c>
      <c r="D359" s="27">
        <v>-1.4280594019999999</v>
      </c>
      <c r="E359" s="27">
        <v>-1.3347828349999999</v>
      </c>
      <c r="F359" s="27">
        <v>-1.582103163</v>
      </c>
      <c r="G359" s="27">
        <v>-1.493201582</v>
      </c>
      <c r="H359" s="27">
        <v>-1.601893732</v>
      </c>
      <c r="I359" s="27">
        <v>-1.5146625069999999</v>
      </c>
      <c r="J359" s="27">
        <v>-1.4893968950000001</v>
      </c>
      <c r="K359" s="27">
        <v>-1.3216453429999999</v>
      </c>
      <c r="L359" s="27"/>
      <c r="M359" s="42"/>
      <c r="R359" s="75">
        <v>5.5800000000000002E-2</v>
      </c>
      <c r="S359" s="74">
        <f t="shared" si="7"/>
        <v>-1.0880834980965072E-2</v>
      </c>
      <c r="T359" s="28">
        <v>-1.1778407581661292</v>
      </c>
      <c r="U359" s="28">
        <v>-1.2673207899463879</v>
      </c>
      <c r="V359" s="28">
        <v>-1.3412450992636444</v>
      </c>
      <c r="W359" s="28">
        <v>-1.4146321944136464</v>
      </c>
      <c r="X359" s="28">
        <v>-1.4432949908976338</v>
      </c>
      <c r="Y359" s="28">
        <v>-1.4656936681017763</v>
      </c>
      <c r="Z359" s="28">
        <v>-1.4143738006985431</v>
      </c>
      <c r="AA359" s="28">
        <v>-1.3193290078693323</v>
      </c>
      <c r="AB359" s="28">
        <v>0</v>
      </c>
    </row>
    <row r="360" spans="2:28">
      <c r="B360" s="49">
        <v>5.6000000000000001E-2</v>
      </c>
      <c r="C360" s="40">
        <v>-97.5</v>
      </c>
      <c r="D360" s="27">
        <v>-1.4311745600000001</v>
      </c>
      <c r="E360" s="27">
        <v>-1.3373372219999999</v>
      </c>
      <c r="F360" s="27">
        <v>-1.585824736</v>
      </c>
      <c r="G360" s="27">
        <v>-1.4944625439999999</v>
      </c>
      <c r="H360" s="27">
        <v>-1.5984879839999999</v>
      </c>
      <c r="I360" s="27">
        <v>-1.5153374559999999</v>
      </c>
      <c r="J360" s="27">
        <v>-1.4910624269999999</v>
      </c>
      <c r="K360" s="27">
        <v>-1.324599648</v>
      </c>
      <c r="L360" s="27"/>
      <c r="M360" s="42"/>
      <c r="R360" s="75">
        <v>5.6000000000000001E-2</v>
      </c>
      <c r="S360" s="74">
        <f t="shared" si="7"/>
        <v>-1.0880834980965072E-2</v>
      </c>
      <c r="T360" s="28">
        <v>-1.1711397220268893</v>
      </c>
      <c r="U360" s="28">
        <v>-1.2602895705659531</v>
      </c>
      <c r="V360" s="28">
        <v>-1.3340138206538155</v>
      </c>
      <c r="W360" s="28">
        <v>-1.4073583276573638</v>
      </c>
      <c r="X360" s="28">
        <v>-1.436285173874589</v>
      </c>
      <c r="Y360" s="28">
        <v>-1.4597312764433761</v>
      </c>
      <c r="Z360" s="28">
        <v>-1.4101927144614865</v>
      </c>
      <c r="AA360" s="28">
        <v>-1.3174179969680928</v>
      </c>
      <c r="AB360" s="28">
        <v>0</v>
      </c>
    </row>
    <row r="361" spans="2:28">
      <c r="B361" s="49">
        <v>5.62E-2</v>
      </c>
      <c r="C361" s="40">
        <v>-104.74710020000001</v>
      </c>
      <c r="D361" s="27">
        <v>-1.4346019329999999</v>
      </c>
      <c r="E361" s="27">
        <v>-1.33947522</v>
      </c>
      <c r="F361" s="27">
        <v>-1.5874594019999999</v>
      </c>
      <c r="G361" s="27">
        <v>-1.493843585</v>
      </c>
      <c r="H361" s="27">
        <v>-1.5947386640000001</v>
      </c>
      <c r="I361" s="27">
        <v>-1.5156000000000001</v>
      </c>
      <c r="J361" s="27">
        <v>-1.4912623899999999</v>
      </c>
      <c r="K361" s="27">
        <v>-1.327353427</v>
      </c>
      <c r="L361" s="27"/>
      <c r="M361" s="42"/>
      <c r="R361" s="75">
        <v>5.62E-2</v>
      </c>
      <c r="S361" s="74">
        <f t="shared" si="7"/>
        <v>-1.1689599097546806E-2</v>
      </c>
      <c r="T361" s="28">
        <v>-1.1638193932532237</v>
      </c>
      <c r="U361" s="28">
        <v>-1.2526391835393149</v>
      </c>
      <c r="V361" s="28">
        <v>-1.3261643708598345</v>
      </c>
      <c r="W361" s="28">
        <v>-1.3994709629440485</v>
      </c>
      <c r="X361" s="28">
        <v>-1.4286665713146776</v>
      </c>
      <c r="Y361" s="28">
        <v>-1.4531768431639858</v>
      </c>
      <c r="Z361" s="28">
        <v>-1.4054450613958995</v>
      </c>
      <c r="AA361" s="28">
        <v>-1.3149766719946434</v>
      </c>
      <c r="AB361" s="28">
        <v>0</v>
      </c>
    </row>
    <row r="362" spans="2:28">
      <c r="B362" s="49">
        <v>5.6399999999999999E-2</v>
      </c>
      <c r="C362" s="40">
        <v>-110.46473349999999</v>
      </c>
      <c r="D362" s="27">
        <v>-1.4376247799999999</v>
      </c>
      <c r="E362" s="27">
        <v>-1.341537317</v>
      </c>
      <c r="F362" s="27">
        <v>-1.586990744</v>
      </c>
      <c r="G362" s="27">
        <v>-1.492343878</v>
      </c>
      <c r="H362" s="27">
        <v>-1.591762683</v>
      </c>
      <c r="I362" s="27">
        <v>-1.5155531339999999</v>
      </c>
      <c r="J362" s="27">
        <v>-1.489622086</v>
      </c>
      <c r="K362" s="27">
        <v>-1.329837317</v>
      </c>
      <c r="L362" s="27"/>
      <c r="M362" s="42"/>
      <c r="R362" s="75">
        <v>5.6399999999999999E-2</v>
      </c>
      <c r="S362" s="74">
        <f t="shared" si="7"/>
        <v>-1.2327677296715736E-2</v>
      </c>
      <c r="T362" s="28">
        <v>-1.1559807827732269</v>
      </c>
      <c r="U362" s="28">
        <v>-1.2444343848481352</v>
      </c>
      <c r="V362" s="28">
        <v>-1.3177501935290183</v>
      </c>
      <c r="W362" s="28">
        <v>-1.3910061185763996</v>
      </c>
      <c r="X362" s="28">
        <v>-1.4204635348993258</v>
      </c>
      <c r="Y362" s="28">
        <v>-1.4460414980834952</v>
      </c>
      <c r="Z362" s="28">
        <v>-1.4001387470187046</v>
      </c>
      <c r="AA362" s="28">
        <v>-1.3120103099472644</v>
      </c>
      <c r="AB362" s="28">
        <v>0</v>
      </c>
    </row>
    <row r="363" spans="2:28">
      <c r="B363" s="49">
        <v>5.6599999999999998E-2</v>
      </c>
      <c r="C363" s="40">
        <v>-81.867409140000007</v>
      </c>
      <c r="D363" s="27">
        <v>-1.4402454280000001</v>
      </c>
      <c r="E363" s="27">
        <v>-1.3444579720000001</v>
      </c>
      <c r="F363" s="27">
        <v>-1.5848905040000001</v>
      </c>
      <c r="G363" s="27">
        <v>-1.4908311839999999</v>
      </c>
      <c r="H363" s="27">
        <v>-1.589995252</v>
      </c>
      <c r="I363" s="27">
        <v>-1.51517966</v>
      </c>
      <c r="J363" s="27">
        <v>-1.4867983</v>
      </c>
      <c r="K363" s="27">
        <v>-1.3316688160000001</v>
      </c>
      <c r="L363" s="27"/>
      <c r="M363" s="42"/>
      <c r="R363" s="75">
        <v>5.6599999999999998E-2</v>
      </c>
      <c r="S363" s="74">
        <f t="shared" si="7"/>
        <v>-9.1362642991947868E-3</v>
      </c>
      <c r="T363" s="28">
        <v>-1.1476355172260249</v>
      </c>
      <c r="U363" s="28">
        <v>-1.2356948822484521</v>
      </c>
      <c r="V363" s="28">
        <v>-1.3087911939903885</v>
      </c>
      <c r="W363" s="28">
        <v>-1.3819846292365192</v>
      </c>
      <c r="X363" s="28">
        <v>-1.41169580416669</v>
      </c>
      <c r="Y363" s="28">
        <v>-1.4383402659432294</v>
      </c>
      <c r="Z363" s="28">
        <v>-1.3942829839462307</v>
      </c>
      <c r="AA363" s="28">
        <v>-1.3085244665054991</v>
      </c>
      <c r="AB363" s="28">
        <v>0</v>
      </c>
    </row>
    <row r="364" spans="2:28">
      <c r="B364" s="49">
        <v>5.6800000000000003E-2</v>
      </c>
      <c r="C364" s="40">
        <v>-73.099999999999994</v>
      </c>
      <c r="D364" s="27">
        <v>-1.44254382</v>
      </c>
      <c r="E364" s="27">
        <v>-1.348100117</v>
      </c>
      <c r="F364" s="27">
        <v>-1.5820686580000001</v>
      </c>
      <c r="G364" s="27">
        <v>-1.490237493</v>
      </c>
      <c r="H364" s="27">
        <v>-1.5884624490000001</v>
      </c>
      <c r="I364" s="27">
        <v>-1.5140249560000001</v>
      </c>
      <c r="J364" s="27">
        <v>-1.4841124189999999</v>
      </c>
      <c r="K364" s="27">
        <v>-1.3325062679999999</v>
      </c>
      <c r="L364" s="27"/>
      <c r="M364" s="42"/>
      <c r="R364" s="75">
        <v>5.6800000000000003E-2</v>
      </c>
      <c r="S364" s="74">
        <f t="shared" si="7"/>
        <v>-8.1578362780363768E-3</v>
      </c>
      <c r="T364" s="28">
        <v>-1.1382414623054051</v>
      </c>
      <c r="U364" s="28">
        <v>-1.2261047512873591</v>
      </c>
      <c r="V364" s="28">
        <v>-1.2990599627489765</v>
      </c>
      <c r="W364" s="28">
        <v>-1.3722760009320147</v>
      </c>
      <c r="X364" s="28">
        <v>-1.4022987774975442</v>
      </c>
      <c r="Y364" s="28">
        <v>-1.4300746121526418</v>
      </c>
      <c r="Z364" s="28">
        <v>-1.3878916636896808</v>
      </c>
      <c r="AA364" s="28">
        <v>-1.3045293193308691</v>
      </c>
      <c r="AB364" s="28">
        <v>0</v>
      </c>
    </row>
    <row r="365" spans="2:28">
      <c r="B365" s="49">
        <v>5.7000000000000002E-2</v>
      </c>
      <c r="C365" s="40">
        <v>-97.114059749999996</v>
      </c>
      <c r="D365" s="27">
        <v>-1.4443762739999999</v>
      </c>
      <c r="E365" s="27">
        <v>-1.3510620390000001</v>
      </c>
      <c r="F365" s="27">
        <v>-1.57933638</v>
      </c>
      <c r="G365" s="27">
        <v>-1.4908889279999999</v>
      </c>
      <c r="H365" s="27">
        <v>-1.586034798</v>
      </c>
      <c r="I365" s="27">
        <v>-1.5117332160000001</v>
      </c>
      <c r="J365" s="27">
        <v>-1.482617399</v>
      </c>
      <c r="K365" s="27">
        <v>-1.3328952549999999</v>
      </c>
      <c r="L365" s="27"/>
      <c r="M365" s="42"/>
      <c r="R365" s="75">
        <v>5.7000000000000002E-2</v>
      </c>
      <c r="S365" s="74">
        <f t="shared" si="7"/>
        <v>-1.0837764702270073E-2</v>
      </c>
      <c r="T365" s="28">
        <v>-1.1280062524113583</v>
      </c>
      <c r="U365" s="28">
        <v>-1.2157438273931427</v>
      </c>
      <c r="V365" s="28">
        <v>-1.2885941778826369</v>
      </c>
      <c r="W365" s="28">
        <v>-1.361882113349894</v>
      </c>
      <c r="X365" s="28">
        <v>-1.3922594753844217</v>
      </c>
      <c r="Y365" s="28">
        <v>-1.4212335054148892</v>
      </c>
      <c r="Z365" s="28">
        <v>-1.3809674048758722</v>
      </c>
      <c r="AA365" s="28">
        <v>-1.3000333369304073</v>
      </c>
      <c r="AB365" s="28">
        <v>0</v>
      </c>
    </row>
    <row r="366" spans="2:28">
      <c r="B366" s="49">
        <v>5.7200000000000001E-2</v>
      </c>
      <c r="C366" s="40">
        <v>-76.916520210000002</v>
      </c>
      <c r="D366" s="27">
        <v>-1.444853076</v>
      </c>
      <c r="E366" s="27">
        <v>-1.352687698</v>
      </c>
      <c r="F366" s="27">
        <v>-1.5778374340000001</v>
      </c>
      <c r="G366" s="27">
        <v>-1.4930284709999999</v>
      </c>
      <c r="H366" s="27">
        <v>-1.582258699</v>
      </c>
      <c r="I366" s="27">
        <v>-1.508893322</v>
      </c>
      <c r="J366" s="27">
        <v>-1.482446924</v>
      </c>
      <c r="K366" s="27">
        <v>-1.332096661</v>
      </c>
      <c r="L366" s="27"/>
      <c r="M366" s="42"/>
      <c r="R366" s="75">
        <v>5.7200000000000001E-2</v>
      </c>
      <c r="S366" s="74">
        <f t="shared" si="7"/>
        <v>-8.5837534740007687E-3</v>
      </c>
      <c r="T366" s="28">
        <v>-1.1174924019033881</v>
      </c>
      <c r="U366" s="28">
        <v>-1.20494733546188</v>
      </c>
      <c r="V366" s="28">
        <v>-1.2776377862459094</v>
      </c>
      <c r="W366" s="28">
        <v>-1.3509485644064236</v>
      </c>
      <c r="X366" s="28">
        <v>-1.381656375576074</v>
      </c>
      <c r="Y366" s="28">
        <v>-1.4118285306288558</v>
      </c>
      <c r="Z366" s="28">
        <v>-1.3735089923372219</v>
      </c>
      <c r="AA366" s="28">
        <v>-1.2950382831252989</v>
      </c>
      <c r="AB366" s="28">
        <v>0</v>
      </c>
    </row>
    <row r="367" spans="2:28">
      <c r="B367" s="49">
        <v>5.74E-2</v>
      </c>
      <c r="C367" s="40">
        <v>-89.495313420000002</v>
      </c>
      <c r="D367" s="27">
        <v>-1.4443703569999999</v>
      </c>
      <c r="E367" s="27">
        <v>-1.353798418</v>
      </c>
      <c r="F367" s="27">
        <v>-1.5774999999999999</v>
      </c>
      <c r="G367" s="27">
        <v>-1.4951936729999999</v>
      </c>
      <c r="H367" s="27">
        <v>-1.5773893379999999</v>
      </c>
      <c r="I367" s="27">
        <v>-1.5057486229999999</v>
      </c>
      <c r="J367" s="27">
        <v>-1.482732806</v>
      </c>
      <c r="K367" s="27">
        <v>-1.3304751029999999</v>
      </c>
      <c r="L367" s="27"/>
      <c r="M367" s="42"/>
      <c r="R367" s="75">
        <v>5.74E-2</v>
      </c>
      <c r="S367" s="74">
        <f t="shared" si="7"/>
        <v>-9.9875255065925012E-3</v>
      </c>
      <c r="T367" s="28">
        <v>-1.1061142294514881</v>
      </c>
      <c r="U367" s="28">
        <v>-1.1934156209327635</v>
      </c>
      <c r="V367" s="28">
        <v>-1.2659969379659077</v>
      </c>
      <c r="W367" s="28">
        <v>-1.3393845573440462</v>
      </c>
      <c r="X367" s="28">
        <v>-1.3704598011351721</v>
      </c>
      <c r="Y367" s="28">
        <v>-1.4018756949897582</v>
      </c>
      <c r="Z367" s="28">
        <v>-1.3655303377535011</v>
      </c>
      <c r="AA367" s="28">
        <v>-1.2895504646370268</v>
      </c>
      <c r="AB367" s="28">
        <v>0</v>
      </c>
    </row>
    <row r="368" spans="2:28">
      <c r="B368" s="49">
        <v>5.7599999999999998E-2</v>
      </c>
      <c r="C368" s="40">
        <v>-85.3</v>
      </c>
      <c r="D368" s="27">
        <v>-1.4437500000000001</v>
      </c>
      <c r="E368" s="27">
        <v>-1.3536999999999999</v>
      </c>
      <c r="F368" s="27">
        <v>-1.5772999999999999</v>
      </c>
      <c r="G368" s="27">
        <v>-1.4959</v>
      </c>
      <c r="H368" s="27">
        <v>-1.5724499999999999</v>
      </c>
      <c r="I368" s="27">
        <v>-1.5022500000000001</v>
      </c>
      <c r="J368" s="27">
        <v>-1.4823999999999999</v>
      </c>
      <c r="K368" s="27">
        <v>-1.3288500000000001</v>
      </c>
      <c r="L368" s="27"/>
      <c r="M368" s="42"/>
      <c r="R368" s="75">
        <v>5.7599999999999998E-2</v>
      </c>
      <c r="S368" s="74">
        <f t="shared" si="7"/>
        <v>-9.5193356295007244E-3</v>
      </c>
      <c r="T368" s="28">
        <v>-1.0943059440564049</v>
      </c>
      <c r="U368" s="28">
        <v>-1.1813812540268316</v>
      </c>
      <c r="V368" s="28">
        <v>-1.2538323682578811</v>
      </c>
      <c r="W368" s="28">
        <v>-1.3272761849876935</v>
      </c>
      <c r="X368" s="28">
        <v>-1.35871109623241</v>
      </c>
      <c r="Y368" s="28">
        <v>-1.3913800649991586</v>
      </c>
      <c r="Z368" s="28">
        <v>-1.3570354634599289</v>
      </c>
      <c r="AA368" s="28">
        <v>-1.2835756189214234</v>
      </c>
      <c r="AB368" s="28">
        <v>0</v>
      </c>
    </row>
    <row r="369" spans="2:28">
      <c r="B369" s="49">
        <v>5.7799999999999997E-2</v>
      </c>
      <c r="C369" s="40">
        <v>-97.5</v>
      </c>
      <c r="D369" s="27">
        <v>-1.443129643</v>
      </c>
      <c r="E369" s="27">
        <v>-1.3531984180000001</v>
      </c>
      <c r="F369" s="27">
        <v>-1.576226479</v>
      </c>
      <c r="G369" s="27">
        <v>-1.494657704</v>
      </c>
      <c r="H369" s="27">
        <v>-1.5683169889999999</v>
      </c>
      <c r="I369" s="27">
        <v>-1.4988185709999999</v>
      </c>
      <c r="J369" s="27">
        <v>-1.480185764</v>
      </c>
      <c r="K369" s="27">
        <v>-1.3274264790000001</v>
      </c>
      <c r="L369" s="27"/>
      <c r="M369" s="42"/>
      <c r="R369" s="75">
        <v>5.7799999999999997E-2</v>
      </c>
      <c r="S369" s="74">
        <f t="shared" si="7"/>
        <v>-1.0880834980965072E-2</v>
      </c>
      <c r="T369" s="28">
        <v>-1.0818830149236882</v>
      </c>
      <c r="U369" s="28">
        <v>-1.1687631248710215</v>
      </c>
      <c r="V369" s="28">
        <v>-1.2410990183227688</v>
      </c>
      <c r="W369" s="28">
        <v>-1.3146123280817295</v>
      </c>
      <c r="X369" s="28">
        <v>-1.3464170836137606</v>
      </c>
      <c r="Y369" s="28">
        <v>-1.3803576017188142</v>
      </c>
      <c r="Z369" s="28">
        <v>-1.3480348638286999</v>
      </c>
      <c r="AA369" s="28">
        <v>-1.2771196464940866</v>
      </c>
      <c r="AB369" s="28">
        <v>0</v>
      </c>
    </row>
    <row r="370" spans="2:28">
      <c r="B370" s="49">
        <v>5.8000000000000003E-2</v>
      </c>
      <c r="C370" s="40">
        <v>-97.5</v>
      </c>
      <c r="D370" s="27">
        <v>-1.441550264</v>
      </c>
      <c r="E370" s="27">
        <v>-1.3531</v>
      </c>
      <c r="F370" s="27">
        <v>-1.573944112</v>
      </c>
      <c r="G370" s="27">
        <v>-1.4913161690000001</v>
      </c>
      <c r="H370" s="27">
        <v>-1.5655284709999999</v>
      </c>
      <c r="I370" s="27">
        <v>-1.4958753950000001</v>
      </c>
      <c r="J370" s="27">
        <v>-1.475166432</v>
      </c>
      <c r="K370" s="27">
        <v>-1.3258189810000001</v>
      </c>
      <c r="L370" s="27"/>
      <c r="M370" s="42"/>
      <c r="R370" s="75">
        <v>5.8000000000000003E-2</v>
      </c>
      <c r="S370" s="74">
        <f t="shared" si="7"/>
        <v>-1.0880834980965072E-2</v>
      </c>
      <c r="T370" s="28">
        <v>-1.069118808186571</v>
      </c>
      <c r="U370" s="28">
        <v>-1.1557186231072549</v>
      </c>
      <c r="V370" s="28">
        <v>-1.2279062741532079</v>
      </c>
      <c r="W370" s="28">
        <v>-1.3014602835899562</v>
      </c>
      <c r="X370" s="28">
        <v>-1.3336177981234614</v>
      </c>
      <c r="Y370" s="28">
        <v>-1.36882320139987</v>
      </c>
      <c r="Z370" s="28">
        <v>-1.3385355480773027</v>
      </c>
      <c r="AA370" s="28">
        <v>-1.2701883103984111</v>
      </c>
      <c r="AB370" s="28">
        <v>0</v>
      </c>
    </row>
    <row r="371" spans="2:28">
      <c r="B371" s="49">
        <v>5.8200000000000002E-2</v>
      </c>
      <c r="C371" s="40">
        <v>-97.885940250000004</v>
      </c>
      <c r="D371" s="27">
        <v>-1.43936362</v>
      </c>
      <c r="E371" s="27">
        <v>-1.353401582</v>
      </c>
      <c r="F371" s="27">
        <v>-1.570436731</v>
      </c>
      <c r="G371" s="27">
        <v>-1.486520914</v>
      </c>
      <c r="H371" s="27">
        <v>-1.564087346</v>
      </c>
      <c r="I371" s="27">
        <v>-1.4927557119999999</v>
      </c>
      <c r="J371" s="27">
        <v>-1.468606678</v>
      </c>
      <c r="K371" s="27">
        <v>-1.324481019</v>
      </c>
      <c r="L371" s="27"/>
      <c r="M371" s="42"/>
      <c r="R371" s="75">
        <v>5.8200000000000002E-2</v>
      </c>
      <c r="S371" s="74">
        <f t="shared" si="7"/>
        <v>-1.0923905259660072E-2</v>
      </c>
      <c r="T371" s="28">
        <v>-1.0558668419822248</v>
      </c>
      <c r="U371" s="28">
        <v>-1.1421870826202247</v>
      </c>
      <c r="V371" s="28">
        <v>-1.214226303574953</v>
      </c>
      <c r="W371" s="28">
        <v>-1.2878186619451248</v>
      </c>
      <c r="X371" s="28">
        <v>-1.3203256643957055</v>
      </c>
      <c r="Y371" s="28">
        <v>-1.3567945302575546</v>
      </c>
      <c r="Z371" s="28">
        <v>-1.3285500522457387</v>
      </c>
      <c r="AA371" s="28">
        <v>-1.26278845096526</v>
      </c>
      <c r="AB371" s="28">
        <v>0</v>
      </c>
    </row>
    <row r="372" spans="2:28">
      <c r="B372" s="49">
        <v>5.8400000000000001E-2</v>
      </c>
      <c r="C372" s="40">
        <v>-121.9</v>
      </c>
      <c r="D372" s="27">
        <v>-1.4366313420000001</v>
      </c>
      <c r="E372" s="27">
        <v>-1.353350029</v>
      </c>
      <c r="F372" s="27">
        <v>-1.5655814290000001</v>
      </c>
      <c r="G372" s="27">
        <v>-1.4804564730000001</v>
      </c>
      <c r="H372" s="27">
        <v>-1.5631125370000001</v>
      </c>
      <c r="I372" s="27">
        <v>-1.489400117</v>
      </c>
      <c r="J372" s="27">
        <v>-1.461750205</v>
      </c>
      <c r="K372" s="27">
        <v>-1.3230375510000001</v>
      </c>
      <c r="L372" s="27"/>
      <c r="M372" s="42"/>
      <c r="R372" s="75">
        <v>5.8400000000000001E-2</v>
      </c>
      <c r="S372" s="74">
        <f t="shared" si="7"/>
        <v>-1.3603833683893769E-2</v>
      </c>
      <c r="T372" s="28">
        <v>-1.0421244385555051</v>
      </c>
      <c r="U372" s="28">
        <v>-1.1281677196074564</v>
      </c>
      <c r="V372" s="28">
        <v>-1.2000602087737877</v>
      </c>
      <c r="W372" s="28">
        <v>-1.2736922562828701</v>
      </c>
      <c r="X372" s="28">
        <v>-1.3065488472663591</v>
      </c>
      <c r="Y372" s="28">
        <v>-1.3442835698089604</v>
      </c>
      <c r="Z372" s="28">
        <v>-1.3180896496573711</v>
      </c>
      <c r="AA372" s="28">
        <v>-1.2549283670792843</v>
      </c>
      <c r="AB372" s="28">
        <v>0</v>
      </c>
    </row>
    <row r="373" spans="2:28">
      <c r="B373" s="49">
        <v>5.8599999999999999E-2</v>
      </c>
      <c r="C373" s="40">
        <v>-113.1325909</v>
      </c>
      <c r="D373" s="27">
        <v>-1.433557972</v>
      </c>
      <c r="E373" s="27">
        <v>-1.3520891559999999</v>
      </c>
      <c r="F373" s="27">
        <v>-1.5594800120000001</v>
      </c>
      <c r="G373" s="27">
        <v>-1.473236284</v>
      </c>
      <c r="H373" s="27">
        <v>-1.561617292</v>
      </c>
      <c r="I373" s="27">
        <v>-1.485614244</v>
      </c>
      <c r="J373" s="27">
        <v>-1.455511196</v>
      </c>
      <c r="K373" s="27">
        <v>-1.321325088</v>
      </c>
      <c r="L373" s="27"/>
      <c r="M373" s="42"/>
      <c r="R373" s="75">
        <v>5.8599999999999999E-2</v>
      </c>
      <c r="S373" s="74">
        <f t="shared" si="7"/>
        <v>-1.262540566719929E-2</v>
      </c>
      <c r="T373" s="28">
        <v>-1.0282836579313013</v>
      </c>
      <c r="U373" s="28">
        <v>-1.1138981092625346</v>
      </c>
      <c r="V373" s="28">
        <v>-1.185584541910742</v>
      </c>
      <c r="W373" s="28">
        <v>-1.2591919445330138</v>
      </c>
      <c r="X373" s="28">
        <v>-1.2923534581195173</v>
      </c>
      <c r="Y373" s="28">
        <v>-1.3313101300828623</v>
      </c>
      <c r="Z373" s="28">
        <v>-1.3071619259123197</v>
      </c>
      <c r="AA373" s="28">
        <v>-1.2466135656470914</v>
      </c>
      <c r="AB373" s="28">
        <v>0</v>
      </c>
    </row>
    <row r="374" spans="2:28">
      <c r="B374" s="49">
        <v>5.8799999999999998E-2</v>
      </c>
      <c r="C374" s="40">
        <v>-97.5</v>
      </c>
      <c r="D374" s="27">
        <v>-1.4299997069999999</v>
      </c>
      <c r="E374" s="27">
        <v>-1.3496185119999999</v>
      </c>
      <c r="F374" s="27">
        <v>-1.552352548</v>
      </c>
      <c r="G374" s="27">
        <v>-1.465693146</v>
      </c>
      <c r="H374" s="27">
        <v>-1.558274634</v>
      </c>
      <c r="I374" s="27">
        <v>-1.4815871700000001</v>
      </c>
      <c r="J374" s="27">
        <v>-1.4505871699999999</v>
      </c>
      <c r="K374" s="27">
        <v>-1.3193435849999999</v>
      </c>
      <c r="L374" s="27"/>
      <c r="M374" s="42"/>
      <c r="R374" s="75">
        <v>5.8799999999999998E-2</v>
      </c>
      <c r="S374" s="74">
        <f t="shared" si="7"/>
        <v>-1.0880834980965072E-2</v>
      </c>
      <c r="T374" s="28">
        <v>-1.0139078886885606</v>
      </c>
      <c r="U374" s="28">
        <v>-1.0991565585082674</v>
      </c>
      <c r="V374" s="28">
        <v>-1.1706565818793364</v>
      </c>
      <c r="W374" s="28">
        <v>-1.244254581580154</v>
      </c>
      <c r="X374" s="28">
        <v>-1.2777241628478997</v>
      </c>
      <c r="Y374" s="28">
        <v>-1.3178951196558946</v>
      </c>
      <c r="Z374" s="28">
        <v>-1.2957844244133703</v>
      </c>
      <c r="AA374" s="28">
        <v>-1.2378532087405416</v>
      </c>
      <c r="AB374" s="28">
        <v>0</v>
      </c>
    </row>
    <row r="375" spans="2:28">
      <c r="B375" s="49">
        <v>5.8999999999999997E-2</v>
      </c>
      <c r="C375" s="40">
        <v>-97.5</v>
      </c>
      <c r="D375" s="27">
        <v>-1.42561775</v>
      </c>
      <c r="E375" s="27">
        <v>-1.346361336</v>
      </c>
      <c r="F375" s="27">
        <v>-1.5452523730000001</v>
      </c>
      <c r="G375" s="27">
        <v>-1.4581008790000001</v>
      </c>
      <c r="H375" s="27">
        <v>-1.552111775</v>
      </c>
      <c r="I375" s="27">
        <v>-1.476736555</v>
      </c>
      <c r="J375" s="27">
        <v>-1.4466504389999999</v>
      </c>
      <c r="K375" s="27">
        <v>-1.3166722319999999</v>
      </c>
      <c r="L375" s="27"/>
      <c r="M375" s="42"/>
      <c r="R375" s="75">
        <v>5.8999999999999997E-2</v>
      </c>
      <c r="S375" s="74">
        <f t="shared" si="7"/>
        <v>-1.0880834980965072E-2</v>
      </c>
      <c r="T375" s="28">
        <v>-0.99881173644048449</v>
      </c>
      <c r="U375" s="28">
        <v>-1.0838136033397794</v>
      </c>
      <c r="V375" s="28">
        <v>-1.1551746370752201</v>
      </c>
      <c r="W375" s="28">
        <v>-1.2288133908981935</v>
      </c>
      <c r="X375" s="28">
        <v>-1.2626233240196558</v>
      </c>
      <c r="Y375" s="28">
        <v>-1.304038586638929</v>
      </c>
      <c r="Z375" s="28">
        <v>-1.2839703059833398</v>
      </c>
      <c r="AA375" s="28">
        <v>-1.2286595321634972</v>
      </c>
      <c r="AB375" s="28">
        <v>0</v>
      </c>
    </row>
    <row r="376" spans="2:28">
      <c r="B376" s="49">
        <v>5.9200000000000003E-2</v>
      </c>
      <c r="C376" s="40">
        <v>-76.146424379999999</v>
      </c>
      <c r="D376" s="27">
        <v>-1.419936753</v>
      </c>
      <c r="E376" s="27">
        <v>-1.3426995310000001</v>
      </c>
      <c r="F376" s="27">
        <v>-1.5385116649999999</v>
      </c>
      <c r="G376" s="27">
        <v>-1.4509491210000001</v>
      </c>
      <c r="H376" s="27">
        <v>-1.544173974</v>
      </c>
      <c r="I376" s="27">
        <v>-1.4707617230000001</v>
      </c>
      <c r="J376" s="27">
        <v>-1.44324959</v>
      </c>
      <c r="K376" s="27">
        <v>-1.312924502</v>
      </c>
      <c r="L376" s="27"/>
      <c r="M376" s="42"/>
      <c r="R376" s="75">
        <v>5.9200000000000003E-2</v>
      </c>
      <c r="S376" s="74">
        <f t="shared" si="7"/>
        <v>-8.4978120827622124E-3</v>
      </c>
      <c r="T376" s="28">
        <v>-0.98319660655966934</v>
      </c>
      <c r="U376" s="28">
        <v>-1.0679672863708574</v>
      </c>
      <c r="V376" s="28">
        <v>-1.1392002202934308</v>
      </c>
      <c r="W376" s="28">
        <v>-1.2128953358565002</v>
      </c>
      <c r="X376" s="28">
        <v>-1.2470595921102294</v>
      </c>
      <c r="Y376" s="28">
        <v>-1.2897403943673624</v>
      </c>
      <c r="Z376" s="28">
        <v>-1.2717253201179328</v>
      </c>
      <c r="AA376" s="28">
        <v>-1.2190416217589053</v>
      </c>
      <c r="AB376" s="28">
        <v>0</v>
      </c>
    </row>
    <row r="377" spans="2:28">
      <c r="B377" s="49">
        <v>5.9400000000000001E-2</v>
      </c>
      <c r="C377" s="40">
        <v>-98.643526649999998</v>
      </c>
      <c r="D377" s="27">
        <v>-1.4136328650000001</v>
      </c>
      <c r="E377" s="27">
        <v>-1.3385219100000001</v>
      </c>
      <c r="F377" s="27">
        <v>-1.5316047450000001</v>
      </c>
      <c r="G377" s="27">
        <v>-1.4435188050000001</v>
      </c>
      <c r="H377" s="27">
        <v>-1.5350438200000001</v>
      </c>
      <c r="I377" s="27">
        <v>-1.4642281779999999</v>
      </c>
      <c r="J377" s="27">
        <v>-1.4396891039999999</v>
      </c>
      <c r="K377" s="27">
        <v>-1.30872191</v>
      </c>
      <c r="L377" s="27"/>
      <c r="M377" s="42"/>
      <c r="R377" s="75">
        <v>5.9400000000000001E-2</v>
      </c>
      <c r="S377" s="74">
        <f t="shared" si="7"/>
        <v>-1.1008450619682876E-2</v>
      </c>
      <c r="T377" s="28">
        <v>-0.96675896217439516</v>
      </c>
      <c r="U377" s="28">
        <v>-1.0514426402256201</v>
      </c>
      <c r="V377" s="28">
        <v>-1.1226069293777305</v>
      </c>
      <c r="W377" s="28">
        <v>-1.1964281341545551</v>
      </c>
      <c r="X377" s="28">
        <v>-1.2309969418123767</v>
      </c>
      <c r="Y377" s="28">
        <v>-1.2750016693152078</v>
      </c>
      <c r="Z377" s="28">
        <v>-1.2590589899815952</v>
      </c>
      <c r="AA377" s="28">
        <v>-1.209009128277049</v>
      </c>
      <c r="AB377" s="28">
        <v>0</v>
      </c>
    </row>
    <row r="378" spans="2:28">
      <c r="B378" s="49">
        <v>5.96E-2</v>
      </c>
      <c r="C378" s="40">
        <v>-111.2303634</v>
      </c>
      <c r="D378" s="27">
        <v>-1.4068662949999999</v>
      </c>
      <c r="E378" s="27">
        <v>-1.334003576</v>
      </c>
      <c r="F378" s="27">
        <v>-1.5241569749999999</v>
      </c>
      <c r="G378" s="27">
        <v>-1.4365537509999999</v>
      </c>
      <c r="H378" s="27">
        <v>-1.5264662950000001</v>
      </c>
      <c r="I378" s="27">
        <v>-1.4573662949999999</v>
      </c>
      <c r="J378" s="27">
        <v>-1.4341100229999999</v>
      </c>
      <c r="K378" s="27">
        <v>-1.304378488</v>
      </c>
      <c r="L378" s="27"/>
      <c r="M378" s="42"/>
      <c r="R378" s="75">
        <v>5.96E-2</v>
      </c>
      <c r="S378" s="74">
        <f t="shared" si="7"/>
        <v>-1.2413120297724893E-2</v>
      </c>
      <c r="T378" s="28">
        <v>-0.95015602107758612</v>
      </c>
      <c r="U378" s="28">
        <v>-1.0346083956773897</v>
      </c>
      <c r="V378" s="28">
        <v>-1.1056545966242011</v>
      </c>
      <c r="W378" s="28">
        <v>-1.179557055411885</v>
      </c>
      <c r="X378" s="28">
        <v>-1.2145074115891459</v>
      </c>
      <c r="Y378" s="28">
        <v>-1.2598289346116502</v>
      </c>
      <c r="Z378" s="28">
        <v>-1.2459712694437903</v>
      </c>
      <c r="AA378" s="28">
        <v>-1.1985667984074253</v>
      </c>
      <c r="AB378" s="28">
        <v>0</v>
      </c>
    </row>
    <row r="379" spans="2:28">
      <c r="B379" s="49">
        <v>5.9799999999999999E-2</v>
      </c>
      <c r="C379" s="40">
        <v>-82.634153490000003</v>
      </c>
      <c r="D379" s="27">
        <v>-1.3995601639999999</v>
      </c>
      <c r="E379" s="27">
        <v>-1.32884628</v>
      </c>
      <c r="F379" s="27">
        <v>-1.5163038659999999</v>
      </c>
      <c r="G379" s="27">
        <v>-1.429755536</v>
      </c>
      <c r="H379" s="27">
        <v>-1.5197072060000001</v>
      </c>
      <c r="I379" s="27">
        <v>-1.4499038660000001</v>
      </c>
      <c r="J379" s="27">
        <v>-1.4266084939999999</v>
      </c>
      <c r="K379" s="27">
        <v>-1.3003933219999999</v>
      </c>
      <c r="L379" s="27"/>
      <c r="M379" s="42"/>
      <c r="R379" s="75">
        <v>5.9799999999999999E-2</v>
      </c>
      <c r="S379" s="74">
        <f t="shared" si="7"/>
        <v>-9.221831670937734E-3</v>
      </c>
      <c r="T379" s="28">
        <v>-0.93336106118734463</v>
      </c>
      <c r="U379" s="28">
        <v>-1.0175002682151546</v>
      </c>
      <c r="V379" s="28">
        <v>-1.0883966739330226</v>
      </c>
      <c r="W379" s="28">
        <v>-1.1623403415204794</v>
      </c>
      <c r="X379" s="28">
        <v>-1.1976428136631079</v>
      </c>
      <c r="Y379" s="28">
        <v>-1.2442499906881146</v>
      </c>
      <c r="Z379" s="28">
        <v>-1.2324726648457507</v>
      </c>
      <c r="AA379" s="28">
        <v>-1.1877186235269002</v>
      </c>
      <c r="AB379" s="28">
        <v>0</v>
      </c>
    </row>
    <row r="380" spans="2:28">
      <c r="K380" s="1"/>
    </row>
    <row r="381" spans="2:28">
      <c r="K381" s="1"/>
    </row>
    <row r="382" spans="2:28">
      <c r="K382" s="1"/>
    </row>
    <row r="383" spans="2:28">
      <c r="K383" s="1"/>
    </row>
    <row r="384" spans="2:28">
      <c r="K384" s="1"/>
    </row>
    <row r="385" spans="11:11">
      <c r="K385" s="1"/>
    </row>
    <row r="386" spans="11:11">
      <c r="K386" s="1"/>
    </row>
    <row r="387" spans="11:11">
      <c r="K387" s="1"/>
    </row>
    <row r="388" spans="11:11">
      <c r="K388" s="1"/>
    </row>
    <row r="389" spans="11:11">
      <c r="K389" s="1"/>
    </row>
    <row r="390" spans="11:11">
      <c r="K390" s="1"/>
    </row>
    <row r="391" spans="11:11">
      <c r="K391" s="1"/>
    </row>
  </sheetData>
  <mergeCells count="27">
    <mergeCell ref="B42:O42"/>
    <mergeCell ref="C55:E55"/>
    <mergeCell ref="F2:O5"/>
    <mergeCell ref="B43:O43"/>
    <mergeCell ref="C53:E53"/>
    <mergeCell ref="C54:E54"/>
    <mergeCell ref="C11:D11"/>
    <mergeCell ref="C12:D12"/>
    <mergeCell ref="C13:D13"/>
    <mergeCell ref="C14:D14"/>
    <mergeCell ref="C15:D15"/>
    <mergeCell ref="C16:D16"/>
    <mergeCell ref="C17:D17"/>
    <mergeCell ref="C56:E56"/>
    <mergeCell ref="C57:E57"/>
    <mergeCell ref="B62:O62"/>
    <mergeCell ref="B63:O63"/>
    <mergeCell ref="B65:O65"/>
    <mergeCell ref="B64:O64"/>
    <mergeCell ref="V2:AE5"/>
    <mergeCell ref="C24:D24"/>
    <mergeCell ref="C25:D25"/>
    <mergeCell ref="C26:D26"/>
    <mergeCell ref="C27:D27"/>
    <mergeCell ref="B20:O20"/>
    <mergeCell ref="B19:O19"/>
    <mergeCell ref="B21:O21"/>
  </mergeCells>
  <phoneticPr fontId="1" type="noConversion"/>
  <pageMargins left="0.7" right="0.7" top="0.75" bottom="0.75" header="0.3" footer="0.3"/>
  <pageSetup scale="58" orientation="portrait" r:id="rId1"/>
  <rowBreaks count="1" manualBreakCount="1">
    <brk id="58" max="16383" man="1"/>
  </rowBreaks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Default">
                <anchor moveWithCells="1" sizeWithCells="1">
                  <from>
                    <xdr:col>10</xdr:col>
                    <xdr:colOff>38100</xdr:colOff>
                    <xdr:row>14</xdr:row>
                    <xdr:rowOff>66675</xdr:rowOff>
                  </from>
                  <to>
                    <xdr:col>12</xdr:col>
                    <xdr:colOff>190500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_to_Default">
                <anchor moveWithCells="1" sizeWithCells="1">
                  <from>
                    <xdr:col>12</xdr:col>
                    <xdr:colOff>485775</xdr:colOff>
                    <xdr:row>14</xdr:row>
                    <xdr:rowOff>57150</xdr:rowOff>
                  </from>
                  <to>
                    <xdr:col>15</xdr:col>
                    <xdr:colOff>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alfSine_Load">
                <anchor moveWithCells="1" sizeWithCells="1">
                  <from>
                    <xdr:col>1</xdr:col>
                    <xdr:colOff>600075</xdr:colOff>
                    <xdr:row>72</xdr:row>
                    <xdr:rowOff>161925</xdr:rowOff>
                  </from>
                  <to>
                    <xdr:col>4</xdr:col>
                    <xdr:colOff>104775</xdr:colOff>
                    <xdr:row>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averSine_Load">
                <anchor moveWithCells="1" sizeWithCells="1">
                  <from>
                    <xdr:col>6</xdr:col>
                    <xdr:colOff>542925</xdr:colOff>
                    <xdr:row>72</xdr:row>
                    <xdr:rowOff>152400</xdr:rowOff>
                  </from>
                  <to>
                    <xdr:col>9</xdr:col>
                    <xdr:colOff>47625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Normal_Load">
                <anchor moveWithCells="1" sizeWithCells="1">
                  <from>
                    <xdr:col>11</xdr:col>
                    <xdr:colOff>628650</xdr:colOff>
                    <xdr:row>72</xdr:row>
                    <xdr:rowOff>152400</xdr:rowOff>
                  </from>
                  <to>
                    <xdr:col>14</xdr:col>
                    <xdr:colOff>133350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_Time_History">
                <anchor moveWithCells="1" sizeWithCells="1">
                  <from>
                    <xdr:col>12</xdr:col>
                    <xdr:colOff>323850</xdr:colOff>
                    <xdr:row>78</xdr:row>
                    <xdr:rowOff>552450</xdr:rowOff>
                  </from>
                  <to>
                    <xdr:col>16</xdr:col>
                    <xdr:colOff>257175</xdr:colOff>
                    <xdr:row>82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Import_CSV">
                <anchor moveWithCells="1" sizeWithCells="1">
                  <from>
                    <xdr:col>12</xdr:col>
                    <xdr:colOff>323850</xdr:colOff>
                    <xdr:row>83</xdr:row>
                    <xdr:rowOff>0</xdr:rowOff>
                  </from>
                  <to>
                    <xdr:col>16</xdr:col>
                    <xdr:colOff>257175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VW_Backcal">
                <anchor moveWithCells="1" sizeWithCells="1">
                  <from>
                    <xdr:col>16</xdr:col>
                    <xdr:colOff>419100</xdr:colOff>
                    <xdr:row>13</xdr:row>
                    <xdr:rowOff>161925</xdr:rowOff>
                  </from>
                  <to>
                    <xdr:col>19</xdr:col>
                    <xdr:colOff>504825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FFFF00"/>
  </sheetPr>
  <dimension ref="A1:N14"/>
  <sheetViews>
    <sheetView showGridLines="0" workbookViewId="0">
      <selection activeCell="D5" sqref="D5"/>
    </sheetView>
  </sheetViews>
  <sheetFormatPr defaultRowHeight="15"/>
  <sheetData>
    <row r="1" spans="1:14">
      <c r="A1" s="1"/>
      <c r="B1" s="141" t="s">
        <v>22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"/>
    </row>
    <row r="2" spans="1:14">
      <c r="A2" s="1"/>
      <c r="B2" s="139" t="s">
        <v>1</v>
      </c>
      <c r="C2" s="139"/>
      <c r="D2" s="69" t="s">
        <v>52</v>
      </c>
      <c r="E2" s="70" t="s">
        <v>53</v>
      </c>
      <c r="F2" s="71" t="s">
        <v>56</v>
      </c>
      <c r="G2" s="69" t="s">
        <v>54</v>
      </c>
      <c r="H2" s="69" t="s">
        <v>55</v>
      </c>
      <c r="I2" s="58"/>
      <c r="J2" s="13"/>
      <c r="K2" s="12" t="s">
        <v>57</v>
      </c>
      <c r="L2" s="1"/>
      <c r="M2" s="1"/>
      <c r="N2" s="1"/>
    </row>
    <row r="3" spans="1:14">
      <c r="A3" s="1"/>
      <c r="B3" s="140">
        <v>1</v>
      </c>
      <c r="C3" s="140"/>
      <c r="D3" s="51">
        <v>0</v>
      </c>
      <c r="E3" s="50">
        <v>0.35</v>
      </c>
      <c r="F3" s="51">
        <v>140</v>
      </c>
      <c r="G3" s="48">
        <v>12</v>
      </c>
      <c r="H3" s="49">
        <v>0.1</v>
      </c>
      <c r="I3" s="59"/>
      <c r="J3" s="13"/>
      <c r="K3" s="61" t="s">
        <v>58</v>
      </c>
      <c r="L3" s="62"/>
      <c r="M3" s="63"/>
      <c r="N3" s="7"/>
    </row>
    <row r="4" spans="1:14">
      <c r="A4" s="1"/>
      <c r="B4" s="140">
        <v>2</v>
      </c>
      <c r="C4" s="140"/>
      <c r="D4" s="51">
        <v>15000</v>
      </c>
      <c r="E4" s="50">
        <v>0.4</v>
      </c>
      <c r="F4" s="51">
        <v>120</v>
      </c>
      <c r="G4" s="48">
        <v>12</v>
      </c>
      <c r="H4" s="49">
        <v>0.1</v>
      </c>
      <c r="I4" s="59"/>
      <c r="J4" s="13"/>
      <c r="K4" s="64" t="s">
        <v>61</v>
      </c>
      <c r="L4" s="14"/>
      <c r="M4" s="65"/>
      <c r="N4" s="7"/>
    </row>
    <row r="5" spans="1:14">
      <c r="A5" s="1"/>
      <c r="B5" s="140">
        <v>3</v>
      </c>
      <c r="C5" s="140"/>
      <c r="D5" s="51">
        <v>10000</v>
      </c>
      <c r="E5" s="50">
        <v>0.45</v>
      </c>
      <c r="F5" s="51">
        <v>100</v>
      </c>
      <c r="G5" s="48">
        <v>122.2291330055794</v>
      </c>
      <c r="H5" s="49">
        <v>0.1</v>
      </c>
      <c r="I5" s="59"/>
      <c r="J5" s="13"/>
      <c r="K5" s="64" t="s">
        <v>62</v>
      </c>
      <c r="L5" s="14"/>
      <c r="M5" s="65"/>
      <c r="N5" s="7"/>
    </row>
    <row r="6" spans="1:14">
      <c r="A6" s="1"/>
      <c r="B6" s="140">
        <v>4</v>
      </c>
      <c r="C6" s="140"/>
      <c r="D6" s="51"/>
      <c r="E6" s="50"/>
      <c r="F6" s="51"/>
      <c r="G6" s="48"/>
      <c r="H6" s="49"/>
      <c r="I6" s="59"/>
      <c r="J6" s="13"/>
      <c r="K6" s="64" t="s">
        <v>59</v>
      </c>
      <c r="L6" s="14"/>
      <c r="M6" s="65"/>
      <c r="N6" s="7"/>
    </row>
    <row r="7" spans="1:14">
      <c r="A7" s="1"/>
      <c r="B7" s="140">
        <v>5</v>
      </c>
      <c r="C7" s="140"/>
      <c r="D7" s="56"/>
      <c r="E7" s="57"/>
      <c r="F7" s="55"/>
      <c r="G7" s="56"/>
      <c r="H7" s="54"/>
      <c r="I7" s="59"/>
      <c r="J7" s="13"/>
      <c r="K7" s="66" t="s">
        <v>60</v>
      </c>
      <c r="L7" s="67"/>
      <c r="M7" s="68"/>
      <c r="N7" s="7"/>
    </row>
    <row r="8" spans="1:14">
      <c r="A8" s="1"/>
      <c r="B8" s="140">
        <v>6</v>
      </c>
      <c r="C8" s="140"/>
      <c r="D8" s="54"/>
      <c r="E8" s="54"/>
      <c r="F8" s="54"/>
      <c r="G8" s="54"/>
      <c r="H8" s="54"/>
      <c r="I8" s="59"/>
      <c r="J8" s="13"/>
      <c r="K8" s="1"/>
      <c r="L8" s="1"/>
      <c r="M8" s="1"/>
      <c r="N8" s="1"/>
    </row>
    <row r="9" spans="1:14">
      <c r="A9" s="1"/>
      <c r="B9" s="1"/>
      <c r="C9" s="1"/>
      <c r="D9" s="1"/>
      <c r="E9" s="1"/>
      <c r="F9" s="1"/>
      <c r="G9" s="1"/>
      <c r="H9" s="1"/>
      <c r="I9" s="9"/>
      <c r="J9" s="10"/>
      <c r="K9" s="11"/>
      <c r="L9" s="11"/>
      <c r="M9" s="1"/>
      <c r="N9" s="1"/>
    </row>
    <row r="10" spans="1:14">
      <c r="A10" s="1"/>
      <c r="B10" s="29" t="s">
        <v>9</v>
      </c>
      <c r="C10" s="7"/>
      <c r="D10" s="29"/>
      <c r="E10" s="7"/>
      <c r="F10" s="29"/>
      <c r="G10" s="7"/>
      <c r="H10" s="29"/>
      <c r="I10" s="29"/>
      <c r="J10" s="14"/>
      <c r="K10" s="14"/>
      <c r="L10" s="1"/>
      <c r="M10" s="1"/>
      <c r="N10" s="1"/>
    </row>
    <row r="11" spans="1:14">
      <c r="A11" s="1"/>
      <c r="B11" s="135" t="s">
        <v>1</v>
      </c>
      <c r="C11" s="135"/>
      <c r="D11" s="46" t="s">
        <v>5</v>
      </c>
      <c r="E11" s="46" t="s">
        <v>6</v>
      </c>
      <c r="F11" s="46" t="s">
        <v>7</v>
      </c>
      <c r="G11" s="46" t="s">
        <v>8</v>
      </c>
      <c r="H11" s="1"/>
      <c r="I11" s="1"/>
      <c r="J11" s="60"/>
      <c r="K11" s="1"/>
      <c r="L11" s="1"/>
      <c r="M11" s="1"/>
      <c r="N11" s="15"/>
    </row>
    <row r="12" spans="1:14">
      <c r="A12" s="1"/>
      <c r="B12" s="136">
        <v>1</v>
      </c>
      <c r="C12" s="136"/>
      <c r="D12" s="47">
        <v>3.12347238317136</v>
      </c>
      <c r="E12" s="47">
        <v>3.4462525832021487</v>
      </c>
      <c r="F12" s="47">
        <v>-0.12802910225571282</v>
      </c>
      <c r="G12" s="47">
        <v>0.55434894372644949</v>
      </c>
      <c r="H12" s="1"/>
      <c r="I12" s="1"/>
      <c r="J12" s="33"/>
      <c r="K12" s="1"/>
      <c r="L12" s="1"/>
      <c r="M12" s="1"/>
      <c r="N12" s="15"/>
    </row>
    <row r="13" spans="1:14">
      <c r="A13" s="1"/>
      <c r="B13" s="136">
        <v>2</v>
      </c>
      <c r="C13" s="136"/>
      <c r="D13" s="45"/>
      <c r="E13" s="45"/>
      <c r="F13" s="45"/>
      <c r="G13" s="45"/>
      <c r="H13" s="1"/>
      <c r="I13" s="1"/>
      <c r="J13" s="32"/>
      <c r="K13" s="1"/>
      <c r="L13" s="1"/>
      <c r="M13" s="1"/>
      <c r="N13" s="15"/>
    </row>
    <row r="14" spans="1:14">
      <c r="A14" s="1"/>
      <c r="B14" s="136">
        <v>3</v>
      </c>
      <c r="C14" s="136"/>
      <c r="D14" s="45"/>
      <c r="E14" s="47"/>
      <c r="F14" s="47"/>
      <c r="G14" s="45"/>
      <c r="H14" s="1"/>
      <c r="I14" s="1"/>
      <c r="J14" s="32"/>
      <c r="K14" s="1"/>
      <c r="L14" s="1"/>
      <c r="M14" s="1"/>
      <c r="N14" s="15"/>
    </row>
  </sheetData>
  <mergeCells count="12">
    <mergeCell ref="B1:M1"/>
    <mergeCell ref="B2:C2"/>
    <mergeCell ref="B7:C7"/>
    <mergeCell ref="B6:C6"/>
    <mergeCell ref="B5:C5"/>
    <mergeCell ref="B4:C4"/>
    <mergeCell ref="B3:C3"/>
    <mergeCell ref="B12:C12"/>
    <mergeCell ref="B13:C13"/>
    <mergeCell ref="B14:C14"/>
    <mergeCell ref="B11:C11"/>
    <mergeCell ref="B8:C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C7FA1-4DC2-4C58-9838-C30A0F3B7128}">
  <sheetPr codeName="Sheet3">
    <tabColor rgb="FFFF0000"/>
  </sheetPr>
  <dimension ref="A1:AU765"/>
  <sheetViews>
    <sheetView showGridLines="0" zoomScale="85" zoomScaleNormal="85" workbookViewId="0">
      <selection activeCell="D12" sqref="D12"/>
    </sheetView>
  </sheetViews>
  <sheetFormatPr defaultRowHeight="15"/>
  <cols>
    <col min="1" max="33" width="9.5703125" customWidth="1"/>
  </cols>
  <sheetData>
    <row r="1" spans="1:47" ht="1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1"/>
      <c r="S1" s="1"/>
      <c r="T1" s="32"/>
      <c r="U1" s="1"/>
      <c r="V1" s="1"/>
      <c r="W1" s="1"/>
      <c r="X1" s="15"/>
      <c r="Y1" s="1"/>
      <c r="Z1" s="1"/>
      <c r="AA1" s="1"/>
      <c r="AB1" s="32"/>
      <c r="AC1" s="1"/>
      <c r="AD1" s="1"/>
      <c r="AE1" s="1"/>
      <c r="AF1" s="15"/>
      <c r="AG1" s="1"/>
    </row>
    <row r="2" spans="1:47" ht="15" customHeight="1" thickBot="1">
      <c r="A2" s="1"/>
      <c r="B2" s="2"/>
      <c r="C2" s="2"/>
      <c r="D2" s="2"/>
      <c r="E2" s="2"/>
      <c r="F2" s="134" t="s">
        <v>19</v>
      </c>
      <c r="G2" s="134"/>
      <c r="H2" s="134"/>
      <c r="I2" s="134"/>
      <c r="J2" s="134"/>
      <c r="K2" s="134"/>
      <c r="L2" s="134"/>
      <c r="M2" s="134"/>
      <c r="N2" s="134"/>
      <c r="O2" s="134"/>
      <c r="P2" s="1"/>
      <c r="R2" s="5"/>
      <c r="S2" s="4" t="s">
        <v>119</v>
      </c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</row>
    <row r="3" spans="1:47" ht="15" customHeight="1" thickTop="1">
      <c r="A3" s="1"/>
      <c r="B3" s="2"/>
      <c r="C3" s="2"/>
      <c r="D3" s="2"/>
      <c r="E3" s="2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47" ht="15" customHeight="1">
      <c r="A4" s="1"/>
      <c r="B4" s="2"/>
      <c r="C4" s="2"/>
      <c r="D4" s="2"/>
      <c r="E4" s="2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"/>
      <c r="S4" s="29" t="s">
        <v>120</v>
      </c>
      <c r="AB4" s="29" t="s">
        <v>121</v>
      </c>
      <c r="AL4" s="29" t="s">
        <v>121</v>
      </c>
    </row>
    <row r="5" spans="1:47" ht="15" customHeight="1">
      <c r="A5" s="1"/>
      <c r="B5" s="1"/>
      <c r="C5" s="1"/>
      <c r="D5" s="1"/>
      <c r="E5" s="1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"/>
    </row>
    <row r="6" spans="1:47" ht="1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47" ht="1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3" t="s">
        <v>21</v>
      </c>
      <c r="P7" s="1"/>
    </row>
    <row r="8" spans="1:47" ht="15" customHeight="1" thickBot="1">
      <c r="A8" s="1"/>
      <c r="B8" s="4" t="s">
        <v>89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"/>
    </row>
    <row r="9" spans="1:47" ht="15" customHeight="1" thickTop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47" ht="15" customHeight="1">
      <c r="A10" s="1"/>
      <c r="B10" s="29" t="s">
        <v>113</v>
      </c>
      <c r="C10" s="7"/>
      <c r="D10" s="29"/>
      <c r="E10" s="7"/>
      <c r="F10" s="29"/>
      <c r="G10" s="7"/>
      <c r="I10" s="1"/>
      <c r="J10" s="29" t="s">
        <v>114</v>
      </c>
      <c r="K10" s="7"/>
      <c r="L10" s="29"/>
      <c r="M10" s="7"/>
      <c r="N10" s="29"/>
      <c r="O10" s="7"/>
      <c r="P10" s="1"/>
    </row>
    <row r="11" spans="1:47" ht="15" customHeight="1">
      <c r="A11" s="1"/>
      <c r="B11" s="135" t="s">
        <v>1</v>
      </c>
      <c r="C11" s="135"/>
      <c r="D11" s="113" t="s">
        <v>5</v>
      </c>
      <c r="E11" s="113" t="s">
        <v>6</v>
      </c>
      <c r="F11" s="113" t="s">
        <v>7</v>
      </c>
      <c r="G11" s="113" t="s">
        <v>8</v>
      </c>
      <c r="I11" s="1"/>
      <c r="J11" s="135" t="s">
        <v>1</v>
      </c>
      <c r="K11" s="135"/>
      <c r="L11" s="113" t="s">
        <v>109</v>
      </c>
      <c r="M11" s="113" t="s">
        <v>110</v>
      </c>
      <c r="N11" s="113" t="s">
        <v>111</v>
      </c>
      <c r="O11" s="113" t="s">
        <v>112</v>
      </c>
      <c r="P11" s="1"/>
    </row>
    <row r="12" spans="1:47" ht="15" customHeight="1">
      <c r="A12" s="1"/>
      <c r="B12" s="136">
        <v>1</v>
      </c>
      <c r="C12" s="136"/>
      <c r="D12" s="80">
        <v>3.12347238317136</v>
      </c>
      <c r="E12" s="80">
        <v>3.4462525832021487</v>
      </c>
      <c r="F12" s="80">
        <v>-0.12601686935387499</v>
      </c>
      <c r="G12" s="80">
        <v>0.55434894372644949</v>
      </c>
      <c r="I12" s="1"/>
      <c r="J12" s="136">
        <v>1</v>
      </c>
      <c r="K12" s="136"/>
      <c r="L12" s="80">
        <v>3.12347238317136</v>
      </c>
      <c r="M12" s="80">
        <v>3.4462525832021487</v>
      </c>
      <c r="N12" s="80">
        <v>-0.80069264793809392</v>
      </c>
      <c r="O12" s="80">
        <v>-0.55434894372644949</v>
      </c>
      <c r="P12" s="1"/>
    </row>
    <row r="13" spans="1:47" ht="15" customHeight="1">
      <c r="A13" s="1"/>
      <c r="B13" s="136">
        <v>2</v>
      </c>
      <c r="C13" s="136"/>
      <c r="D13" s="80"/>
      <c r="E13" s="80"/>
      <c r="F13" s="80"/>
      <c r="G13" s="80"/>
      <c r="I13" s="1"/>
      <c r="J13" s="136">
        <v>2</v>
      </c>
      <c r="K13" s="136"/>
      <c r="L13" s="80"/>
      <c r="M13" s="80"/>
      <c r="N13" s="80"/>
      <c r="O13" s="80"/>
      <c r="P13" s="1"/>
    </row>
    <row r="14" spans="1:47" ht="15" customHeight="1">
      <c r="A14" s="1"/>
      <c r="B14" s="136">
        <v>3</v>
      </c>
      <c r="C14" s="136"/>
      <c r="D14" s="80"/>
      <c r="E14" s="80"/>
      <c r="F14" s="80"/>
      <c r="G14" s="80"/>
      <c r="I14" s="1"/>
      <c r="J14" s="136">
        <v>3</v>
      </c>
      <c r="K14" s="136"/>
      <c r="L14" s="80"/>
      <c r="M14" s="80"/>
      <c r="N14" s="80"/>
      <c r="O14" s="80"/>
      <c r="P14" s="1"/>
    </row>
    <row r="15" spans="1:47" ht="15" customHeight="1">
      <c r="A15" s="1"/>
      <c r="B15" s="130"/>
      <c r="C15" s="130"/>
      <c r="D15" s="131"/>
      <c r="E15" s="131"/>
      <c r="F15" s="131"/>
      <c r="G15" s="131"/>
      <c r="I15" s="1"/>
      <c r="J15" s="130"/>
      <c r="K15" s="130"/>
      <c r="L15" s="131"/>
      <c r="M15" s="131"/>
      <c r="N15" s="131"/>
      <c r="O15" s="131"/>
      <c r="P15" s="1"/>
    </row>
    <row r="16" spans="1:47" ht="15" customHeight="1">
      <c r="A16" s="1"/>
      <c r="B16" s="29" t="s">
        <v>115</v>
      </c>
      <c r="C16" s="14"/>
      <c r="D16" s="14"/>
      <c r="E16" s="1"/>
      <c r="F16" s="1"/>
      <c r="G16" s="1"/>
      <c r="I16" s="1"/>
      <c r="K16" s="29" t="s">
        <v>116</v>
      </c>
      <c r="L16" s="14"/>
      <c r="M16" s="1"/>
      <c r="N16" s="1"/>
      <c r="O16" s="1"/>
      <c r="P16" s="1"/>
    </row>
    <row r="17" spans="1:16" ht="15" customHeight="1">
      <c r="A17" s="1"/>
      <c r="B17" s="1"/>
      <c r="C17" s="60"/>
      <c r="D17" s="1"/>
      <c r="E17" s="1"/>
      <c r="F17" s="1"/>
      <c r="G17" s="1"/>
      <c r="I17" s="1"/>
      <c r="J17" s="1"/>
      <c r="K17" s="60"/>
      <c r="L17" s="1"/>
      <c r="M17" s="1"/>
      <c r="N17" s="1"/>
      <c r="O17" s="15"/>
      <c r="P17" s="1"/>
    </row>
    <row r="18" spans="1:16" ht="15" customHeight="1">
      <c r="A18" s="1"/>
      <c r="B18" s="1"/>
      <c r="C18" s="33"/>
      <c r="D18" s="1"/>
      <c r="E18" s="1"/>
      <c r="F18" s="1"/>
      <c r="G18" s="1"/>
      <c r="I18" s="1"/>
      <c r="J18" s="1"/>
      <c r="K18" s="33"/>
      <c r="L18" s="1"/>
      <c r="M18" s="1"/>
      <c r="N18" s="1"/>
      <c r="O18" s="15"/>
      <c r="P18" s="1"/>
    </row>
    <row r="19" spans="1:16" s="114" customFormat="1" ht="15" customHeight="1">
      <c r="A19" s="1"/>
      <c r="B19" s="1"/>
      <c r="C19" s="32"/>
      <c r="D19" s="1"/>
      <c r="E19" s="1"/>
      <c r="F19" s="1"/>
      <c r="G19" s="1"/>
      <c r="H19" s="1"/>
      <c r="I19" s="1"/>
      <c r="J19"/>
      <c r="K19" s="32"/>
      <c r="L19" s="1"/>
      <c r="M19" s="1"/>
      <c r="N19" s="1"/>
      <c r="O19" s="15"/>
      <c r="P19" s="1"/>
    </row>
    <row r="20" spans="1:16" s="114" customFormat="1" ht="15" customHeight="1">
      <c r="A20" s="1"/>
      <c r="B20" s="1"/>
      <c r="C20" s="32"/>
      <c r="D20" s="1"/>
      <c r="E20" s="1"/>
      <c r="F20" s="1"/>
      <c r="G20" s="15"/>
      <c r="H20" s="1"/>
      <c r="I20" s="1"/>
      <c r="J20" s="1"/>
      <c r="K20" s="32"/>
      <c r="L20" s="1"/>
      <c r="M20" s="1"/>
      <c r="N20" s="1"/>
      <c r="O20" s="15"/>
      <c r="P20" s="1"/>
    </row>
    <row r="21" spans="1:16" s="114" customFormat="1" ht="15" customHeight="1">
      <c r="A21" s="1"/>
      <c r="B21" s="1"/>
      <c r="C21" s="32"/>
      <c r="D21" s="1"/>
      <c r="E21" s="1"/>
      <c r="F21" s="1"/>
      <c r="G21" s="15"/>
      <c r="H21" s="1"/>
      <c r="I21" s="1"/>
      <c r="J21" s="1"/>
      <c r="K21" s="32"/>
      <c r="L21" s="1"/>
      <c r="M21" s="1"/>
      <c r="N21" s="1"/>
      <c r="O21" s="15"/>
      <c r="P21" s="1"/>
    </row>
    <row r="22" spans="1:16" s="114" customFormat="1" ht="15" customHeight="1" thickBot="1">
      <c r="A22" s="1"/>
      <c r="B22" s="4" t="s">
        <v>90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"/>
    </row>
    <row r="23" spans="1:16" s="114" customFormat="1" ht="15" customHeight="1" thickTop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s="114" customFormat="1" ht="15" customHeight="1">
      <c r="I24" s="29" t="s">
        <v>108</v>
      </c>
    </row>
    <row r="25" spans="1:16" s="114" customFormat="1" ht="15" customHeight="1">
      <c r="B25" s="29" t="s">
        <v>91</v>
      </c>
      <c r="C25" s="122"/>
      <c r="D25" s="121"/>
      <c r="I25" s="118"/>
      <c r="J25" s="129"/>
      <c r="K25" s="128" t="s">
        <v>92</v>
      </c>
      <c r="L25" s="128" t="s">
        <v>93</v>
      </c>
      <c r="M25" s="128" t="s">
        <v>94</v>
      </c>
    </row>
    <row r="26" spans="1:16" s="114" customFormat="1" ht="15" customHeight="1">
      <c r="B26" s="147" t="s">
        <v>88</v>
      </c>
      <c r="C26" s="148" t="s">
        <v>82</v>
      </c>
      <c r="D26" s="149"/>
      <c r="E26" s="150"/>
      <c r="F26" s="142" t="s">
        <v>83</v>
      </c>
      <c r="I26" s="144" t="s">
        <v>96</v>
      </c>
      <c r="J26" s="145"/>
      <c r="K26" s="125">
        <f>SUM(J52:J752)</f>
        <v>2.8090136216499646E-2</v>
      </c>
      <c r="L26" s="125">
        <f t="shared" ref="L26:M26" si="0">SUM(K52:K752)</f>
        <v>0</v>
      </c>
      <c r="M26" s="125">
        <f t="shared" si="0"/>
        <v>0</v>
      </c>
    </row>
    <row r="27" spans="1:16" s="114" customFormat="1" ht="15" customHeight="1">
      <c r="B27" s="147"/>
      <c r="C27" s="126" t="s">
        <v>92</v>
      </c>
      <c r="D27" s="126" t="s">
        <v>93</v>
      </c>
      <c r="E27" s="126" t="s">
        <v>94</v>
      </c>
      <c r="F27" s="142"/>
      <c r="I27" s="143" t="s">
        <v>97</v>
      </c>
      <c r="J27" s="143"/>
      <c r="K27" s="125">
        <f>SUM(AA52:AA752)</f>
        <v>0.15926788419032076</v>
      </c>
      <c r="L27" s="125">
        <f t="shared" ref="L27:M27" si="1">SUM(AB52:AB752)</f>
        <v>0</v>
      </c>
      <c r="M27" s="125">
        <f t="shared" si="1"/>
        <v>0</v>
      </c>
    </row>
    <row r="28" spans="1:16" s="114" customFormat="1" ht="15" customHeight="1">
      <c r="B28" s="126">
        <v>0</v>
      </c>
      <c r="C28" s="127">
        <f t="array" ref="C28:F42">Sig2Prony_T(D12:G14)</f>
        <v>1557.3752252714653</v>
      </c>
      <c r="D28" s="127">
        <v>0</v>
      </c>
      <c r="E28" s="127">
        <v>0</v>
      </c>
      <c r="F28" s="127">
        <v>0</v>
      </c>
    </row>
    <row r="29" spans="1:16" s="114" customFormat="1" ht="15" customHeight="1">
      <c r="B29" s="126">
        <v>1</v>
      </c>
      <c r="C29" s="127">
        <v>151.48156697641971</v>
      </c>
      <c r="D29" s="127">
        <v>0</v>
      </c>
      <c r="E29" s="127">
        <v>0</v>
      </c>
      <c r="F29" s="127">
        <v>10000000</v>
      </c>
      <c r="I29" s="29" t="s">
        <v>117</v>
      </c>
    </row>
    <row r="30" spans="1:16" s="114" customFormat="1">
      <c r="B30" s="126">
        <v>2</v>
      </c>
      <c r="C30" s="127">
        <v>340.93673006798087</v>
      </c>
      <c r="D30" s="127">
        <v>0</v>
      </c>
      <c r="E30" s="127">
        <v>0</v>
      </c>
      <c r="F30" s="127">
        <v>1000000</v>
      </c>
      <c r="I30"/>
    </row>
    <row r="31" spans="1:16" s="114" customFormat="1">
      <c r="B31" s="126">
        <v>3</v>
      </c>
      <c r="C31" s="127">
        <v>675.75243066158919</v>
      </c>
      <c r="D31" s="127">
        <v>0</v>
      </c>
      <c r="E31" s="127">
        <v>0</v>
      </c>
      <c r="F31" s="127">
        <v>100000</v>
      </c>
    </row>
    <row r="32" spans="1:16" s="114" customFormat="1">
      <c r="B32" s="126">
        <v>4</v>
      </c>
      <c r="C32" s="127">
        <v>1522.5260227052706</v>
      </c>
      <c r="D32" s="127">
        <v>0</v>
      </c>
      <c r="E32" s="127">
        <v>0</v>
      </c>
      <c r="F32" s="127">
        <v>10000</v>
      </c>
    </row>
    <row r="33" spans="1:46" s="114" customFormat="1">
      <c r="B33" s="126">
        <v>5</v>
      </c>
      <c r="C33" s="127">
        <v>3860.1253012852917</v>
      </c>
      <c r="D33" s="127">
        <v>0</v>
      </c>
      <c r="E33" s="127">
        <v>0</v>
      </c>
      <c r="F33" s="127">
        <v>1000</v>
      </c>
      <c r="I33"/>
    </row>
    <row r="34" spans="1:46" s="114" customFormat="1">
      <c r="B34" s="126">
        <v>6</v>
      </c>
      <c r="C34" s="127">
        <v>11246.129698326733</v>
      </c>
      <c r="D34" s="127">
        <v>0</v>
      </c>
      <c r="E34" s="127">
        <v>0</v>
      </c>
      <c r="F34" s="127">
        <v>100</v>
      </c>
      <c r="I34" s="29" t="s">
        <v>118</v>
      </c>
    </row>
    <row r="35" spans="1:46" s="114" customFormat="1">
      <c r="B35" s="126">
        <v>7</v>
      </c>
      <c r="C35" s="127">
        <v>36036.219728967051</v>
      </c>
      <c r="D35" s="127">
        <v>0</v>
      </c>
      <c r="E35" s="127">
        <v>0</v>
      </c>
      <c r="F35" s="127">
        <v>10</v>
      </c>
    </row>
    <row r="36" spans="1:46" s="114" customFormat="1">
      <c r="B36" s="126">
        <v>8</v>
      </c>
      <c r="C36" s="127">
        <v>113262.76272778875</v>
      </c>
      <c r="D36" s="127">
        <v>0</v>
      </c>
      <c r="E36" s="127">
        <v>0</v>
      </c>
      <c r="F36" s="127">
        <v>1</v>
      </c>
    </row>
    <row r="37" spans="1:46" s="114" customFormat="1">
      <c r="B37" s="126">
        <v>9</v>
      </c>
      <c r="C37" s="127">
        <v>292973.67793261644</v>
      </c>
      <c r="D37" s="127">
        <v>0</v>
      </c>
      <c r="E37" s="127">
        <v>0</v>
      </c>
      <c r="F37" s="127">
        <v>0.1</v>
      </c>
    </row>
    <row r="38" spans="1:46" s="114" customFormat="1">
      <c r="B38" s="126">
        <v>10</v>
      </c>
      <c r="C38" s="127">
        <v>540550.11137516901</v>
      </c>
      <c r="D38" s="127">
        <v>0</v>
      </c>
      <c r="E38" s="127">
        <v>0</v>
      </c>
      <c r="F38" s="127">
        <v>0.01</v>
      </c>
    </row>
    <row r="39" spans="1:46" s="114" customFormat="1">
      <c r="B39" s="126">
        <v>11</v>
      </c>
      <c r="C39" s="127">
        <v>687973.70356963575</v>
      </c>
      <c r="D39" s="127">
        <v>0</v>
      </c>
      <c r="E39" s="127">
        <v>0</v>
      </c>
      <c r="F39" s="127">
        <v>1E-3</v>
      </c>
      <c r="I39"/>
      <c r="L39"/>
    </row>
    <row r="40" spans="1:46" s="114" customFormat="1">
      <c r="B40" s="126">
        <v>12</v>
      </c>
      <c r="C40" s="127">
        <v>652798.67124451266</v>
      </c>
      <c r="D40" s="127">
        <v>0</v>
      </c>
      <c r="E40" s="127">
        <v>0</v>
      </c>
      <c r="F40" s="127">
        <v>1E-4</v>
      </c>
    </row>
    <row r="41" spans="1:46" s="114" customFormat="1">
      <c r="B41" s="126">
        <v>13</v>
      </c>
      <c r="C41" s="127">
        <v>493986.36082713451</v>
      </c>
      <c r="D41" s="127">
        <v>0</v>
      </c>
      <c r="E41" s="127">
        <v>0</v>
      </c>
      <c r="F41" s="127">
        <v>1.0000000000000001E-5</v>
      </c>
    </row>
    <row r="42" spans="1:46" s="114" customFormat="1">
      <c r="B42" s="126">
        <v>14</v>
      </c>
      <c r="C42" s="127">
        <v>359970.24600009993</v>
      </c>
      <c r="D42" s="127">
        <v>0</v>
      </c>
      <c r="E42" s="127">
        <v>0</v>
      </c>
      <c r="F42" s="127">
        <v>9.9999999999999995E-7</v>
      </c>
    </row>
    <row r="43" spans="1:46" s="114" customFormat="1">
      <c r="H43"/>
    </row>
    <row r="44" spans="1:46" s="114" customFormat="1">
      <c r="A44" s="1"/>
      <c r="H44" s="1"/>
      <c r="I44" s="1"/>
      <c r="J44" s="1"/>
      <c r="K44" s="1"/>
      <c r="L44" s="1"/>
      <c r="M44" s="1"/>
      <c r="N44" s="1"/>
      <c r="O44" s="1"/>
      <c r="P44" s="1"/>
    </row>
    <row r="45" spans="1:46" s="114" customFormat="1" ht="16.5" thickBot="1">
      <c r="A45" s="1"/>
      <c r="B45" s="4" t="s">
        <v>98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4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</row>
    <row r="46" spans="1:46" s="114" customFormat="1" ht="15.75" thickTop="1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46" s="114" customFormat="1">
      <c r="E47" s="116"/>
      <c r="F47" s="117"/>
      <c r="N47" s="29" t="s">
        <v>107</v>
      </c>
    </row>
    <row r="48" spans="1:46" s="114" customFormat="1">
      <c r="B48" s="29" t="s">
        <v>95</v>
      </c>
      <c r="E48" s="116"/>
      <c r="F48" s="117"/>
      <c r="G48" s="118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</row>
    <row r="49" spans="2:29" s="114" customFormat="1">
      <c r="E49" s="119"/>
      <c r="F49" s="118"/>
      <c r="G49" s="118"/>
      <c r="N49" s="142" t="s">
        <v>86</v>
      </c>
      <c r="O49" s="142" t="s">
        <v>105</v>
      </c>
      <c r="P49" s="142"/>
      <c r="Q49" s="142"/>
      <c r="R49" s="142" t="s">
        <v>106</v>
      </c>
      <c r="S49" s="142"/>
      <c r="T49" s="142"/>
      <c r="U49" s="142"/>
      <c r="V49" s="142"/>
      <c r="W49" s="142"/>
      <c r="X49" s="142"/>
      <c r="Y49" s="142"/>
      <c r="Z49" s="142"/>
      <c r="AA49" s="142" t="s">
        <v>87</v>
      </c>
      <c r="AB49" s="142"/>
      <c r="AC49" s="142"/>
    </row>
    <row r="50" spans="2:29" s="114" customFormat="1">
      <c r="B50" s="146" t="s">
        <v>100</v>
      </c>
      <c r="C50" s="146" t="s">
        <v>99</v>
      </c>
      <c r="D50" s="143" t="s">
        <v>105</v>
      </c>
      <c r="E50" s="143"/>
      <c r="F50" s="143"/>
      <c r="G50" s="143" t="s">
        <v>106</v>
      </c>
      <c r="H50" s="143"/>
      <c r="I50" s="143"/>
      <c r="J50" s="143" t="s">
        <v>87</v>
      </c>
      <c r="K50" s="143"/>
      <c r="L50" s="143"/>
      <c r="M50" s="118"/>
      <c r="N50" s="142"/>
      <c r="O50" s="142"/>
      <c r="P50" s="142"/>
      <c r="Q50" s="142"/>
      <c r="R50" s="142" t="s">
        <v>101</v>
      </c>
      <c r="S50" s="142"/>
      <c r="T50" s="142"/>
      <c r="U50" s="142" t="s">
        <v>102</v>
      </c>
      <c r="V50" s="142"/>
      <c r="W50" s="142"/>
      <c r="X50" s="142" t="s">
        <v>103</v>
      </c>
      <c r="Y50" s="142"/>
      <c r="Z50" s="142"/>
      <c r="AA50" s="142"/>
      <c r="AB50" s="142"/>
      <c r="AC50" s="142"/>
    </row>
    <row r="51" spans="2:29" s="114" customFormat="1">
      <c r="B51" s="146"/>
      <c r="C51" s="146"/>
      <c r="D51" s="123" t="s">
        <v>101</v>
      </c>
      <c r="E51" s="123" t="s">
        <v>102</v>
      </c>
      <c r="F51" s="123" t="s">
        <v>103</v>
      </c>
      <c r="G51" s="123" t="s">
        <v>101</v>
      </c>
      <c r="H51" s="123" t="s">
        <v>102</v>
      </c>
      <c r="I51" s="123" t="s">
        <v>103</v>
      </c>
      <c r="J51" s="123" t="s">
        <v>101</v>
      </c>
      <c r="K51" s="123" t="s">
        <v>102</v>
      </c>
      <c r="L51" s="123" t="s">
        <v>103</v>
      </c>
      <c r="N51" s="142"/>
      <c r="O51" s="126" t="s">
        <v>101</v>
      </c>
      <c r="P51" s="126" t="s">
        <v>102</v>
      </c>
      <c r="Q51" s="126" t="s">
        <v>103</v>
      </c>
      <c r="R51" s="126" t="s">
        <v>84</v>
      </c>
      <c r="S51" s="126" t="s">
        <v>85</v>
      </c>
      <c r="T51" s="126" t="s">
        <v>104</v>
      </c>
      <c r="U51" s="126" t="s">
        <v>84</v>
      </c>
      <c r="V51" s="126" t="s">
        <v>85</v>
      </c>
      <c r="W51" s="126" t="s">
        <v>104</v>
      </c>
      <c r="X51" s="126" t="s">
        <v>84</v>
      </c>
      <c r="Y51" s="126" t="s">
        <v>85</v>
      </c>
      <c r="Z51" s="126" t="s">
        <v>104</v>
      </c>
      <c r="AA51" s="126" t="s">
        <v>101</v>
      </c>
      <c r="AB51" s="126" t="s">
        <v>102</v>
      </c>
      <c r="AC51" s="126" t="s">
        <v>103</v>
      </c>
    </row>
    <row r="52" spans="2:29" s="114" customFormat="1">
      <c r="B52" s="115">
        <v>-7</v>
      </c>
      <c r="C52" s="124">
        <f>10^B52</f>
        <v>9.9999999999999995E-8</v>
      </c>
      <c r="D52" s="124">
        <f>IF(AND($D$12&lt;&gt;"",$E$12&lt;&gt;"",$F$12&lt;&gt;"",$G$12&lt;&gt;""),10^($D$12+$E$12/(1+EXP($F$12+$G$12*LOG10($C52)))),1)</f>
        <v>3222047.2974288645</v>
      </c>
      <c r="E52" s="124">
        <f>IF(AND($D$13&lt;&gt;"",$E$13&lt;&gt;"",$F$13&lt;&gt;"",$G$13&lt;&gt;""),10^($D$13+$E$13/(1+EXP($F$13+$G$13*LOG10($C52)))),1)</f>
        <v>1</v>
      </c>
      <c r="F52" s="124">
        <f>IF(AND($D$14&lt;&gt;"",$E$14&lt;&gt;"",$F$14&lt;&gt;"",$G$14&lt;&gt;""),10^($D$14+$E$14/(1+EXP($F$14+$G$14*LOG10($C52)))),1)</f>
        <v>1</v>
      </c>
      <c r="G52" s="124">
        <f>IF(OR($C$28="",$C$28=0),1,$C$28+$C$29*EXP(-C52/$F$29)+$C$30*EXP(-C52/$F$30)+$C$31*EXP(-C52/$F$31)+$C$32*EXP(-C52/$F$32)+$C$33*EXP(-C52/$F$33)+$C$34*EXP(-C52/$F$34)+$C$35*EXP(-C52/$F$35)+$C$36*EXP(-C52/$F$36)+$C$37*EXP(-C52/$F$37)+$C$38*EXP(-C52/$F$38)+$C$39*EXP(-C52/$F$39)+$C$40*EXP(-C52/$F$40)+$C$41*EXP(-C52/$F$41)+$C$42*EXP(-C52/$F$42))</f>
        <v>3157008.1594685568</v>
      </c>
      <c r="H52" s="124">
        <f>IF(OR($D$28="",$D$28=0),1,$D$28+$D$29*EXP(-C52/$F$29)+$D$30*EXP(-C52/$F$30)+$D$31*EXP(-C52/$F$31)+$D$32*EXP(-C52/$F$32)+$D$33*EXP(-C52/$F$33)+$D$34*EXP(-C52/$F$34)+$D$35*EXP(-C52/$F$35)+$D$36*EXP(-C52/$F$36)+$D$37*EXP(-C52/$F$37)+$D$38*EXP(-C52/$F$38)+$D$39*EXP(-C52/$F$39)+$D$40*EXP(-C52/$F$40)+$D$41*EXP(-C52/$F$41)+$D$42*EXP(-C52/$F$42))</f>
        <v>1</v>
      </c>
      <c r="I52" s="124">
        <f>IF(OR($E$28="",$E$28=0),1,$E$28+$E$29*EXP(-C52/$F$29)+$E$30*EXP(-C52/$F$30)+$E$31*EXP(-C52/$F$31)+$E$32*EXP(-C52/$F$32)+$E$33*EXP(-C52/$F$33)+$E$34*EXP(-C52/$F$34)+$E$35*EXP(-C52/$F$35)+$E$36*EXP(-C52/$F$36)+$E$37*EXP(-C52/$F$37)+$E$38*EXP(-C52/$F$38)+$E$39*EXP(-C52/$F$39)+$E$40*EXP(-C52/$F$40)+$E$41*EXP(-C52/$F$41)+$E$42*EXP(-C52/$F$42))</f>
        <v>1</v>
      </c>
      <c r="J52" s="124">
        <f>(LOG10(D52)-LOG10(G52))^2</f>
        <v>7.8432401016368818E-5</v>
      </c>
      <c r="K52" s="124">
        <f t="shared" ref="K52:L52" si="2">(LOG10(E52)-LOG10(H52))^2</f>
        <v>0</v>
      </c>
      <c r="L52" s="124">
        <f t="shared" si="2"/>
        <v>0</v>
      </c>
      <c r="M52" s="120"/>
      <c r="N52" s="132">
        <f t="shared" ref="N52:N115" si="3">2*PI()*C52</f>
        <v>6.2831853071795864E-7</v>
      </c>
      <c r="O52" s="124">
        <f>IF(AND($L$12&lt;&gt;"",$M$12&lt;&gt;"",$N$12&lt;&gt;"",$O$12&lt;&gt;""),10^($L$12+$M$12/(1+EXP($N$12+$O$12*LOG10($C52)))),1)</f>
        <v>1883.3727791864171</v>
      </c>
      <c r="P52" s="124">
        <f>IF(AND($L$13&lt;&gt;"",$M$13&lt;&gt;"",$N$13&lt;&gt;"",$O$13&lt;&gt;""),10^($L$13+$M$13/(1+EXP($N$13+$O$13*LOG10($C52)))),1)</f>
        <v>1</v>
      </c>
      <c r="Q52" s="124">
        <f>IF(AND($L$14&lt;&gt;"",$M$14&lt;&gt;"",$N$14&lt;&gt;"",$O$14&lt;&gt;""),10^($L$14+$M$14/(1+EXP($N$14+$O$14*LOG10($C52)))),1)</f>
        <v>1</v>
      </c>
      <c r="R52" s="124">
        <f>IF(OR($C$28="",$C$28=0),1,$C$28+($N52^2*$F$29^2*$C$29)/($N52^2*$F$29^2+1)+($N52^2*$F$30^2*$C$30)/($N52^2*$F$30^2+1)+($N52^2*$F$31^2*$C$31)/($N52^2*$F$31^2+1)+($N52^2*$F$32^2*$C$32)/($N52^2*$F$32^2+1)+($N52^2*$F$33^2*$C$33)/($N52^2*$F$33^2+1)+($N52^2*$F$34^2*$C$34)/($N52^2*$F$34^2+1)+($N52^2*$F$35^2*$C$35)/($N52^2*$F$35^2+1)+($N52^2*$F$36^2*$C$36)/($N52^2*$F$36^2+1)+($N52^2*$F$37^2*$C$37)/($N52^2*$F$37^2+1)+($N52^2*$F$38^2*$C$38)/($N52^2*$F$38^2+1)+($N52^2*$F$39^2*$C$39)/($N52^2*$F$39^2+1)+($N52^2*$F$40^2*$C$40)/($N52^2*$F$40^2+1)+($N52^2*$F$41^2*$C$41)/($N52^2*$F$41^2+1)+($N52^2*$F$42^2*$C$42)/($N52^2*$F$42^2+1))</f>
        <v>1804.3332828518846</v>
      </c>
      <c r="S52" s="124">
        <f>IF(OR($C$28="",$C$28=0),0,($N52*$F$29*$C$29)/($N52^2*$F$29^2+1)+($N52*$F$30*$C$30)/($N52^2*$F$30^2+1)+($N52*$F$31*$C$31)/($N52^2*$F$31^2+1)+($N52*$F$32*$C$32)/($N52^2*$F$32^2+1)+($N52*$F$33*$C$33)/($N52^2*$F$33^2+1)+($N52*$F$34*$C$34)/($N52^2*$F$34^2+1)+($N52*$F$35*$C$35)/($N52^2*$F$35^2+1)+($N52*$F$36*$C$36)/($N52^2*$F$36^2+1)+($N52*$F$37*$C$37)/($N52^2*$F$37^2+1)+($N52*$F$38*$C$38)/($N52^2*$F$38^2+1)+($N52*$F$39*$C$39)/($N52^2*$F$39^2+1)+($N52*$F$40*$C$40)/($N52^2*$F$40^2+1)+($N52*$F$41*$C$41)/($N52^2*$F$41^2+1)+($N52*$F$42*$C$42)/($N52^2*$F$42^2+1))</f>
        <v>232.4072985578569</v>
      </c>
      <c r="T52" s="124">
        <f>SQRT(R52^2+S52^2)</f>
        <v>1819.2393322567593</v>
      </c>
      <c r="U52" s="124">
        <f>IF(OR($D$28="",$D$28=0),1,$D$28+($N52^2*$F$29^2*$D$29)/($N52^2*$F$29^2+1)+($N52^2*$F$30^2*$D$30)/($N52^2*$F$30^2+1)+($N52^2*$F$31^2*$D$31)/($N52^2*$F$31^2+1)+($N52^2*$F$32^2*$D$32)/($N52^2*$F$32^2+1)+($N52^2*$F$33^2*$D$33)/($N52^2*$F$33^2+1)+($N52^2*$F$34^2*$D$34)/($N52^2*$F$34^2+1)+($N52^2*$F$35^2*$D$35)/($N52^2*$F$35^2+1)+($N52^2*$F$36^2*$D$36)/($N52^2*$F$36^2+1)+($N52^2*$F$37^2*$D$37)/($N52^2*$F$37^2+1)+($N52^2*$F$38^2*$D$38)/($N52^2*$F$38^2+1)+($N52^2*$F$39^2*$D$39)/($N52^2*$F$39^2+1)+($N52^2*$F$40^2*$D$40)/($N52^2*$F$40^2+1)+($N52^2*$F$41^2*$D$41)/($N52^2*$F$41^2+1)+($N52^2*$F$42^2*$D$42)/($N52^2*$F$42^2+1))</f>
        <v>1</v>
      </c>
      <c r="V52" s="124">
        <f>IF(OR($D$28="",$D$28=0),0,($N52*$F$29*$D$29)/($N52^2*$F$29^2+1)+($N52*$F$30*$D$30)/($N52^2*$F$30^2+1)+($N52*$F$31*$D$31)/($N52^2*$F$31^2+1)+($N52*$F$32*$D$32)/($N52^2*$F$32^2+1)+($N52*$F$33*$D$33)/($N52^2*$F$33^2+1)+($N52*$F$34*$D$34)/($N52^2*$F$34^2+1)+($N52*$F$35*$D$35)/($N52^2*$F$35^2+1)+($N52*$F$36*$D$36)/($N52^2*$F$36^2+1)+($N52*$F$37*$D$37)/($N52^2*$F$37^2+1)+($N52*$F$38*$D$38)/($N52^2*$F$38^2+1)+($N52*$F$39*$D$39)/($N52^2*$F$39^2+1)+($N52*$F$40*$D$40)/($N52^2*$F$40^2+1)+($N52*$F$41*$D$41)/($N52^2*$F$41^2+1)+($N52*$F$42*$D$42)/($N52^2*$F$42^2+1))</f>
        <v>0</v>
      </c>
      <c r="W52" s="124">
        <f>SQRT(U52^2+V52^2)</f>
        <v>1</v>
      </c>
      <c r="X52" s="124">
        <f>IF(OR($E$28="",$E$28=0),1,$E$28+($N52^2*$F$29^2*$E$29)/($N52^2*$F$29^2+1)+($N52^2*$F$30^2*$E$30)/($N52^2*$F$30^2+1)+($N52^2*$F$31^2*$E$31)/($N52^2*$F$31^2+1)+($N52^2*$F$32^2*$E$32)/($N52^2*$F$32^2+1)+($N52^2*$F$33^2*$E$33)/($N52^2*$F$33^2+1)+($N52^2*$F$34^2*$E$34)/($N52^2*$F$34^2+1)+($N52^2*$F$35^2*$E$35)/($N52^2*$F$35^2+1)+($N52^2*$F$36^2*$E$36)/($N52^2*$F$36^2+1)+($N52^2*$F$37^2*$E$37)/($N52^2*$F$37^2+1)+($N52^2*$F$38^2*$E$38)/($N52^2*$F$38^2+1)+($N52^2*$F$39^2*$E$39)/($N52^2*$F$39^2+1)+($N52^2*$F$40^2*$E$40)/($N52^2*$F$40^2+1)+($N52^2*$F$41^2*$E$41)/($N52^2*$F$41^2+1)+($N52^2*$F$42^2*$E$42)/($N52^2*$F$42^2+1))</f>
        <v>1</v>
      </c>
      <c r="Y52" s="124">
        <f>IF(OR($E$28="",$E$28=0),0,($N52*$F$29*$E$29)/($N52^2*$F$29^2+1)+($N52*$F$30*$E$30)/($N52^2*$F$30^2+1)+($N52*$F$31*$E$31)/($N52^2*$F$31^2+1)+($N52*$F$32*$E$32)/($N52^2*$F$32^2+1)+($N52*$F$33*$E$33)/($N52^2*$F$33^2+1)+($N52*$F$34*$E$34)/($N52^2*$F$34^2+1)+($N52*$F$35*$E$35)/($N52^2*$F$35^2+1)+($N52*$F$36*$E$36)/($N52^2*$F$36^2+1)+($N52*$F$37*$E$37)/($N52^2*$F$37^2+1)+($N52*$F$38*$E$38)/($N52^2*$F$38^2+1)+($N52*$F$39*$E$39)/($N52^2*$F$39^2+1)+($N52*$F$40*$E$40)/($N52^2*$F$40^2+1)+($N52*$F$41*$E$41)/($N52^2*$F$41^2+1)+($N52*$F$42*$E$42)/($N52^2*$F$42^2+1))</f>
        <v>0</v>
      </c>
      <c r="Z52" s="124">
        <f>SQRT(X52^2+Y52^2)</f>
        <v>1</v>
      </c>
      <c r="AA52" s="124">
        <f t="shared" ref="AA52:AA115" si="4">(LOG10(O52)-LOG10(T52))^2</f>
        <v>2.2639572406058591E-4</v>
      </c>
      <c r="AB52" s="124">
        <f>(LOG10(P52)-LOG10(W52))^2</f>
        <v>0</v>
      </c>
      <c r="AC52" s="124">
        <f>(LOG10(Q52)-LOG10(Z52))^2</f>
        <v>0</v>
      </c>
    </row>
    <row r="53" spans="2:29" s="114" customFormat="1">
      <c r="B53" s="115">
        <f t="shared" ref="B53:B116" si="5">B52+0.02</f>
        <v>-6.98</v>
      </c>
      <c r="C53" s="124">
        <f t="shared" ref="C53:C116" si="6">10^B53</f>
        <v>1.0471285480508987E-7</v>
      </c>
      <c r="D53" s="124">
        <f t="shared" ref="D53:D116" si="7">IF(AND($D$12&lt;&gt;"",$E$12&lt;&gt;"",$F$12&lt;&gt;"",$G$12&lt;&gt;""),10^($D$12+$E$12/(1+EXP($F$12+$G$12*LOG10($C53)))),1)</f>
        <v>3217048.7184133944</v>
      </c>
      <c r="E53" s="124">
        <f t="shared" ref="E53:E116" si="8">IF(AND($D$13&lt;&gt;"",$E$13&lt;&gt;"",$F$13&lt;&gt;"",$G$13&lt;&gt;""),10^($D$13+$E$13/(1+EXP($F$13+$G$13*LOG10($C53)))),1)</f>
        <v>1</v>
      </c>
      <c r="F53" s="124">
        <f t="shared" ref="F53:F116" si="9">IF(AND($D$14&lt;&gt;"",$E$14&lt;&gt;"",$F$14&lt;&gt;"",$G$14&lt;&gt;""),10^($D$14+$E$14/(1+EXP($F$14+$G$14*LOG10($C53)))),1)</f>
        <v>1</v>
      </c>
      <c r="G53" s="124">
        <f t="shared" ref="G53:G116" si="10">IF(OR($C$28="",$C$28=0),1,$C$28+$C$29*EXP(-C53/$F$29)+$C$30*EXP(-C53/$F$30)+$C$31*EXP(-C53/$F$31)+$C$32*EXP(-C53/$F$32)+$C$33*EXP(-C53/$F$33)+$C$34*EXP(-C53/$F$34)+$C$35*EXP(-C53/$F$35)+$C$36*EXP(-C53/$F$36)+$C$37*EXP(-C53/$F$37)+$C$38*EXP(-C53/$F$38)+$C$39*EXP(-C53/$F$39)+$C$40*EXP(-C53/$F$40)+$C$41*EXP(-C53/$F$41)+$C$42*EXP(-C53/$F$42))</f>
        <v>3155212.0427562995</v>
      </c>
      <c r="H53" s="124">
        <f t="shared" ref="H53:H116" si="11">IF(OR($D$28="",$D$28=0),1,$D$28+$D$29*EXP(-C53/$F$29)+$D$30*EXP(-C53/$F$30)+$D$31*EXP(-C53/$F$31)+$D$32*EXP(-C53/$F$32)+$D$33*EXP(-C53/$F$33)+$D$34*EXP(-C53/$F$34)+$D$35*EXP(-C53/$F$35)+$D$36*EXP(-C53/$F$36)+$D$37*EXP(-C53/$F$37)+$D$38*EXP(-C53/$F$38)+$D$39*EXP(-C53/$F$39)+$D$40*EXP(-C53/$F$40)+$D$41*EXP(-C53/$F$41)+$D$42*EXP(-C53/$F$42))</f>
        <v>1</v>
      </c>
      <c r="I53" s="124">
        <f t="shared" ref="I53:I116" si="12">IF(OR($E$28="",$E$28=0),1,$E$28+$E$29*EXP(-C53/$F$29)+$E$30*EXP(-C53/$F$30)+$E$31*EXP(-C53/$F$31)+$E$32*EXP(-C53/$F$32)+$E$33*EXP(-C53/$F$33)+$E$34*EXP(-C53/$F$34)+$E$35*EXP(-C53/$F$35)+$E$36*EXP(-C53/$F$36)+$E$37*EXP(-C53/$F$37)+$E$38*EXP(-C53/$F$38)+$E$39*EXP(-C53/$F$39)+$E$40*EXP(-C53/$F$40)+$E$41*EXP(-C53/$F$41)+$E$42*EXP(-C53/$F$42))</f>
        <v>1</v>
      </c>
      <c r="J53" s="124">
        <f t="shared" ref="J53:J116" si="13">(LOG10(D53)-LOG10(G53))^2</f>
        <v>7.1049506954321218E-5</v>
      </c>
      <c r="K53" s="124">
        <f t="shared" ref="K53:K116" si="14">(LOG10(E53)-LOG10(H53))^2</f>
        <v>0</v>
      </c>
      <c r="L53" s="124">
        <f t="shared" ref="L53:L116" si="15">(LOG10(F53)-LOG10(I53))^2</f>
        <v>0</v>
      </c>
      <c r="M53" s="120"/>
      <c r="N53" s="132">
        <f t="shared" si="3"/>
        <v>6.5793027078416996E-7</v>
      </c>
      <c r="O53" s="124">
        <f t="shared" ref="O53:O116" si="16">IF(AND($L$12&lt;&gt;"",$M$12&lt;&gt;"",$N$12&lt;&gt;"",$O$12&lt;&gt;""),10^($L$12+$M$12/(1+EXP($N$12+$O$12*LOG10($C53)))),1)</f>
        <v>1890.3834383243275</v>
      </c>
      <c r="P53" s="124">
        <f t="shared" ref="P53:P116" si="17">IF(AND($L$13&lt;&gt;"",$M$13&lt;&gt;"",$N$13&lt;&gt;"",$O$13&lt;&gt;""),10^($L$13+$M$13/(1+EXP($N$13+$O$13*LOG10($C53)))),1)</f>
        <v>1</v>
      </c>
      <c r="Q53" s="124">
        <f t="shared" ref="Q53:Q116" si="18">IF(AND($L$14&lt;&gt;"",$M$14&lt;&gt;"",$N$14&lt;&gt;"",$O$14&lt;&gt;""),10^($L$14+$M$14/(1+EXP($N$14+$O$14*LOG10($C53)))),1)</f>
        <v>1</v>
      </c>
      <c r="R53" s="124">
        <f t="shared" ref="R53:R116" si="19">IF(OR($C$28="",$C$28=0),1,$C$28+($N53^2*$F$29^2*$C$29)/($N53^2*$F$29^2+1)+($N53^2*$F$30^2*$C$30)/($N53^2*$F$30^2+1)+($N53^2*$F$31^2*$C$31)/($N53^2*$F$31^2+1)+($N53^2*$F$32^2*$C$32)/($N53^2*$F$32^2+1)+($N53^2*$F$33^2*$C$33)/($N53^2*$F$33^2+1)+($N53^2*$F$34^2*$C$34)/($N53^2*$F$34^2+1)+($N53^2*$F$35^2*$C$35)/($N53^2*$F$35^2+1)+($N53^2*$F$36^2*$C$36)/($N53^2*$F$36^2+1)+($N53^2*$F$37^2*$C$37)/($N53^2*$F$37^2+1)+($N53^2*$F$38^2*$C$38)/($N53^2*$F$38^2+1)+($N53^2*$F$39^2*$C$39)/($N53^2*$F$39^2+1)+($N53^2*$F$40^2*$C$40)/($N53^2*$F$40^2+1)+($N53^2*$F$41^2*$C$41)/($N53^2*$F$41^2+1)+($N53^2*$F$42^2*$C$42)/($N53^2*$F$42^2+1))</f>
        <v>1811.4138706803983</v>
      </c>
      <c r="S53" s="124">
        <f t="shared" ref="S53:S116" si="20">IF(OR($C$28="",$C$28=0),0,($N53*$F$29*$C$29)/($N53^2*$F$29^2+1)+($N53*$F$30*$C$30)/($N53^2*$F$30^2+1)+($N53*$F$31*$C$31)/($N53^2*$F$31^2+1)+($N53*$F$32*$C$32)/($N53^2*$F$32^2+1)+($N53*$F$33*$C$33)/($N53^2*$F$33^2+1)+($N53*$F$34*$C$34)/($N53^2*$F$34^2+1)+($N53*$F$35*$C$35)/($N53^2*$F$35^2+1)+($N53*$F$36*$C$36)/($N53^2*$F$36^2+1)+($N53*$F$37*$C$37)/($N53^2*$F$37^2+1)+($N53*$F$38*$C$38)/($N53^2*$F$38^2+1)+($N53*$F$39*$C$39)/($N53^2*$F$39^2+1)+($N53*$F$40*$C$40)/($N53^2*$F$40^2+1)+($N53*$F$41*$C$41)/($N53^2*$F$41^2+1)+($N53*$F$42*$C$42)/($N53^2*$F$42^2+1))</f>
        <v>236.95104786444881</v>
      </c>
      <c r="T53" s="124">
        <f t="shared" ref="T53:T116" si="21">SQRT(R53^2+S53^2)</f>
        <v>1826.8459185102074</v>
      </c>
      <c r="U53" s="124">
        <f t="shared" ref="U53:U116" si="22">IF(OR($D$28="",$D$28=0),1,$D$28+($N53^2*$F$29^2*$D$29)/($N53^2*$F$29^2+1)+($N53^2*$F$30^2*$D$30)/($N53^2*$F$30^2+1)+($N53^2*$F$31^2*$D$31)/($N53^2*$F$31^2+1)+($N53^2*$F$32^2*$D$32)/($N53^2*$F$32^2+1)+($N53^2*$F$33^2*$D$33)/($N53^2*$F$33^2+1)+($N53^2*$F$34^2*$D$34)/($N53^2*$F$34^2+1)+($N53^2*$F$35^2*$D$35)/($N53^2*$F$35^2+1)+($N53^2*$F$36^2*$D$36)/($N53^2*$F$36^2+1)+($N53^2*$F$37^2*$D$37)/($N53^2*$F$37^2+1)+($N53^2*$F$38^2*$D$38)/($N53^2*$F$38^2+1)+($N53^2*$F$39^2*$D$39)/($N53^2*$F$39^2+1)+($N53^2*$F$40^2*$D$40)/($N53^2*$F$40^2+1)+($N53^2*$F$41^2*$D$41)/($N53^2*$F$41^2+1)+($N53^2*$F$42^2*$D$42)/($N53^2*$F$42^2+1))</f>
        <v>1</v>
      </c>
      <c r="V53" s="124">
        <f t="shared" ref="V53:V116" si="23">IF(OR($D$28="",$D$28=0),0,($N53*$F$29*$D$29)/($N53^2*$F$29^2+1)+($N53*$F$30*$D$30)/($N53^2*$F$30^2+1)+($N53*$F$31*$D$31)/($N53^2*$F$31^2+1)+($N53*$F$32*$D$32)/($N53^2*$F$32^2+1)+($N53*$F$33*$D$33)/($N53^2*$F$33^2+1)+($N53*$F$34*$D$34)/($N53^2*$F$34^2+1)+($N53*$F$35*$D$35)/($N53^2*$F$35^2+1)+($N53*$F$36*$D$36)/($N53^2*$F$36^2+1)+($N53*$F$37*$D$37)/($N53^2*$F$37^2+1)+($N53*$F$38*$D$38)/($N53^2*$F$38^2+1)+($N53*$F$39*$D$39)/($N53^2*$F$39^2+1)+($N53*$F$40*$D$40)/($N53^2*$F$40^2+1)+($N53*$F$41*$D$41)/($N53^2*$F$41^2+1)+($N53*$F$42*$D$42)/($N53^2*$F$42^2+1))</f>
        <v>0</v>
      </c>
      <c r="W53" s="124">
        <f t="shared" ref="W53:W116" si="24">SQRT(U53^2+V53^2)</f>
        <v>1</v>
      </c>
      <c r="X53" s="124">
        <f t="shared" ref="X53:X116" si="25">IF(OR($E$28="",$E$28=0),1,$E$28+($N53^2*$F$29^2*$E$29)/($N53^2*$F$29^2+1)+($N53^2*$F$30^2*$E$30)/($N53^2*$F$30^2+1)+($N53^2*$F$31^2*$E$31)/($N53^2*$F$31^2+1)+($N53^2*$F$32^2*$E$32)/($N53^2*$F$32^2+1)+($N53^2*$F$33^2*$E$33)/($N53^2*$F$33^2+1)+($N53^2*$F$34^2*$E$34)/($N53^2*$F$34^2+1)+($N53^2*$F$35^2*$E$35)/($N53^2*$F$35^2+1)+($N53^2*$F$36^2*$E$36)/($N53^2*$F$36^2+1)+($N53^2*$F$37^2*$E$37)/($N53^2*$F$37^2+1)+($N53^2*$F$38^2*$E$38)/($N53^2*$F$38^2+1)+($N53^2*$F$39^2*$E$39)/($N53^2*$F$39^2+1)+($N53^2*$F$40^2*$E$40)/($N53^2*$F$40^2+1)+($N53^2*$F$41^2*$E$41)/($N53^2*$F$41^2+1)+($N53^2*$F$42^2*$E$42)/($N53^2*$F$42^2+1))</f>
        <v>1</v>
      </c>
      <c r="Y53" s="124">
        <f t="shared" ref="Y53:Y116" si="26">IF(OR($E$28="",$E$28=0),0,($N53*$F$29*$E$29)/($N53^2*$F$29^2+1)+($N53*$F$30*$E$30)/($N53^2*$F$30^2+1)+($N53*$F$31*$E$31)/($N53^2*$F$31^2+1)+($N53*$F$32*$E$32)/($N53^2*$F$32^2+1)+($N53*$F$33*$E$33)/($N53^2*$F$33^2+1)+($N53*$F$34*$E$34)/($N53^2*$F$34^2+1)+($N53*$F$35*$E$35)/($N53^2*$F$35^2+1)+($N53*$F$36*$E$36)/($N53^2*$F$36^2+1)+($N53*$F$37*$E$37)/($N53^2*$F$37^2+1)+($N53*$F$38*$E$38)/($N53^2*$F$38^2+1)+($N53*$F$39*$E$39)/($N53^2*$F$39^2+1)+($N53*$F$40*$E$40)/($N53^2*$F$40^2+1)+($N53*$F$41*$E$41)/($N53^2*$F$41^2+1)+($N53*$F$42*$E$42)/($N53^2*$F$42^2+1))</f>
        <v>0</v>
      </c>
      <c r="Z53" s="124">
        <f t="shared" ref="Z53:Z116" si="27">SQRT(X53^2+Y53^2)</f>
        <v>1</v>
      </c>
      <c r="AA53" s="124">
        <f t="shared" si="4"/>
        <v>2.2046264494616404E-4</v>
      </c>
      <c r="AB53" s="124">
        <f t="shared" ref="AB53:AB116" si="28">(LOG10(P53)-LOG10(W53))^2</f>
        <v>0</v>
      </c>
      <c r="AC53" s="124">
        <f t="shared" ref="AC53:AC116" si="29">(LOG10(Q53)-LOG10(Z53))^2</f>
        <v>0</v>
      </c>
    </row>
    <row r="54" spans="2:29" s="114" customFormat="1">
      <c r="B54" s="115">
        <f t="shared" si="5"/>
        <v>-6.9600000000000009</v>
      </c>
      <c r="C54" s="124">
        <f t="shared" si="6"/>
        <v>1.09647819614318E-7</v>
      </c>
      <c r="D54" s="124">
        <f t="shared" si="7"/>
        <v>3212004.3165100026</v>
      </c>
      <c r="E54" s="124">
        <f t="shared" si="8"/>
        <v>1</v>
      </c>
      <c r="F54" s="124">
        <f t="shared" si="9"/>
        <v>1</v>
      </c>
      <c r="G54" s="124">
        <f t="shared" si="10"/>
        <v>3153339.112502024</v>
      </c>
      <c r="H54" s="124">
        <f t="shared" si="11"/>
        <v>1</v>
      </c>
      <c r="I54" s="124">
        <f t="shared" si="12"/>
        <v>1</v>
      </c>
      <c r="J54" s="124">
        <f t="shared" si="13"/>
        <v>6.4087111559518782E-5</v>
      </c>
      <c r="K54" s="124">
        <f t="shared" si="14"/>
        <v>0</v>
      </c>
      <c r="L54" s="124">
        <f t="shared" si="15"/>
        <v>0</v>
      </c>
      <c r="M54" s="120"/>
      <c r="N54" s="132">
        <f t="shared" si="3"/>
        <v>6.8893756916496051E-7</v>
      </c>
      <c r="O54" s="124">
        <f t="shared" si="16"/>
        <v>1897.4917738278666</v>
      </c>
      <c r="P54" s="124">
        <f t="shared" si="17"/>
        <v>1</v>
      </c>
      <c r="Q54" s="124">
        <f t="shared" si="18"/>
        <v>1</v>
      </c>
      <c r="R54" s="124">
        <f t="shared" si="19"/>
        <v>1818.733430631341</v>
      </c>
      <c r="S54" s="124">
        <f t="shared" si="20"/>
        <v>241.42575836466185</v>
      </c>
      <c r="T54" s="124">
        <f t="shared" si="21"/>
        <v>1834.6873544279961</v>
      </c>
      <c r="U54" s="124">
        <f t="shared" si="22"/>
        <v>1</v>
      </c>
      <c r="V54" s="124">
        <f t="shared" si="23"/>
        <v>0</v>
      </c>
      <c r="W54" s="124">
        <f t="shared" si="24"/>
        <v>1</v>
      </c>
      <c r="X54" s="124">
        <f t="shared" si="25"/>
        <v>1</v>
      </c>
      <c r="Y54" s="124">
        <f t="shared" si="26"/>
        <v>0</v>
      </c>
      <c r="Z54" s="124">
        <f t="shared" si="27"/>
        <v>1</v>
      </c>
      <c r="AA54" s="124">
        <f t="shared" si="4"/>
        <v>2.1368107615056501E-4</v>
      </c>
      <c r="AB54" s="124">
        <f t="shared" si="28"/>
        <v>0</v>
      </c>
      <c r="AC54" s="124">
        <f t="shared" si="29"/>
        <v>0</v>
      </c>
    </row>
    <row r="55" spans="2:29" s="114" customFormat="1">
      <c r="B55" s="115">
        <f t="shared" si="5"/>
        <v>-6.9400000000000013</v>
      </c>
      <c r="C55" s="124">
        <f t="shared" si="6"/>
        <v>1.1481536214968772E-7</v>
      </c>
      <c r="D55" s="124">
        <f t="shared" si="7"/>
        <v>3206913.7793253381</v>
      </c>
      <c r="E55" s="124">
        <f t="shared" si="8"/>
        <v>1</v>
      </c>
      <c r="F55" s="124">
        <f t="shared" si="9"/>
        <v>1</v>
      </c>
      <c r="G55" s="124">
        <f t="shared" si="10"/>
        <v>3151386.4627406197</v>
      </c>
      <c r="H55" s="124">
        <f t="shared" si="11"/>
        <v>1</v>
      </c>
      <c r="I55" s="124">
        <f t="shared" si="12"/>
        <v>1</v>
      </c>
      <c r="J55" s="124">
        <f t="shared" si="13"/>
        <v>5.7541609461962218E-5</v>
      </c>
      <c r="K55" s="124">
        <f t="shared" si="14"/>
        <v>0</v>
      </c>
      <c r="L55" s="124">
        <f t="shared" si="15"/>
        <v>0</v>
      </c>
      <c r="M55" s="120"/>
      <c r="N55" s="132">
        <f t="shared" si="3"/>
        <v>7.2140619649742107E-7</v>
      </c>
      <c r="O55" s="124">
        <f t="shared" si="16"/>
        <v>1904.699344120907</v>
      </c>
      <c r="P55" s="124">
        <f t="shared" si="17"/>
        <v>1</v>
      </c>
      <c r="Q55" s="124">
        <f t="shared" si="18"/>
        <v>1</v>
      </c>
      <c r="R55" s="124">
        <f t="shared" si="19"/>
        <v>1826.2800692990149</v>
      </c>
      <c r="S55" s="124">
        <f t="shared" si="20"/>
        <v>245.81165977805264</v>
      </c>
      <c r="T55" s="124">
        <f t="shared" si="21"/>
        <v>1842.7485622302506</v>
      </c>
      <c r="U55" s="124">
        <f t="shared" si="22"/>
        <v>1</v>
      </c>
      <c r="V55" s="124">
        <f t="shared" si="23"/>
        <v>0</v>
      </c>
      <c r="W55" s="124">
        <f t="shared" si="24"/>
        <v>1</v>
      </c>
      <c r="X55" s="124">
        <f t="shared" si="25"/>
        <v>1</v>
      </c>
      <c r="Y55" s="124">
        <f t="shared" si="26"/>
        <v>0</v>
      </c>
      <c r="Z55" s="124">
        <f t="shared" si="27"/>
        <v>1</v>
      </c>
      <c r="AA55" s="124">
        <f t="shared" si="4"/>
        <v>2.0621968727166501E-4</v>
      </c>
      <c r="AB55" s="124">
        <f t="shared" si="28"/>
        <v>0</v>
      </c>
      <c r="AC55" s="124">
        <f t="shared" si="29"/>
        <v>0</v>
      </c>
    </row>
    <row r="56" spans="2:29" s="114" customFormat="1">
      <c r="B56" s="115">
        <f t="shared" si="5"/>
        <v>-6.9200000000000017</v>
      </c>
      <c r="C56" s="124">
        <f t="shared" si="6"/>
        <v>1.2022644346174069E-7</v>
      </c>
      <c r="D56" s="124">
        <f t="shared" si="7"/>
        <v>3201776.7947004363</v>
      </c>
      <c r="E56" s="124">
        <f t="shared" si="8"/>
        <v>1</v>
      </c>
      <c r="F56" s="124">
        <f t="shared" si="9"/>
        <v>1</v>
      </c>
      <c r="G56" s="124">
        <f t="shared" si="10"/>
        <v>3149351.1135093141</v>
      </c>
      <c r="H56" s="124">
        <f t="shared" si="11"/>
        <v>1</v>
      </c>
      <c r="I56" s="124">
        <f t="shared" si="12"/>
        <v>1</v>
      </c>
      <c r="J56" s="124">
        <f t="shared" si="13"/>
        <v>5.140848294674601E-5</v>
      </c>
      <c r="K56" s="124">
        <f t="shared" si="14"/>
        <v>0</v>
      </c>
      <c r="L56" s="124">
        <f t="shared" si="15"/>
        <v>0</v>
      </c>
      <c r="M56" s="120"/>
      <c r="N56" s="132">
        <f t="shared" si="3"/>
        <v>7.5540502309326628E-7</v>
      </c>
      <c r="O56" s="124">
        <f t="shared" si="16"/>
        <v>1912.0077366007481</v>
      </c>
      <c r="P56" s="124">
        <f t="shared" si="17"/>
        <v>1</v>
      </c>
      <c r="Q56" s="124">
        <f t="shared" si="18"/>
        <v>1</v>
      </c>
      <c r="R56" s="124">
        <f t="shared" si="19"/>
        <v>1834.0388769506665</v>
      </c>
      <c r="S56" s="124">
        <f t="shared" si="20"/>
        <v>250.09044638795658</v>
      </c>
      <c r="T56" s="124">
        <f t="shared" si="21"/>
        <v>1851.0115703422789</v>
      </c>
      <c r="U56" s="124">
        <f t="shared" si="22"/>
        <v>1</v>
      </c>
      <c r="V56" s="124">
        <f t="shared" si="23"/>
        <v>0</v>
      </c>
      <c r="W56" s="124">
        <f t="shared" si="24"/>
        <v>1</v>
      </c>
      <c r="X56" s="124">
        <f t="shared" si="25"/>
        <v>1</v>
      </c>
      <c r="Y56" s="124">
        <f t="shared" si="26"/>
        <v>0</v>
      </c>
      <c r="Z56" s="124">
        <f t="shared" si="27"/>
        <v>1</v>
      </c>
      <c r="AA56" s="124">
        <f t="shared" si="4"/>
        <v>1.9826081201020581E-4</v>
      </c>
      <c r="AB56" s="124">
        <f t="shared" si="28"/>
        <v>0</v>
      </c>
      <c r="AC56" s="124">
        <f t="shared" si="29"/>
        <v>0</v>
      </c>
    </row>
    <row r="57" spans="2:29" s="114" customFormat="1">
      <c r="B57" s="115">
        <f t="shared" si="5"/>
        <v>-6.9000000000000021</v>
      </c>
      <c r="C57" s="124">
        <f t="shared" si="6"/>
        <v>1.2589254117941585E-7</v>
      </c>
      <c r="D57" s="124">
        <f t="shared" si="7"/>
        <v>3196593.0507746437</v>
      </c>
      <c r="E57" s="124">
        <f t="shared" si="8"/>
        <v>1</v>
      </c>
      <c r="F57" s="124">
        <f t="shared" si="9"/>
        <v>1</v>
      </c>
      <c r="G57" s="124">
        <f t="shared" si="10"/>
        <v>3147230.0126009872</v>
      </c>
      <c r="H57" s="124">
        <f t="shared" si="11"/>
        <v>1</v>
      </c>
      <c r="I57" s="124">
        <f t="shared" si="12"/>
        <v>1</v>
      </c>
      <c r="J57" s="124">
        <f t="shared" si="13"/>
        <v>4.5682281443862973E-5</v>
      </c>
      <c r="K57" s="124">
        <f t="shared" si="14"/>
        <v>0</v>
      </c>
      <c r="L57" s="124">
        <f t="shared" si="15"/>
        <v>0</v>
      </c>
      <c r="M57" s="120"/>
      <c r="N57" s="132">
        <f t="shared" si="3"/>
        <v>7.9100616502200671E-7</v>
      </c>
      <c r="O57" s="124">
        <f t="shared" si="16"/>
        <v>1919.4185682571594</v>
      </c>
      <c r="P57" s="124">
        <f t="shared" si="17"/>
        <v>1</v>
      </c>
      <c r="Q57" s="124">
        <f t="shared" si="18"/>
        <v>1</v>
      </c>
      <c r="R57" s="124">
        <f t="shared" si="19"/>
        <v>1841.9920812375894</v>
      </c>
      <c r="S57" s="124">
        <f t="shared" si="20"/>
        <v>254.2457591801373</v>
      </c>
      <c r="T57" s="124">
        <f t="shared" si="21"/>
        <v>1859.4557626905435</v>
      </c>
      <c r="U57" s="124">
        <f t="shared" si="22"/>
        <v>1</v>
      </c>
      <c r="V57" s="124">
        <f t="shared" si="23"/>
        <v>0</v>
      </c>
      <c r="W57" s="124">
        <f t="shared" si="24"/>
        <v>1</v>
      </c>
      <c r="X57" s="124">
        <f t="shared" si="25"/>
        <v>1</v>
      </c>
      <c r="Y57" s="124">
        <f t="shared" si="26"/>
        <v>0</v>
      </c>
      <c r="Z57" s="124">
        <f t="shared" si="27"/>
        <v>1</v>
      </c>
      <c r="AA57" s="124">
        <f t="shared" si="4"/>
        <v>1.8999427425806442E-4</v>
      </c>
      <c r="AB57" s="124">
        <f t="shared" si="28"/>
        <v>0</v>
      </c>
      <c r="AC57" s="124">
        <f t="shared" si="29"/>
        <v>0</v>
      </c>
    </row>
    <row r="58" spans="2:29" s="114" customFormat="1">
      <c r="B58" s="115">
        <f t="shared" si="5"/>
        <v>-6.8800000000000026</v>
      </c>
      <c r="C58" s="124">
        <f t="shared" si="6"/>
        <v>1.3182567385563977E-7</v>
      </c>
      <c r="D58" s="124">
        <f t="shared" si="7"/>
        <v>3191362.2360510649</v>
      </c>
      <c r="E58" s="124">
        <f t="shared" si="8"/>
        <v>1</v>
      </c>
      <c r="F58" s="124">
        <f t="shared" si="9"/>
        <v>1</v>
      </c>
      <c r="G58" s="124">
        <f t="shared" si="10"/>
        <v>3145020.0377914994</v>
      </c>
      <c r="H58" s="124">
        <f t="shared" si="11"/>
        <v>1</v>
      </c>
      <c r="I58" s="124">
        <f t="shared" si="12"/>
        <v>1</v>
      </c>
      <c r="J58" s="124">
        <f t="shared" si="13"/>
        <v>4.0356604824357614E-5</v>
      </c>
      <c r="K58" s="124">
        <f t="shared" si="14"/>
        <v>0</v>
      </c>
      <c r="L58" s="124">
        <f t="shared" si="15"/>
        <v>0</v>
      </c>
      <c r="M58" s="120"/>
      <c r="N58" s="132">
        <f t="shared" si="3"/>
        <v>8.2828513707880387E-7</v>
      </c>
      <c r="O58" s="124">
        <f t="shared" si="16"/>
        <v>1926.9334863061802</v>
      </c>
      <c r="P58" s="124">
        <f t="shared" si="17"/>
        <v>1</v>
      </c>
      <c r="Q58" s="124">
        <f t="shared" si="18"/>
        <v>1</v>
      </c>
      <c r="R58" s="124">
        <f t="shared" si="19"/>
        <v>1850.1192862718833</v>
      </c>
      <c r="S58" s="124">
        <f t="shared" si="20"/>
        <v>258.26365357390017</v>
      </c>
      <c r="T58" s="124">
        <f t="shared" si="21"/>
        <v>1868.0582132772315</v>
      </c>
      <c r="U58" s="124">
        <f t="shared" si="22"/>
        <v>1</v>
      </c>
      <c r="V58" s="124">
        <f t="shared" si="23"/>
        <v>0</v>
      </c>
      <c r="W58" s="124">
        <f t="shared" si="24"/>
        <v>1</v>
      </c>
      <c r="X58" s="124">
        <f t="shared" si="25"/>
        <v>1</v>
      </c>
      <c r="Y58" s="124">
        <f t="shared" si="26"/>
        <v>0</v>
      </c>
      <c r="Z58" s="124">
        <f t="shared" si="27"/>
        <v>1</v>
      </c>
      <c r="AA58" s="124">
        <f t="shared" si="4"/>
        <v>1.8161115209094762E-4</v>
      </c>
      <c r="AB58" s="124">
        <f t="shared" si="28"/>
        <v>0</v>
      </c>
      <c r="AC58" s="124">
        <f t="shared" si="29"/>
        <v>0</v>
      </c>
    </row>
    <row r="59" spans="2:29" s="114" customFormat="1">
      <c r="B59" s="115">
        <f t="shared" si="5"/>
        <v>-6.860000000000003</v>
      </c>
      <c r="C59" s="124">
        <f t="shared" si="6"/>
        <v>1.3803842646028722E-7</v>
      </c>
      <c r="D59" s="124">
        <f t="shared" si="7"/>
        <v>3186084.0394633794</v>
      </c>
      <c r="E59" s="124">
        <f t="shared" si="8"/>
        <v>1</v>
      </c>
      <c r="F59" s="124">
        <f t="shared" si="9"/>
        <v>1</v>
      </c>
      <c r="G59" s="124">
        <f t="shared" si="10"/>
        <v>3142717.999585954</v>
      </c>
      <c r="H59" s="124">
        <f t="shared" si="11"/>
        <v>1</v>
      </c>
      <c r="I59" s="124">
        <f t="shared" si="12"/>
        <v>1</v>
      </c>
      <c r="J59" s="124">
        <f t="shared" si="13"/>
        <v>3.5424091019028894E-5</v>
      </c>
      <c r="K59" s="124">
        <f t="shared" si="14"/>
        <v>0</v>
      </c>
      <c r="L59" s="124">
        <f t="shared" si="15"/>
        <v>0</v>
      </c>
      <c r="M59" s="120"/>
      <c r="N59" s="132">
        <f t="shared" si="3"/>
        <v>8.6732101296146649E-7</v>
      </c>
      <c r="O59" s="124">
        <f t="shared" si="16"/>
        <v>1934.554168839041</v>
      </c>
      <c r="P59" s="124">
        <f t="shared" si="17"/>
        <v>1</v>
      </c>
      <c r="Q59" s="124">
        <f t="shared" si="18"/>
        <v>1</v>
      </c>
      <c r="R59" s="124">
        <f t="shared" si="19"/>
        <v>1858.3977961659234</v>
      </c>
      <c r="S59" s="124">
        <f t="shared" si="20"/>
        <v>262.13303543375241</v>
      </c>
      <c r="T59" s="124">
        <f t="shared" si="21"/>
        <v>1876.7941008699047</v>
      </c>
      <c r="U59" s="124">
        <f t="shared" si="22"/>
        <v>1</v>
      </c>
      <c r="V59" s="124">
        <f t="shared" si="23"/>
        <v>0</v>
      </c>
      <c r="W59" s="124">
        <f t="shared" si="24"/>
        <v>1</v>
      </c>
      <c r="X59" s="124">
        <f t="shared" si="25"/>
        <v>1</v>
      </c>
      <c r="Y59" s="124">
        <f t="shared" si="26"/>
        <v>0</v>
      </c>
      <c r="Z59" s="124">
        <f t="shared" si="27"/>
        <v>1</v>
      </c>
      <c r="AA59" s="124">
        <f t="shared" si="4"/>
        <v>1.7329787479551214E-4</v>
      </c>
      <c r="AB59" s="124">
        <f t="shared" si="28"/>
        <v>0</v>
      </c>
      <c r="AC59" s="124">
        <f t="shared" si="29"/>
        <v>0</v>
      </c>
    </row>
    <row r="60" spans="2:29" s="114" customFormat="1">
      <c r="B60" s="115">
        <f t="shared" si="5"/>
        <v>-6.8400000000000034</v>
      </c>
      <c r="C60" s="124">
        <f t="shared" si="6"/>
        <v>1.4454397707459141E-7</v>
      </c>
      <c r="D60" s="124">
        <f t="shared" si="7"/>
        <v>3180758.1504442254</v>
      </c>
      <c r="E60" s="124">
        <f t="shared" si="8"/>
        <v>1</v>
      </c>
      <c r="F60" s="124">
        <f t="shared" si="9"/>
        <v>1</v>
      </c>
      <c r="G60" s="124">
        <f t="shared" si="10"/>
        <v>3140320.6445312244</v>
      </c>
      <c r="H60" s="124">
        <f t="shared" si="11"/>
        <v>1</v>
      </c>
      <c r="I60" s="124">
        <f t="shared" si="12"/>
        <v>1</v>
      </c>
      <c r="J60" s="124">
        <f t="shared" si="13"/>
        <v>3.0876408497714754E-5</v>
      </c>
      <c r="K60" s="124">
        <f t="shared" si="14"/>
        <v>0</v>
      </c>
      <c r="L60" s="124">
        <f t="shared" si="15"/>
        <v>0</v>
      </c>
      <c r="M60" s="120"/>
      <c r="N60" s="132">
        <f t="shared" si="3"/>
        <v>9.0819659299637573E-7</v>
      </c>
      <c r="O60" s="124">
        <f t="shared" si="16"/>
        <v>1942.2823254865609</v>
      </c>
      <c r="P60" s="124">
        <f t="shared" si="17"/>
        <v>1</v>
      </c>
      <c r="Q60" s="124">
        <f t="shared" si="18"/>
        <v>1</v>
      </c>
      <c r="R60" s="124">
        <f t="shared" si="19"/>
        <v>1866.8030181003173</v>
      </c>
      <c r="S60" s="124">
        <f t="shared" si="20"/>
        <v>265.84604797102719</v>
      </c>
      <c r="T60" s="124">
        <f t="shared" si="21"/>
        <v>1885.637194587089</v>
      </c>
      <c r="U60" s="124">
        <f t="shared" si="22"/>
        <v>1</v>
      </c>
      <c r="V60" s="124">
        <f t="shared" si="23"/>
        <v>0</v>
      </c>
      <c r="W60" s="124">
        <f t="shared" si="24"/>
        <v>1</v>
      </c>
      <c r="X60" s="124">
        <f t="shared" si="25"/>
        <v>1</v>
      </c>
      <c r="Y60" s="124">
        <f t="shared" si="26"/>
        <v>0</v>
      </c>
      <c r="Z60" s="124">
        <f t="shared" si="27"/>
        <v>1</v>
      </c>
      <c r="AA60" s="124">
        <f t="shared" si="4"/>
        <v>1.6523102352457864E-4</v>
      </c>
      <c r="AB60" s="124">
        <f t="shared" si="28"/>
        <v>0</v>
      </c>
      <c r="AC60" s="124">
        <f t="shared" si="29"/>
        <v>0</v>
      </c>
    </row>
    <row r="61" spans="2:29" s="114" customFormat="1">
      <c r="B61" s="115">
        <f t="shared" si="5"/>
        <v>-6.8200000000000038</v>
      </c>
      <c r="C61" s="124">
        <f t="shared" si="6"/>
        <v>1.513561248436194E-7</v>
      </c>
      <c r="D61" s="124">
        <f t="shared" si="7"/>
        <v>3175384.258995052</v>
      </c>
      <c r="E61" s="124">
        <f t="shared" si="8"/>
        <v>1</v>
      </c>
      <c r="F61" s="124">
        <f t="shared" si="9"/>
        <v>1</v>
      </c>
      <c r="G61" s="124">
        <f t="shared" si="10"/>
        <v>3137824.6591443704</v>
      </c>
      <c r="H61" s="124">
        <f t="shared" si="11"/>
        <v>1</v>
      </c>
      <c r="I61" s="124">
        <f t="shared" si="12"/>
        <v>1</v>
      </c>
      <c r="J61" s="124">
        <f t="shared" si="13"/>
        <v>2.6704254163410699E-5</v>
      </c>
      <c r="K61" s="124">
        <f t="shared" si="14"/>
        <v>0</v>
      </c>
      <c r="L61" s="124">
        <f t="shared" si="15"/>
        <v>0</v>
      </c>
      <c r="M61" s="120"/>
      <c r="N61" s="132">
        <f t="shared" si="3"/>
        <v>9.5099857976906855E-7</v>
      </c>
      <c r="O61" s="124">
        <f t="shared" si="16"/>
        <v>1950.1196980994962</v>
      </c>
      <c r="P61" s="124">
        <f t="shared" si="17"/>
        <v>1</v>
      </c>
      <c r="Q61" s="124">
        <f t="shared" si="18"/>
        <v>1</v>
      </c>
      <c r="R61" s="124">
        <f t="shared" si="19"/>
        <v>1875.3089359023622</v>
      </c>
      <c r="S61" s="124">
        <f t="shared" si="20"/>
        <v>269.39839312987806</v>
      </c>
      <c r="T61" s="124">
        <f t="shared" si="21"/>
        <v>1894.5603973735465</v>
      </c>
      <c r="U61" s="124">
        <f t="shared" si="22"/>
        <v>1</v>
      </c>
      <c r="V61" s="124">
        <f t="shared" si="23"/>
        <v>0</v>
      </c>
      <c r="W61" s="124">
        <f t="shared" si="24"/>
        <v>1</v>
      </c>
      <c r="X61" s="124">
        <f t="shared" si="25"/>
        <v>1</v>
      </c>
      <c r="Y61" s="124">
        <f t="shared" si="26"/>
        <v>0</v>
      </c>
      <c r="Z61" s="124">
        <f t="shared" si="27"/>
        <v>1</v>
      </c>
      <c r="AA61" s="124">
        <f t="shared" si="4"/>
        <v>1.5757314581698771E-4</v>
      </c>
      <c r="AB61" s="124">
        <f t="shared" si="28"/>
        <v>0</v>
      </c>
      <c r="AC61" s="124">
        <f t="shared" si="29"/>
        <v>0</v>
      </c>
    </row>
    <row r="62" spans="2:29" s="114" customFormat="1">
      <c r="B62" s="115">
        <f t="shared" si="5"/>
        <v>-6.8000000000000043</v>
      </c>
      <c r="C62" s="124">
        <f t="shared" si="6"/>
        <v>1.5848931924610953E-7</v>
      </c>
      <c r="D62" s="124">
        <f t="shared" si="7"/>
        <v>3169962.0557574965</v>
      </c>
      <c r="E62" s="124">
        <f t="shared" si="8"/>
        <v>1</v>
      </c>
      <c r="F62" s="124">
        <f t="shared" si="9"/>
        <v>1</v>
      </c>
      <c r="G62" s="124">
        <f t="shared" si="10"/>
        <v>3135226.674508736</v>
      </c>
      <c r="H62" s="124">
        <f t="shared" si="11"/>
        <v>1</v>
      </c>
      <c r="I62" s="124">
        <f t="shared" si="12"/>
        <v>1</v>
      </c>
      <c r="J62" s="124">
        <f t="shared" si="13"/>
        <v>2.2897357226596185E-5</v>
      </c>
      <c r="K62" s="124">
        <f t="shared" si="14"/>
        <v>0</v>
      </c>
      <c r="L62" s="124">
        <f t="shared" si="15"/>
        <v>0</v>
      </c>
      <c r="M62" s="120"/>
      <c r="N62" s="132">
        <f t="shared" si="3"/>
        <v>9.9581776203205015E-7</v>
      </c>
      <c r="O62" s="124">
        <f t="shared" si="16"/>
        <v>1958.0680614451451</v>
      </c>
      <c r="P62" s="124">
        <f t="shared" si="17"/>
        <v>1</v>
      </c>
      <c r="Q62" s="124">
        <f t="shared" si="18"/>
        <v>1</v>
      </c>
      <c r="R62" s="124">
        <f t="shared" si="19"/>
        <v>1883.8886412936063</v>
      </c>
      <c r="S62" s="124">
        <f t="shared" si="20"/>
        <v>272.78957311539324</v>
      </c>
      <c r="T62" s="124">
        <f t="shared" si="21"/>
        <v>1903.5363311467288</v>
      </c>
      <c r="U62" s="124">
        <f t="shared" si="22"/>
        <v>1</v>
      </c>
      <c r="V62" s="124">
        <f t="shared" si="23"/>
        <v>0</v>
      </c>
      <c r="W62" s="124">
        <f t="shared" si="24"/>
        <v>1</v>
      </c>
      <c r="X62" s="124">
        <f t="shared" si="25"/>
        <v>1</v>
      </c>
      <c r="Y62" s="124">
        <f t="shared" si="26"/>
        <v>0</v>
      </c>
      <c r="Z62" s="124">
        <f t="shared" si="27"/>
        <v>1</v>
      </c>
      <c r="AA62" s="124">
        <f t="shared" si="4"/>
        <v>1.5046980313225219E-4</v>
      </c>
      <c r="AB62" s="124">
        <f t="shared" si="28"/>
        <v>0</v>
      </c>
      <c r="AC62" s="124">
        <f t="shared" si="29"/>
        <v>0</v>
      </c>
    </row>
    <row r="63" spans="2:29" s="114" customFormat="1">
      <c r="B63" s="115">
        <f t="shared" si="5"/>
        <v>-6.7800000000000047</v>
      </c>
      <c r="C63" s="124">
        <f t="shared" si="6"/>
        <v>1.6595869074375414E-7</v>
      </c>
      <c r="D63" s="124">
        <f t="shared" si="7"/>
        <v>3164491.2320862985</v>
      </c>
      <c r="E63" s="124">
        <f t="shared" si="8"/>
        <v>1</v>
      </c>
      <c r="F63" s="124">
        <f t="shared" si="9"/>
        <v>1</v>
      </c>
      <c r="G63" s="124">
        <f t="shared" si="10"/>
        <v>3132523.2715915274</v>
      </c>
      <c r="H63" s="124">
        <f t="shared" si="11"/>
        <v>1</v>
      </c>
      <c r="I63" s="124">
        <f t="shared" si="12"/>
        <v>1</v>
      </c>
      <c r="J63" s="124">
        <f t="shared" si="13"/>
        <v>1.944448963122882E-5</v>
      </c>
      <c r="K63" s="124">
        <f t="shared" si="14"/>
        <v>0</v>
      </c>
      <c r="L63" s="124">
        <f t="shared" si="15"/>
        <v>0</v>
      </c>
      <c r="M63" s="120"/>
      <c r="N63" s="132">
        <f t="shared" si="3"/>
        <v>1.0427492072799167E-6</v>
      </c>
      <c r="O63" s="124">
        <f t="shared" si="16"/>
        <v>1966.1292239207571</v>
      </c>
      <c r="P63" s="124">
        <f t="shared" si="17"/>
        <v>1</v>
      </c>
      <c r="Q63" s="124">
        <f t="shared" si="18"/>
        <v>1</v>
      </c>
      <c r="R63" s="124">
        <f t="shared" si="19"/>
        <v>1892.5149067164562</v>
      </c>
      <c r="S63" s="124">
        <f t="shared" si="20"/>
        <v>276.02304077694566</v>
      </c>
      <c r="T63" s="124">
        <f t="shared" si="21"/>
        <v>1912.5379450310909</v>
      </c>
      <c r="U63" s="124">
        <f t="shared" si="22"/>
        <v>1</v>
      </c>
      <c r="V63" s="124">
        <f t="shared" si="23"/>
        <v>0</v>
      </c>
      <c r="W63" s="124">
        <f t="shared" si="24"/>
        <v>1</v>
      </c>
      <c r="X63" s="124">
        <f t="shared" si="25"/>
        <v>1</v>
      </c>
      <c r="Y63" s="124">
        <f t="shared" si="26"/>
        <v>0</v>
      </c>
      <c r="Z63" s="124">
        <f t="shared" si="27"/>
        <v>1</v>
      </c>
      <c r="AA63" s="124">
        <f t="shared" si="4"/>
        <v>1.4404795789531362E-4</v>
      </c>
      <c r="AB63" s="124">
        <f t="shared" si="28"/>
        <v>0</v>
      </c>
      <c r="AC63" s="124">
        <f t="shared" si="29"/>
        <v>0</v>
      </c>
    </row>
    <row r="64" spans="2:29" s="114" customFormat="1">
      <c r="B64" s="115">
        <f t="shared" si="5"/>
        <v>-6.7600000000000051</v>
      </c>
      <c r="C64" s="124">
        <f t="shared" si="6"/>
        <v>1.7378008287493518E-7</v>
      </c>
      <c r="D64" s="124">
        <f t="shared" si="7"/>
        <v>3158971.4801238249</v>
      </c>
      <c r="E64" s="124">
        <f t="shared" si="8"/>
        <v>1</v>
      </c>
      <c r="F64" s="124">
        <f t="shared" si="9"/>
        <v>1</v>
      </c>
      <c r="G64" s="124">
        <f t="shared" si="10"/>
        <v>3129710.9873384121</v>
      </c>
      <c r="H64" s="124">
        <f t="shared" si="11"/>
        <v>1</v>
      </c>
      <c r="I64" s="124">
        <f t="shared" si="12"/>
        <v>1</v>
      </c>
      <c r="J64" s="124">
        <f t="shared" si="13"/>
        <v>1.6333483601045396E-5</v>
      </c>
      <c r="K64" s="124">
        <f t="shared" si="14"/>
        <v>0</v>
      </c>
      <c r="L64" s="124">
        <f t="shared" si="15"/>
        <v>0</v>
      </c>
      <c r="M64" s="120"/>
      <c r="N64" s="132">
        <f t="shared" si="3"/>
        <v>1.0918924634002436E-6</v>
      </c>
      <c r="O64" s="124">
        <f t="shared" si="16"/>
        <v>1974.3050282840541</v>
      </c>
      <c r="P64" s="124">
        <f t="shared" si="17"/>
        <v>1</v>
      </c>
      <c r="Q64" s="124">
        <f t="shared" si="18"/>
        <v>1</v>
      </c>
      <c r="R64" s="124">
        <f t="shared" si="19"/>
        <v>1901.1607812567568</v>
      </c>
      <c r="S64" s="124">
        <f t="shared" si="20"/>
        <v>279.10625142126014</v>
      </c>
      <c r="T64" s="124">
        <f t="shared" si="21"/>
        <v>1921.5391267864491</v>
      </c>
      <c r="U64" s="124">
        <f t="shared" si="22"/>
        <v>1</v>
      </c>
      <c r="V64" s="124">
        <f t="shared" si="23"/>
        <v>0</v>
      </c>
      <c r="W64" s="124">
        <f t="shared" si="24"/>
        <v>1</v>
      </c>
      <c r="X64" s="124">
        <f t="shared" si="25"/>
        <v>1</v>
      </c>
      <c r="Y64" s="124">
        <f t="shared" si="26"/>
        <v>0</v>
      </c>
      <c r="Z64" s="124">
        <f t="shared" si="27"/>
        <v>1</v>
      </c>
      <c r="AA64" s="124">
        <f t="shared" si="4"/>
        <v>1.3841568437558154E-4</v>
      </c>
      <c r="AB64" s="124">
        <f t="shared" si="28"/>
        <v>0</v>
      </c>
      <c r="AC64" s="124">
        <f t="shared" si="29"/>
        <v>0</v>
      </c>
    </row>
    <row r="65" spans="2:29" s="114" customFormat="1">
      <c r="B65" s="115">
        <f t="shared" si="5"/>
        <v>-6.7400000000000055</v>
      </c>
      <c r="C65" s="124">
        <f t="shared" si="6"/>
        <v>1.8197008586099586E-7</v>
      </c>
      <c r="D65" s="124">
        <f t="shared" si="7"/>
        <v>3153402.4928759756</v>
      </c>
      <c r="E65" s="124">
        <f t="shared" si="8"/>
        <v>1</v>
      </c>
      <c r="F65" s="124">
        <f t="shared" si="9"/>
        <v>1</v>
      </c>
      <c r="G65" s="124">
        <f t="shared" si="10"/>
        <v>3126786.3216021303</v>
      </c>
      <c r="H65" s="124">
        <f t="shared" si="11"/>
        <v>1</v>
      </c>
      <c r="I65" s="124">
        <f t="shared" si="12"/>
        <v>1</v>
      </c>
      <c r="J65" s="124">
        <f t="shared" si="13"/>
        <v>1.3551256863311643E-5</v>
      </c>
      <c r="K65" s="124">
        <f t="shared" si="14"/>
        <v>0</v>
      </c>
      <c r="L65" s="124">
        <f t="shared" si="15"/>
        <v>0</v>
      </c>
      <c r="M65" s="120"/>
      <c r="N65" s="132">
        <f t="shared" si="3"/>
        <v>1.143351769828017E-6</v>
      </c>
      <c r="O65" s="124">
        <f t="shared" si="16"/>
        <v>1982.5973524014128</v>
      </c>
      <c r="P65" s="124">
        <f t="shared" si="17"/>
        <v>1</v>
      </c>
      <c r="Q65" s="124">
        <f t="shared" si="18"/>
        <v>1</v>
      </c>
      <c r="R65" s="124">
        <f t="shared" si="19"/>
        <v>1909.8001898552202</v>
      </c>
      <c r="S65" s="124">
        <f t="shared" si="20"/>
        <v>282.05061302610011</v>
      </c>
      <c r="T65" s="124">
        <f t="shared" si="21"/>
        <v>1930.5152973958623</v>
      </c>
      <c r="U65" s="124">
        <f t="shared" si="22"/>
        <v>1</v>
      </c>
      <c r="V65" s="124">
        <f t="shared" si="23"/>
        <v>0</v>
      </c>
      <c r="W65" s="124">
        <f t="shared" si="24"/>
        <v>1</v>
      </c>
      <c r="X65" s="124">
        <f t="shared" si="25"/>
        <v>1</v>
      </c>
      <c r="Y65" s="124">
        <f t="shared" si="26"/>
        <v>0</v>
      </c>
      <c r="Z65" s="124">
        <f t="shared" si="27"/>
        <v>1</v>
      </c>
      <c r="AA65" s="124">
        <f t="shared" si="4"/>
        <v>1.3366306935867084E-4</v>
      </c>
      <c r="AB65" s="124">
        <f t="shared" si="28"/>
        <v>0</v>
      </c>
      <c r="AC65" s="124">
        <f t="shared" si="29"/>
        <v>0</v>
      </c>
    </row>
    <row r="66" spans="2:29" s="114" customFormat="1">
      <c r="B66" s="115">
        <f t="shared" si="5"/>
        <v>-6.720000000000006</v>
      </c>
      <c r="C66" s="124">
        <f t="shared" si="6"/>
        <v>1.905460717963217E-7</v>
      </c>
      <c r="D66" s="124">
        <f t="shared" si="7"/>
        <v>3147783.9642899469</v>
      </c>
      <c r="E66" s="124">
        <f t="shared" si="8"/>
        <v>1</v>
      </c>
      <c r="F66" s="124">
        <f t="shared" si="9"/>
        <v>1</v>
      </c>
      <c r="G66" s="124">
        <f t="shared" si="10"/>
        <v>3123745.7449631589</v>
      </c>
      <c r="H66" s="124">
        <f t="shared" si="11"/>
        <v>1</v>
      </c>
      <c r="I66" s="124">
        <f t="shared" si="12"/>
        <v>1</v>
      </c>
      <c r="J66" s="124">
        <f t="shared" si="13"/>
        <v>1.1083846086777039E-5</v>
      </c>
      <c r="K66" s="124">
        <f t="shared" si="14"/>
        <v>0</v>
      </c>
      <c r="L66" s="124">
        <f t="shared" si="15"/>
        <v>0</v>
      </c>
      <c r="M66" s="120"/>
      <c r="N66" s="132">
        <f t="shared" si="3"/>
        <v>1.1972362786514351E-6</v>
      </c>
      <c r="O66" s="124">
        <f t="shared" si="16"/>
        <v>1991.0081100140999</v>
      </c>
      <c r="P66" s="124">
        <f t="shared" si="17"/>
        <v>1</v>
      </c>
      <c r="Q66" s="124">
        <f t="shared" si="18"/>
        <v>1</v>
      </c>
      <c r="R66" s="124">
        <f t="shared" si="19"/>
        <v>1918.4085158645548</v>
      </c>
      <c r="S66" s="124">
        <f t="shared" si="20"/>
        <v>284.87133642778446</v>
      </c>
      <c r="T66" s="124">
        <f t="shared" si="21"/>
        <v>1939.44396981707</v>
      </c>
      <c r="U66" s="124">
        <f t="shared" si="22"/>
        <v>1</v>
      </c>
      <c r="V66" s="124">
        <f t="shared" si="23"/>
        <v>0</v>
      </c>
      <c r="W66" s="124">
        <f t="shared" si="24"/>
        <v>1</v>
      </c>
      <c r="X66" s="124">
        <f t="shared" si="25"/>
        <v>1</v>
      </c>
      <c r="Y66" s="124">
        <f t="shared" si="26"/>
        <v>0</v>
      </c>
      <c r="Z66" s="124">
        <f t="shared" si="27"/>
        <v>1</v>
      </c>
      <c r="AA66" s="124">
        <f t="shared" si="4"/>
        <v>1.298640667094897E-4</v>
      </c>
      <c r="AB66" s="124">
        <f t="shared" si="28"/>
        <v>0</v>
      </c>
      <c r="AC66" s="124">
        <f t="shared" si="29"/>
        <v>0</v>
      </c>
    </row>
    <row r="67" spans="2:29" s="114" customFormat="1">
      <c r="B67" s="115">
        <f t="shared" si="5"/>
        <v>-6.7000000000000064</v>
      </c>
      <c r="C67" s="124">
        <f t="shared" si="6"/>
        <v>1.9952623149688477E-7</v>
      </c>
      <c r="D67" s="124">
        <f t="shared" si="7"/>
        <v>3142115.5893333596</v>
      </c>
      <c r="E67" s="124">
        <f t="shared" si="8"/>
        <v>1</v>
      </c>
      <c r="F67" s="124">
        <f t="shared" si="9"/>
        <v>1</v>
      </c>
      <c r="G67" s="124">
        <f t="shared" si="10"/>
        <v>3120585.7075010617</v>
      </c>
      <c r="H67" s="124">
        <f t="shared" si="11"/>
        <v>1</v>
      </c>
      <c r="I67" s="124">
        <f t="shared" si="12"/>
        <v>1</v>
      </c>
      <c r="J67" s="124">
        <f t="shared" si="13"/>
        <v>8.9164490352223665E-6</v>
      </c>
      <c r="K67" s="124">
        <f t="shared" si="14"/>
        <v>0</v>
      </c>
      <c r="L67" s="124">
        <f t="shared" si="15"/>
        <v>0</v>
      </c>
      <c r="M67" s="120"/>
      <c r="N67" s="132">
        <f t="shared" si="3"/>
        <v>1.2536602861381391E-6</v>
      </c>
      <c r="O67" s="124">
        <f t="shared" si="16"/>
        <v>1999.539251523061</v>
      </c>
      <c r="P67" s="124">
        <f t="shared" si="17"/>
        <v>1</v>
      </c>
      <c r="Q67" s="124">
        <f t="shared" si="18"/>
        <v>1</v>
      </c>
      <c r="R67" s="124">
        <f t="shared" si="19"/>
        <v>1926.963148070392</v>
      </c>
      <c r="S67" s="124">
        <f t="shared" si="20"/>
        <v>287.58719151213324</v>
      </c>
      <c r="T67" s="124">
        <f t="shared" si="21"/>
        <v>1948.3052550211921</v>
      </c>
      <c r="U67" s="124">
        <f t="shared" si="22"/>
        <v>1</v>
      </c>
      <c r="V67" s="124">
        <f t="shared" si="23"/>
        <v>0</v>
      </c>
      <c r="W67" s="124">
        <f t="shared" si="24"/>
        <v>1</v>
      </c>
      <c r="X67" s="124">
        <f t="shared" si="25"/>
        <v>1</v>
      </c>
      <c r="Y67" s="124">
        <f t="shared" si="26"/>
        <v>0</v>
      </c>
      <c r="Z67" s="124">
        <f t="shared" si="27"/>
        <v>1</v>
      </c>
      <c r="AA67" s="124">
        <f t="shared" si="4"/>
        <v>1.2707899493228213E-4</v>
      </c>
      <c r="AB67" s="124">
        <f t="shared" si="28"/>
        <v>0</v>
      </c>
      <c r="AC67" s="124">
        <f t="shared" si="29"/>
        <v>0</v>
      </c>
    </row>
    <row r="68" spans="2:29" s="114" customFormat="1">
      <c r="B68" s="115">
        <f t="shared" si="5"/>
        <v>-6.6800000000000068</v>
      </c>
      <c r="C68" s="124">
        <f t="shared" si="6"/>
        <v>2.089296130854002E-7</v>
      </c>
      <c r="D68" s="124">
        <f t="shared" si="7"/>
        <v>3136397.064075043</v>
      </c>
      <c r="E68" s="124">
        <f t="shared" si="8"/>
        <v>1</v>
      </c>
      <c r="F68" s="124">
        <f t="shared" si="9"/>
        <v>1</v>
      </c>
      <c r="G68" s="124">
        <f t="shared" si="10"/>
        <v>3117302.6485751425</v>
      </c>
      <c r="H68" s="124">
        <f t="shared" si="11"/>
        <v>1</v>
      </c>
      <c r="I68" s="124">
        <f t="shared" si="12"/>
        <v>1</v>
      </c>
      <c r="J68" s="124">
        <f t="shared" si="13"/>
        <v>7.0334758923198785E-6</v>
      </c>
      <c r="K68" s="124">
        <f t="shared" si="14"/>
        <v>0</v>
      </c>
      <c r="L68" s="124">
        <f t="shared" si="15"/>
        <v>0</v>
      </c>
      <c r="M68" s="120"/>
      <c r="N68" s="132">
        <f t="shared" si="3"/>
        <v>1.3127434751729023E-6</v>
      </c>
      <c r="O68" s="124">
        <f t="shared" si="16"/>
        <v>2008.1927647927339</v>
      </c>
      <c r="P68" s="124">
        <f t="shared" si="17"/>
        <v>1</v>
      </c>
      <c r="Q68" s="124">
        <f t="shared" si="18"/>
        <v>1</v>
      </c>
      <c r="R68" s="124">
        <f t="shared" si="19"/>
        <v>1935.4439754508683</v>
      </c>
      <c r="S68" s="124">
        <f t="shared" si="20"/>
        <v>290.22017941304347</v>
      </c>
      <c r="T68" s="124">
        <f t="shared" si="21"/>
        <v>1957.0823014496862</v>
      </c>
      <c r="U68" s="124">
        <f t="shared" si="22"/>
        <v>1</v>
      </c>
      <c r="V68" s="124">
        <f t="shared" si="23"/>
        <v>0</v>
      </c>
      <c r="W68" s="124">
        <f t="shared" si="24"/>
        <v>1</v>
      </c>
      <c r="X68" s="124">
        <f t="shared" si="25"/>
        <v>1</v>
      </c>
      <c r="Y68" s="124">
        <f t="shared" si="26"/>
        <v>0</v>
      </c>
      <c r="Z68" s="124">
        <f t="shared" si="27"/>
        <v>1</v>
      </c>
      <c r="AA68" s="124">
        <f t="shared" si="4"/>
        <v>1.2535732539898557E-4</v>
      </c>
      <c r="AB68" s="124">
        <f t="shared" si="28"/>
        <v>0</v>
      </c>
      <c r="AC68" s="124">
        <f t="shared" si="29"/>
        <v>0</v>
      </c>
    </row>
    <row r="69" spans="2:29" s="114" customFormat="1">
      <c r="B69" s="115">
        <f t="shared" si="5"/>
        <v>-6.6600000000000072</v>
      </c>
      <c r="C69" s="124">
        <f t="shared" si="6"/>
        <v>2.1877616239495132E-7</v>
      </c>
      <c r="D69" s="124">
        <f t="shared" si="7"/>
        <v>3130628.0857675723</v>
      </c>
      <c r="E69" s="124">
        <f t="shared" si="8"/>
        <v>1</v>
      </c>
      <c r="F69" s="124">
        <f t="shared" si="9"/>
        <v>1</v>
      </c>
      <c r="G69" s="124">
        <f t="shared" si="10"/>
        <v>3113893.0076723462</v>
      </c>
      <c r="H69" s="124">
        <f t="shared" si="11"/>
        <v>1</v>
      </c>
      <c r="I69" s="124">
        <f t="shared" si="12"/>
        <v>1</v>
      </c>
      <c r="J69" s="124">
        <f t="shared" si="13"/>
        <v>5.4186101504355637E-6</v>
      </c>
      <c r="K69" s="124">
        <f t="shared" si="14"/>
        <v>0</v>
      </c>
      <c r="L69" s="124">
        <f t="shared" si="15"/>
        <v>0</v>
      </c>
      <c r="M69" s="120"/>
      <c r="N69" s="132">
        <f t="shared" si="3"/>
        <v>1.3746111691210932E-6</v>
      </c>
      <c r="O69" s="124">
        <f t="shared" si="16"/>
        <v>2016.9706759743917</v>
      </c>
      <c r="P69" s="124">
        <f t="shared" si="17"/>
        <v>1</v>
      </c>
      <c r="Q69" s="124">
        <f t="shared" si="18"/>
        <v>1</v>
      </c>
      <c r="R69" s="124">
        <f t="shared" si="19"/>
        <v>1943.8338160021731</v>
      </c>
      <c r="S69" s="124">
        <f t="shared" si="20"/>
        <v>292.79513393249346</v>
      </c>
      <c r="T69" s="124">
        <f t="shared" si="21"/>
        <v>1965.7616576503156</v>
      </c>
      <c r="U69" s="124">
        <f t="shared" si="22"/>
        <v>1</v>
      </c>
      <c r="V69" s="124">
        <f t="shared" si="23"/>
        <v>0</v>
      </c>
      <c r="W69" s="124">
        <f t="shared" si="24"/>
        <v>1</v>
      </c>
      <c r="X69" s="124">
        <f t="shared" si="25"/>
        <v>1</v>
      </c>
      <c r="Y69" s="124">
        <f t="shared" si="26"/>
        <v>0</v>
      </c>
      <c r="Z69" s="124">
        <f t="shared" si="27"/>
        <v>1</v>
      </c>
      <c r="AA69" s="124">
        <f t="shared" si="4"/>
        <v>1.2474040340599291E-4</v>
      </c>
      <c r="AB69" s="124">
        <f t="shared" si="28"/>
        <v>0</v>
      </c>
      <c r="AC69" s="124">
        <f t="shared" si="29"/>
        <v>0</v>
      </c>
    </row>
    <row r="70" spans="2:29" s="114" customFormat="1">
      <c r="B70" s="115">
        <f t="shared" si="5"/>
        <v>-6.6400000000000077</v>
      </c>
      <c r="C70" s="124">
        <f t="shared" si="6"/>
        <v>2.2908676527677311E-7</v>
      </c>
      <c r="D70" s="124">
        <f t="shared" si="7"/>
        <v>3124808.3529312508</v>
      </c>
      <c r="E70" s="124">
        <f t="shared" si="8"/>
        <v>1</v>
      </c>
      <c r="F70" s="124">
        <f t="shared" si="9"/>
        <v>1</v>
      </c>
      <c r="G70" s="124">
        <f t="shared" si="10"/>
        <v>3110353.2363788481</v>
      </c>
      <c r="H70" s="124">
        <f t="shared" si="11"/>
        <v>1</v>
      </c>
      <c r="I70" s="124">
        <f t="shared" si="12"/>
        <v>1</v>
      </c>
      <c r="J70" s="124">
        <f t="shared" si="13"/>
        <v>4.0548793764401781E-6</v>
      </c>
      <c r="K70" s="124">
        <f t="shared" si="14"/>
        <v>0</v>
      </c>
      <c r="L70" s="124">
        <f t="shared" si="15"/>
        <v>0</v>
      </c>
      <c r="M70" s="120"/>
      <c r="N70" s="132">
        <f t="shared" si="3"/>
        <v>1.4393945976563194E-6</v>
      </c>
      <c r="O70" s="124">
        <f t="shared" si="16"/>
        <v>2025.8750503495187</v>
      </c>
      <c r="P70" s="124">
        <f t="shared" si="17"/>
        <v>1</v>
      </c>
      <c r="Q70" s="124">
        <f t="shared" si="18"/>
        <v>1</v>
      </c>
      <c r="R70" s="124">
        <f t="shared" si="19"/>
        <v>1952.1187696324946</v>
      </c>
      <c r="S70" s="124">
        <f t="shared" si="20"/>
        <v>295.3392676382993</v>
      </c>
      <c r="T70" s="124">
        <f t="shared" si="21"/>
        <v>1974.3335517993437</v>
      </c>
      <c r="U70" s="124">
        <f t="shared" si="22"/>
        <v>1</v>
      </c>
      <c r="V70" s="124">
        <f t="shared" si="23"/>
        <v>0</v>
      </c>
      <c r="W70" s="124">
        <f t="shared" si="24"/>
        <v>1</v>
      </c>
      <c r="X70" s="124">
        <f t="shared" si="25"/>
        <v>1</v>
      </c>
      <c r="Y70" s="124">
        <f t="shared" si="26"/>
        <v>0</v>
      </c>
      <c r="Z70" s="124">
        <f t="shared" si="27"/>
        <v>1</v>
      </c>
      <c r="AA70" s="124">
        <f t="shared" si="4"/>
        <v>1.2526377269987007E-4</v>
      </c>
      <c r="AB70" s="124">
        <f t="shared" si="28"/>
        <v>0</v>
      </c>
      <c r="AC70" s="124">
        <f t="shared" si="29"/>
        <v>0</v>
      </c>
    </row>
    <row r="71" spans="2:29" s="114" customFormat="1">
      <c r="B71" s="115">
        <f t="shared" si="5"/>
        <v>-6.6200000000000081</v>
      </c>
      <c r="C71" s="124">
        <f t="shared" si="6"/>
        <v>2.3988329190194416E-7</v>
      </c>
      <c r="D71" s="124">
        <f t="shared" si="7"/>
        <v>3118937.5654398724</v>
      </c>
      <c r="E71" s="124">
        <f t="shared" si="8"/>
        <v>1</v>
      </c>
      <c r="F71" s="124">
        <f t="shared" si="9"/>
        <v>1</v>
      </c>
      <c r="G71" s="124">
        <f t="shared" si="10"/>
        <v>3106679.8115293276</v>
      </c>
      <c r="H71" s="124">
        <f t="shared" si="11"/>
        <v>1</v>
      </c>
      <c r="I71" s="124">
        <f t="shared" si="12"/>
        <v>1</v>
      </c>
      <c r="J71" s="124">
        <f t="shared" si="13"/>
        <v>2.9247360702712931E-6</v>
      </c>
      <c r="K71" s="124">
        <f t="shared" si="14"/>
        <v>0</v>
      </c>
      <c r="L71" s="124">
        <f t="shared" si="15"/>
        <v>0</v>
      </c>
      <c r="M71" s="120"/>
      <c r="N71" s="132">
        <f t="shared" si="3"/>
        <v>1.5072311751161675E-6</v>
      </c>
      <c r="O71" s="124">
        <f t="shared" si="16"/>
        <v>2034.9079931937372</v>
      </c>
      <c r="P71" s="124">
        <f t="shared" si="17"/>
        <v>1</v>
      </c>
      <c r="Q71" s="124">
        <f t="shared" si="18"/>
        <v>1</v>
      </c>
      <c r="R71" s="124">
        <f t="shared" si="19"/>
        <v>1960.2884891117521</v>
      </c>
      <c r="S71" s="124">
        <f t="shared" si="20"/>
        <v>297.88167926776271</v>
      </c>
      <c r="T71" s="124">
        <f t="shared" si="21"/>
        <v>1982.7920857688075</v>
      </c>
      <c r="U71" s="124">
        <f t="shared" si="22"/>
        <v>1</v>
      </c>
      <c r="V71" s="124">
        <f t="shared" si="23"/>
        <v>0</v>
      </c>
      <c r="W71" s="124">
        <f t="shared" si="24"/>
        <v>1</v>
      </c>
      <c r="X71" s="124">
        <f t="shared" si="25"/>
        <v>1</v>
      </c>
      <c r="Y71" s="124">
        <f t="shared" si="26"/>
        <v>0</v>
      </c>
      <c r="Z71" s="124">
        <f t="shared" si="27"/>
        <v>1</v>
      </c>
      <c r="AA71" s="124">
        <f t="shared" si="4"/>
        <v>1.2695883104171693E-4</v>
      </c>
      <c r="AB71" s="124">
        <f t="shared" si="28"/>
        <v>0</v>
      </c>
      <c r="AC71" s="124">
        <f t="shared" si="29"/>
        <v>0</v>
      </c>
    </row>
    <row r="72" spans="2:29" s="114" customFormat="1">
      <c r="B72" s="115">
        <f t="shared" si="5"/>
        <v>-6.6000000000000085</v>
      </c>
      <c r="C72" s="124">
        <f t="shared" si="6"/>
        <v>2.5118864315095288E-7</v>
      </c>
      <c r="D72" s="124">
        <f t="shared" si="7"/>
        <v>3113015.4246080588</v>
      </c>
      <c r="E72" s="124">
        <f t="shared" si="8"/>
        <v>1</v>
      </c>
      <c r="F72" s="124">
        <f t="shared" si="9"/>
        <v>1</v>
      </c>
      <c r="G72" s="124">
        <f t="shared" si="10"/>
        <v>3102869.2495843591</v>
      </c>
      <c r="H72" s="124">
        <f t="shared" si="11"/>
        <v>1</v>
      </c>
      <c r="I72" s="124">
        <f t="shared" si="12"/>
        <v>1</v>
      </c>
      <c r="J72" s="124">
        <f t="shared" si="13"/>
        <v>2.0101487136739066E-6</v>
      </c>
      <c r="K72" s="124">
        <f t="shared" si="14"/>
        <v>0</v>
      </c>
      <c r="L72" s="124">
        <f t="shared" si="15"/>
        <v>0</v>
      </c>
      <c r="M72" s="120"/>
      <c r="N72" s="132">
        <f t="shared" si="3"/>
        <v>1.5782647919764433E-6</v>
      </c>
      <c r="O72" s="124">
        <f t="shared" si="16"/>
        <v>2044.0716506618558</v>
      </c>
      <c r="P72" s="124">
        <f t="shared" si="17"/>
        <v>1</v>
      </c>
      <c r="Q72" s="124">
        <f t="shared" si="18"/>
        <v>1</v>
      </c>
      <c r="R72" s="124">
        <f t="shared" si="19"/>
        <v>1968.3363670415902</v>
      </c>
      <c r="S72" s="124">
        <f t="shared" si="20"/>
        <v>300.4528391649647</v>
      </c>
      <c r="T72" s="124">
        <f t="shared" si="21"/>
        <v>1991.1353450684296</v>
      </c>
      <c r="U72" s="124">
        <f t="shared" si="22"/>
        <v>1</v>
      </c>
      <c r="V72" s="124">
        <f t="shared" si="23"/>
        <v>0</v>
      </c>
      <c r="W72" s="124">
        <f t="shared" si="24"/>
        <v>1</v>
      </c>
      <c r="X72" s="124">
        <f t="shared" si="25"/>
        <v>1</v>
      </c>
      <c r="Y72" s="124">
        <f t="shared" si="26"/>
        <v>0</v>
      </c>
      <c r="Z72" s="124">
        <f t="shared" si="27"/>
        <v>1</v>
      </c>
      <c r="AA72" s="124">
        <f t="shared" si="4"/>
        <v>1.298536217291227E-4</v>
      </c>
      <c r="AB72" s="124">
        <f t="shared" si="28"/>
        <v>0</v>
      </c>
      <c r="AC72" s="124">
        <f t="shared" si="29"/>
        <v>0</v>
      </c>
    </row>
    <row r="73" spans="2:29" s="114" customFormat="1">
      <c r="B73" s="115">
        <f t="shared" si="5"/>
        <v>-6.580000000000009</v>
      </c>
      <c r="C73" s="124">
        <f t="shared" si="6"/>
        <v>2.6302679918953233E-7</v>
      </c>
      <c r="D73" s="124">
        <f t="shared" si="7"/>
        <v>3107041.6332803722</v>
      </c>
      <c r="E73" s="124">
        <f t="shared" si="8"/>
        <v>1</v>
      </c>
      <c r="F73" s="124">
        <f t="shared" si="9"/>
        <v>1</v>
      </c>
      <c r="G73" s="124">
        <f t="shared" si="10"/>
        <v>3098918.1222815723</v>
      </c>
      <c r="H73" s="124">
        <f t="shared" si="11"/>
        <v>1</v>
      </c>
      <c r="I73" s="124">
        <f t="shared" si="12"/>
        <v>1</v>
      </c>
      <c r="J73" s="124">
        <f t="shared" si="13"/>
        <v>1.2927029675232271E-6</v>
      </c>
      <c r="K73" s="124">
        <f t="shared" si="14"/>
        <v>0</v>
      </c>
      <c r="L73" s="124">
        <f t="shared" si="15"/>
        <v>0</v>
      </c>
      <c r="M73" s="120"/>
      <c r="N73" s="132">
        <f t="shared" si="3"/>
        <v>1.652646120062145E-6</v>
      </c>
      <c r="O73" s="124">
        <f t="shared" si="16"/>
        <v>2053.368210694528</v>
      </c>
      <c r="P73" s="124">
        <f t="shared" si="17"/>
        <v>1</v>
      </c>
      <c r="Q73" s="124">
        <f t="shared" si="18"/>
        <v>1</v>
      </c>
      <c r="R73" s="124">
        <f t="shared" si="19"/>
        <v>1976.2596404905273</v>
      </c>
      <c r="S73" s="124">
        <f t="shared" si="20"/>
        <v>303.08406859873566</v>
      </c>
      <c r="T73" s="124">
        <f t="shared" si="21"/>
        <v>1999.3654291474861</v>
      </c>
      <c r="U73" s="124">
        <f t="shared" si="22"/>
        <v>1</v>
      </c>
      <c r="V73" s="124">
        <f t="shared" si="23"/>
        <v>0</v>
      </c>
      <c r="W73" s="124">
        <f t="shared" si="24"/>
        <v>1</v>
      </c>
      <c r="X73" s="124">
        <f t="shared" si="25"/>
        <v>1</v>
      </c>
      <c r="Y73" s="124">
        <f t="shared" si="26"/>
        <v>0</v>
      </c>
      <c r="Z73" s="124">
        <f t="shared" si="27"/>
        <v>1</v>
      </c>
      <c r="AA73" s="124">
        <f t="shared" si="4"/>
        <v>1.3397265458903608E-4</v>
      </c>
      <c r="AB73" s="124">
        <f t="shared" si="28"/>
        <v>0</v>
      </c>
      <c r="AC73" s="124">
        <f t="shared" si="29"/>
        <v>0</v>
      </c>
    </row>
    <row r="74" spans="2:29" s="114" customFormat="1">
      <c r="B74" s="115">
        <f t="shared" si="5"/>
        <v>-6.5600000000000094</v>
      </c>
      <c r="C74" s="124">
        <f t="shared" si="6"/>
        <v>2.7542287033381039E-7</v>
      </c>
      <c r="D74" s="124">
        <f t="shared" si="7"/>
        <v>3101015.8959219581</v>
      </c>
      <c r="E74" s="124">
        <f t="shared" si="8"/>
        <v>1</v>
      </c>
      <c r="F74" s="124">
        <f t="shared" si="9"/>
        <v>1</v>
      </c>
      <c r="G74" s="124">
        <f t="shared" si="10"/>
        <v>3094823.073599969</v>
      </c>
      <c r="H74" s="124">
        <f t="shared" si="11"/>
        <v>1</v>
      </c>
      <c r="I74" s="124">
        <f t="shared" si="12"/>
        <v>1</v>
      </c>
      <c r="J74" s="124">
        <f t="shared" si="13"/>
        <v>7.5371281452183432E-7</v>
      </c>
      <c r="K74" s="124">
        <f t="shared" si="14"/>
        <v>0</v>
      </c>
      <c r="L74" s="124">
        <f t="shared" si="15"/>
        <v>0</v>
      </c>
      <c r="M74" s="120"/>
      <c r="N74" s="132">
        <f t="shared" si="3"/>
        <v>1.7305329321426258E-6</v>
      </c>
      <c r="O74" s="124">
        <f t="shared" si="16"/>
        <v>2062.7999039471752</v>
      </c>
      <c r="P74" s="124">
        <f t="shared" si="17"/>
        <v>1</v>
      </c>
      <c r="Q74" s="124">
        <f t="shared" si="18"/>
        <v>1</v>
      </c>
      <c r="R74" s="124">
        <f t="shared" si="19"/>
        <v>1984.0594180881958</v>
      </c>
      <c r="S74" s="124">
        <f t="shared" si="20"/>
        <v>305.80702711344395</v>
      </c>
      <c r="T74" s="124">
        <f t="shared" si="21"/>
        <v>2007.4884090167077</v>
      </c>
      <c r="U74" s="124">
        <f t="shared" si="22"/>
        <v>1</v>
      </c>
      <c r="V74" s="124">
        <f t="shared" si="23"/>
        <v>0</v>
      </c>
      <c r="W74" s="124">
        <f t="shared" si="24"/>
        <v>1</v>
      </c>
      <c r="X74" s="124">
        <f t="shared" si="25"/>
        <v>1</v>
      </c>
      <c r="Y74" s="124">
        <f t="shared" si="26"/>
        <v>0</v>
      </c>
      <c r="Z74" s="124">
        <f t="shared" si="27"/>
        <v>1</v>
      </c>
      <c r="AA74" s="124">
        <f t="shared" si="4"/>
        <v>1.3933574077369909E-4</v>
      </c>
      <c r="AB74" s="124">
        <f t="shared" si="28"/>
        <v>0</v>
      </c>
      <c r="AC74" s="124">
        <f t="shared" si="29"/>
        <v>0</v>
      </c>
    </row>
    <row r="75" spans="2:29" s="114" customFormat="1">
      <c r="B75" s="115">
        <f t="shared" si="5"/>
        <v>-6.5400000000000098</v>
      </c>
      <c r="C75" s="124">
        <f t="shared" si="6"/>
        <v>2.8840315031265353E-7</v>
      </c>
      <c r="D75" s="124">
        <f t="shared" si="7"/>
        <v>3094937.9187110122</v>
      </c>
      <c r="E75" s="124">
        <f t="shared" si="8"/>
        <v>1</v>
      </c>
      <c r="F75" s="124">
        <f t="shared" si="9"/>
        <v>1</v>
      </c>
      <c r="G75" s="124">
        <f t="shared" si="10"/>
        <v>3090580.8380689267</v>
      </c>
      <c r="H75" s="124">
        <f t="shared" si="11"/>
        <v>1</v>
      </c>
      <c r="I75" s="124">
        <f t="shared" si="12"/>
        <v>1</v>
      </c>
      <c r="J75" s="124">
        <f t="shared" si="13"/>
        <v>3.7434125959441232E-7</v>
      </c>
      <c r="K75" s="124">
        <f t="shared" si="14"/>
        <v>0</v>
      </c>
      <c r="L75" s="124">
        <f t="shared" si="15"/>
        <v>0</v>
      </c>
      <c r="M75" s="120"/>
      <c r="N75" s="132">
        <f t="shared" si="3"/>
        <v>1.8120904365887703E-6</v>
      </c>
      <c r="O75" s="124">
        <f t="shared" si="16"/>
        <v>2072.369004741668</v>
      </c>
      <c r="P75" s="124">
        <f t="shared" si="17"/>
        <v>1</v>
      </c>
      <c r="Q75" s="124">
        <f t="shared" si="18"/>
        <v>1</v>
      </c>
      <c r="R75" s="124">
        <f t="shared" si="19"/>
        <v>1991.7406368269742</v>
      </c>
      <c r="S75" s="124">
        <f t="shared" si="20"/>
        <v>308.65321977099057</v>
      </c>
      <c r="T75" s="124">
        <f t="shared" si="21"/>
        <v>2015.5142208535567</v>
      </c>
      <c r="U75" s="124">
        <f t="shared" si="22"/>
        <v>1</v>
      </c>
      <c r="V75" s="124">
        <f t="shared" si="23"/>
        <v>0</v>
      </c>
      <c r="W75" s="124">
        <f t="shared" si="24"/>
        <v>1</v>
      </c>
      <c r="X75" s="124">
        <f t="shared" si="25"/>
        <v>1</v>
      </c>
      <c r="Y75" s="124">
        <f t="shared" si="26"/>
        <v>0</v>
      </c>
      <c r="Z75" s="124">
        <f t="shared" si="27"/>
        <v>1</v>
      </c>
      <c r="AA75" s="124">
        <f t="shared" si="4"/>
        <v>1.4595591090082866E-4</v>
      </c>
      <c r="AB75" s="124">
        <f t="shared" si="28"/>
        <v>0</v>
      </c>
      <c r="AC75" s="124">
        <f t="shared" si="29"/>
        <v>0</v>
      </c>
    </row>
    <row r="76" spans="2:29" s="114" customFormat="1">
      <c r="B76" s="115">
        <f t="shared" si="5"/>
        <v>-6.5200000000000102</v>
      </c>
      <c r="C76" s="124">
        <f t="shared" si="6"/>
        <v>3.0199517204019414E-7</v>
      </c>
      <c r="D76" s="124">
        <f t="shared" si="7"/>
        <v>3088807.409632911</v>
      </c>
      <c r="E76" s="124">
        <f t="shared" si="8"/>
        <v>1</v>
      </c>
      <c r="F76" s="124">
        <f t="shared" si="9"/>
        <v>1</v>
      </c>
      <c r="G76" s="124">
        <f t="shared" si="10"/>
        <v>3086188.2604437536</v>
      </c>
      <c r="H76" s="124">
        <f t="shared" si="11"/>
        <v>1</v>
      </c>
      <c r="I76" s="124">
        <f t="shared" si="12"/>
        <v>1</v>
      </c>
      <c r="J76" s="124">
        <f t="shared" si="13"/>
        <v>1.3572999250168015E-7</v>
      </c>
      <c r="K76" s="124">
        <f t="shared" si="14"/>
        <v>0</v>
      </c>
      <c r="L76" s="124">
        <f t="shared" si="15"/>
        <v>0</v>
      </c>
      <c r="M76" s="120"/>
      <c r="N76" s="132">
        <f t="shared" si="3"/>
        <v>1.8974916278021191E-6</v>
      </c>
      <c r="O76" s="124">
        <f t="shared" si="16"/>
        <v>2082.0778320414483</v>
      </c>
      <c r="P76" s="124">
        <f t="shared" si="17"/>
        <v>1</v>
      </c>
      <c r="Q76" s="124">
        <f t="shared" si="18"/>
        <v>1</v>
      </c>
      <c r="R76" s="124">
        <f t="shared" si="19"/>
        <v>1999.3119574924183</v>
      </c>
      <c r="S76" s="124">
        <f t="shared" si="20"/>
        <v>311.6535334870083</v>
      </c>
      <c r="T76" s="124">
        <f t="shared" si="21"/>
        <v>2023.4565051681004</v>
      </c>
      <c r="U76" s="124">
        <f t="shared" si="22"/>
        <v>1</v>
      </c>
      <c r="V76" s="124">
        <f t="shared" si="23"/>
        <v>0</v>
      </c>
      <c r="W76" s="124">
        <f t="shared" si="24"/>
        <v>1</v>
      </c>
      <c r="X76" s="124">
        <f t="shared" si="25"/>
        <v>1</v>
      </c>
      <c r="Y76" s="124">
        <f t="shared" si="26"/>
        <v>0</v>
      </c>
      <c r="Z76" s="124">
        <f t="shared" si="27"/>
        <v>1</v>
      </c>
      <c r="AA76" s="124">
        <f t="shared" si="4"/>
        <v>1.5383655974584938E-4</v>
      </c>
      <c r="AB76" s="124">
        <f t="shared" si="28"/>
        <v>0</v>
      </c>
      <c r="AC76" s="124">
        <f t="shared" si="29"/>
        <v>0</v>
      </c>
    </row>
    <row r="77" spans="2:29" s="114" customFormat="1">
      <c r="B77" s="115">
        <f t="shared" si="5"/>
        <v>-6.5000000000000107</v>
      </c>
      <c r="C77" s="124">
        <f t="shared" si="6"/>
        <v>3.162277660168295E-7</v>
      </c>
      <c r="D77" s="124">
        <f t="shared" si="7"/>
        <v>3082624.0785759748</v>
      </c>
      <c r="E77" s="124">
        <f t="shared" si="8"/>
        <v>1</v>
      </c>
      <c r="F77" s="124">
        <f t="shared" si="9"/>
        <v>1</v>
      </c>
      <c r="G77" s="124">
        <f t="shared" si="10"/>
        <v>3081642.31675795</v>
      </c>
      <c r="H77" s="124">
        <f t="shared" si="11"/>
        <v>1</v>
      </c>
      <c r="I77" s="124">
        <f t="shared" si="12"/>
        <v>1</v>
      </c>
      <c r="J77" s="124">
        <f t="shared" si="13"/>
        <v>1.9137186929324949E-8</v>
      </c>
      <c r="K77" s="124">
        <f t="shared" si="14"/>
        <v>0</v>
      </c>
      <c r="L77" s="124">
        <f t="shared" si="15"/>
        <v>0</v>
      </c>
      <c r="M77" s="120"/>
      <c r="N77" s="132">
        <f t="shared" si="3"/>
        <v>1.9869176531591672E-6</v>
      </c>
      <c r="O77" s="124">
        <f t="shared" si="16"/>
        <v>2091.9287504506337</v>
      </c>
      <c r="P77" s="124">
        <f t="shared" si="17"/>
        <v>1</v>
      </c>
      <c r="Q77" s="124">
        <f t="shared" si="18"/>
        <v>1</v>
      </c>
      <c r="R77" s="124">
        <f t="shared" si="19"/>
        <v>2006.7856085228352</v>
      </c>
      <c r="S77" s="124">
        <f t="shared" si="20"/>
        <v>314.83780888112182</v>
      </c>
      <c r="T77" s="124">
        <f t="shared" si="21"/>
        <v>2031.3324012764213</v>
      </c>
      <c r="U77" s="124">
        <f t="shared" si="22"/>
        <v>1</v>
      </c>
      <c r="V77" s="124">
        <f t="shared" si="23"/>
        <v>0</v>
      </c>
      <c r="W77" s="124">
        <f t="shared" si="24"/>
        <v>1</v>
      </c>
      <c r="X77" s="124">
        <f t="shared" si="25"/>
        <v>1</v>
      </c>
      <c r="Y77" s="124">
        <f t="shared" si="26"/>
        <v>0</v>
      </c>
      <c r="Z77" s="124">
        <f t="shared" si="27"/>
        <v>1</v>
      </c>
      <c r="AA77" s="124">
        <f t="shared" si="4"/>
        <v>1.629680190400305E-4</v>
      </c>
      <c r="AB77" s="124">
        <f t="shared" si="28"/>
        <v>0</v>
      </c>
      <c r="AC77" s="124">
        <f t="shared" si="29"/>
        <v>0</v>
      </c>
    </row>
    <row r="78" spans="2:29" s="114" customFormat="1">
      <c r="B78" s="115">
        <f t="shared" si="5"/>
        <v>-6.4800000000000111</v>
      </c>
      <c r="C78" s="124">
        <f t="shared" si="6"/>
        <v>3.3113112148258222E-7</v>
      </c>
      <c r="D78" s="124">
        <f t="shared" si="7"/>
        <v>3076387.6374291074</v>
      </c>
      <c r="E78" s="124">
        <f t="shared" si="8"/>
        <v>1</v>
      </c>
      <c r="F78" s="124">
        <f t="shared" si="9"/>
        <v>1</v>
      </c>
      <c r="G78" s="124">
        <f t="shared" si="10"/>
        <v>3076940.1367484145</v>
      </c>
      <c r="H78" s="124">
        <f t="shared" si="11"/>
        <v>1</v>
      </c>
      <c r="I78" s="124">
        <f t="shared" si="12"/>
        <v>1</v>
      </c>
      <c r="J78" s="124">
        <f t="shared" si="13"/>
        <v>6.0823584627462589E-9</v>
      </c>
      <c r="K78" s="124">
        <f t="shared" si="14"/>
        <v>0</v>
      </c>
      <c r="L78" s="124">
        <f t="shared" si="15"/>
        <v>0</v>
      </c>
      <c r="M78" s="120"/>
      <c r="N78" s="132">
        <f t="shared" si="3"/>
        <v>2.0805581972492593E-6</v>
      </c>
      <c r="O78" s="124">
        <f t="shared" si="16"/>
        <v>2101.9241712378089</v>
      </c>
      <c r="P78" s="124">
        <f t="shared" si="17"/>
        <v>1</v>
      </c>
      <c r="Q78" s="124">
        <f t="shared" si="18"/>
        <v>1</v>
      </c>
      <c r="R78" s="124">
        <f t="shared" si="19"/>
        <v>2014.1771882331011</v>
      </c>
      <c r="S78" s="124">
        <f t="shared" si="20"/>
        <v>318.23445136038663</v>
      </c>
      <c r="T78" s="124">
        <f t="shared" si="21"/>
        <v>2039.1623063481845</v>
      </c>
      <c r="U78" s="124">
        <f t="shared" si="22"/>
        <v>1</v>
      </c>
      <c r="V78" s="124">
        <f t="shared" si="23"/>
        <v>0</v>
      </c>
      <c r="W78" s="124">
        <f t="shared" si="24"/>
        <v>1</v>
      </c>
      <c r="X78" s="124">
        <f t="shared" si="25"/>
        <v>1</v>
      </c>
      <c r="Y78" s="124">
        <f t="shared" si="26"/>
        <v>0</v>
      </c>
      <c r="Z78" s="124">
        <f t="shared" si="27"/>
        <v>1</v>
      </c>
      <c r="AA78" s="124">
        <f t="shared" si="4"/>
        <v>1.7332380128560543E-4</v>
      </c>
      <c r="AB78" s="124">
        <f t="shared" si="28"/>
        <v>0</v>
      </c>
      <c r="AC78" s="124">
        <f t="shared" si="29"/>
        <v>0</v>
      </c>
    </row>
    <row r="79" spans="2:29" s="114" customFormat="1">
      <c r="B79" s="115">
        <f t="shared" si="5"/>
        <v>-6.4600000000000115</v>
      </c>
      <c r="C79" s="124">
        <f t="shared" si="6"/>
        <v>3.4673685045252222E-7</v>
      </c>
      <c r="D79" s="124">
        <f t="shared" si="7"/>
        <v>3070097.8001809721</v>
      </c>
      <c r="E79" s="124">
        <f t="shared" si="8"/>
        <v>1</v>
      </c>
      <c r="F79" s="124">
        <f t="shared" si="9"/>
        <v>1</v>
      </c>
      <c r="G79" s="124">
        <f t="shared" si="10"/>
        <v>3072079.0276334998</v>
      </c>
      <c r="H79" s="124">
        <f t="shared" si="11"/>
        <v>1</v>
      </c>
      <c r="I79" s="124">
        <f t="shared" si="12"/>
        <v>1</v>
      </c>
      <c r="J79" s="124">
        <f t="shared" si="13"/>
        <v>7.8496932860030889E-8</v>
      </c>
      <c r="K79" s="124">
        <f t="shared" si="14"/>
        <v>0</v>
      </c>
      <c r="L79" s="124">
        <f t="shared" si="15"/>
        <v>0</v>
      </c>
      <c r="M79" s="120"/>
      <c r="N79" s="132">
        <f t="shared" si="3"/>
        <v>2.178611884221013E-6</v>
      </c>
      <c r="O79" s="124">
        <f t="shared" si="16"/>
        <v>2112.0665533850852</v>
      </c>
      <c r="P79" s="124">
        <f t="shared" si="17"/>
        <v>1</v>
      </c>
      <c r="Q79" s="124">
        <f t="shared" si="18"/>
        <v>1</v>
      </c>
      <c r="R79" s="124">
        <f t="shared" si="19"/>
        <v>2021.5054348255987</v>
      </c>
      <c r="S79" s="124">
        <f t="shared" si="20"/>
        <v>321.87008270909666</v>
      </c>
      <c r="T79" s="124">
        <f t="shared" si="21"/>
        <v>2046.9696072908835</v>
      </c>
      <c r="U79" s="124">
        <f t="shared" si="22"/>
        <v>1</v>
      </c>
      <c r="V79" s="124">
        <f t="shared" si="23"/>
        <v>0</v>
      </c>
      <c r="W79" s="124">
        <f t="shared" si="24"/>
        <v>1</v>
      </c>
      <c r="X79" s="124">
        <f t="shared" si="25"/>
        <v>1</v>
      </c>
      <c r="Y79" s="124">
        <f t="shared" si="26"/>
        <v>0</v>
      </c>
      <c r="Z79" s="124">
        <f t="shared" si="27"/>
        <v>1</v>
      </c>
      <c r="AA79" s="124">
        <f t="shared" si="4"/>
        <v>1.8485678194028648E-4</v>
      </c>
      <c r="AB79" s="124">
        <f t="shared" si="28"/>
        <v>0</v>
      </c>
      <c r="AC79" s="124">
        <f t="shared" si="29"/>
        <v>0</v>
      </c>
    </row>
    <row r="80" spans="2:29" s="114" customFormat="1">
      <c r="B80" s="115">
        <f t="shared" si="5"/>
        <v>-6.4400000000000119</v>
      </c>
      <c r="C80" s="124">
        <f t="shared" si="6"/>
        <v>3.6307805477009083E-7</v>
      </c>
      <c r="D80" s="124">
        <f t="shared" si="7"/>
        <v>3063754.2830210817</v>
      </c>
      <c r="E80" s="124">
        <f t="shared" si="8"/>
        <v>1</v>
      </c>
      <c r="F80" s="124">
        <f t="shared" si="9"/>
        <v>1</v>
      </c>
      <c r="G80" s="124">
        <f t="shared" si="10"/>
        <v>3067056.4992047879</v>
      </c>
      <c r="H80" s="124">
        <f t="shared" si="11"/>
        <v>1</v>
      </c>
      <c r="I80" s="124">
        <f t="shared" si="12"/>
        <v>1</v>
      </c>
      <c r="J80" s="124">
        <f t="shared" si="13"/>
        <v>2.1887888911789908E-7</v>
      </c>
      <c r="K80" s="124">
        <f t="shared" si="14"/>
        <v>0</v>
      </c>
      <c r="L80" s="124">
        <f t="shared" si="15"/>
        <v>0</v>
      </c>
      <c r="M80" s="120"/>
      <c r="N80" s="132">
        <f t="shared" si="3"/>
        <v>2.2812866990907797E-6</v>
      </c>
      <c r="O80" s="124">
        <f t="shared" si="16"/>
        <v>2122.3584046631677</v>
      </c>
      <c r="P80" s="124">
        <f t="shared" si="17"/>
        <v>1</v>
      </c>
      <c r="Q80" s="124">
        <f t="shared" si="18"/>
        <v>1</v>
      </c>
      <c r="R80" s="124">
        <f t="shared" si="19"/>
        <v>2028.7919725798952</v>
      </c>
      <c r="S80" s="124">
        <f t="shared" si="20"/>
        <v>325.76923239455368</v>
      </c>
      <c r="T80" s="124">
        <f t="shared" si="21"/>
        <v>2054.780392348428</v>
      </c>
      <c r="U80" s="124">
        <f t="shared" si="22"/>
        <v>1</v>
      </c>
      <c r="V80" s="124">
        <f t="shared" si="23"/>
        <v>0</v>
      </c>
      <c r="W80" s="124">
        <f t="shared" si="24"/>
        <v>1</v>
      </c>
      <c r="X80" s="124">
        <f t="shared" si="25"/>
        <v>1</v>
      </c>
      <c r="Y80" s="124">
        <f t="shared" si="26"/>
        <v>0</v>
      </c>
      <c r="Z80" s="124">
        <f t="shared" si="27"/>
        <v>1</v>
      </c>
      <c r="AA80" s="124">
        <f t="shared" si="4"/>
        <v>1.9749559617756045E-4</v>
      </c>
      <c r="AB80" s="124">
        <f t="shared" si="28"/>
        <v>0</v>
      </c>
      <c r="AC80" s="124">
        <f t="shared" si="29"/>
        <v>0</v>
      </c>
    </row>
    <row r="81" spans="2:29" s="114" customFormat="1">
      <c r="B81" s="115">
        <f t="shared" si="5"/>
        <v>-6.4200000000000124</v>
      </c>
      <c r="C81" s="124">
        <f t="shared" si="6"/>
        <v>3.8018939632055009E-7</v>
      </c>
      <c r="D81" s="124">
        <f t="shared" si="7"/>
        <v>3057356.8044425035</v>
      </c>
      <c r="E81" s="124">
        <f t="shared" si="8"/>
        <v>1</v>
      </c>
      <c r="F81" s="124">
        <f t="shared" si="9"/>
        <v>1</v>
      </c>
      <c r="G81" s="124">
        <f t="shared" si="10"/>
        <v>3061870.2901716745</v>
      </c>
      <c r="H81" s="124">
        <f t="shared" si="11"/>
        <v>1</v>
      </c>
      <c r="I81" s="124">
        <f t="shared" si="12"/>
        <v>1</v>
      </c>
      <c r="J81" s="124">
        <f t="shared" si="13"/>
        <v>4.104495434771046E-7</v>
      </c>
      <c r="K81" s="124">
        <f t="shared" si="14"/>
        <v>0</v>
      </c>
      <c r="L81" s="124">
        <f t="shared" si="15"/>
        <v>0</v>
      </c>
      <c r="M81" s="120"/>
      <c r="N81" s="132">
        <f t="shared" si="3"/>
        <v>2.388800428906757E-6</v>
      </c>
      <c r="O81" s="124">
        <f t="shared" si="16"/>
        <v>2132.8022827330387</v>
      </c>
      <c r="P81" s="124">
        <f t="shared" si="17"/>
        <v>1</v>
      </c>
      <c r="Q81" s="124">
        <f t="shared" si="18"/>
        <v>1</v>
      </c>
      <c r="R81" s="124">
        <f t="shared" si="19"/>
        <v>2036.0610412045828</v>
      </c>
      <c r="S81" s="124">
        <f t="shared" si="20"/>
        <v>329.95406619873404</v>
      </c>
      <c r="T81" s="124">
        <f t="shared" si="21"/>
        <v>2062.6231476719563</v>
      </c>
      <c r="U81" s="124">
        <f t="shared" si="22"/>
        <v>1</v>
      </c>
      <c r="V81" s="124">
        <f t="shared" si="23"/>
        <v>0</v>
      </c>
      <c r="W81" s="124">
        <f t="shared" si="24"/>
        <v>1</v>
      </c>
      <c r="X81" s="124">
        <f t="shared" si="25"/>
        <v>1</v>
      </c>
      <c r="Y81" s="124">
        <f t="shared" si="26"/>
        <v>0</v>
      </c>
      <c r="Z81" s="124">
        <f t="shared" si="27"/>
        <v>1</v>
      </c>
      <c r="AA81" s="124">
        <f t="shared" si="4"/>
        <v>2.1114152171209006E-4</v>
      </c>
      <c r="AB81" s="124">
        <f t="shared" si="28"/>
        <v>0</v>
      </c>
      <c r="AC81" s="124">
        <f t="shared" si="29"/>
        <v>0</v>
      </c>
    </row>
    <row r="82" spans="2:29" s="114" customFormat="1">
      <c r="B82" s="115">
        <f t="shared" si="5"/>
        <v>-6.4000000000000128</v>
      </c>
      <c r="C82" s="124">
        <f t="shared" si="6"/>
        <v>3.981071705534848E-7</v>
      </c>
      <c r="D82" s="124">
        <f t="shared" si="7"/>
        <v>3050905.0853463793</v>
      </c>
      <c r="E82" s="124">
        <f t="shared" si="8"/>
        <v>1</v>
      </c>
      <c r="F82" s="124">
        <f t="shared" si="9"/>
        <v>1</v>
      </c>
      <c r="G82" s="124">
        <f t="shared" si="10"/>
        <v>3056518.3956729728</v>
      </c>
      <c r="H82" s="124">
        <f t="shared" si="11"/>
        <v>1</v>
      </c>
      <c r="I82" s="124">
        <f t="shared" si="12"/>
        <v>1</v>
      </c>
      <c r="J82" s="124">
        <f t="shared" si="13"/>
        <v>6.3731023689493805E-7</v>
      </c>
      <c r="K82" s="124">
        <f t="shared" si="14"/>
        <v>0</v>
      </c>
      <c r="L82" s="124">
        <f t="shared" si="15"/>
        <v>0</v>
      </c>
      <c r="M82" s="120"/>
      <c r="N82" s="132">
        <f t="shared" si="3"/>
        <v>2.5013811247044934E-6</v>
      </c>
      <c r="O82" s="124">
        <f t="shared" si="16"/>
        <v>2143.4007962750507</v>
      </c>
      <c r="P82" s="124">
        <f t="shared" si="17"/>
        <v>1</v>
      </c>
      <c r="Q82" s="124">
        <f t="shared" si="18"/>
        <v>1</v>
      </c>
      <c r="R82" s="124">
        <f t="shared" si="19"/>
        <v>2043.3392136925675</v>
      </c>
      <c r="S82" s="124">
        <f t="shared" si="20"/>
        <v>334.44414868944023</v>
      </c>
      <c r="T82" s="124">
        <f t="shared" si="21"/>
        <v>2070.5284424045867</v>
      </c>
      <c r="U82" s="124">
        <f t="shared" si="22"/>
        <v>1</v>
      </c>
      <c r="V82" s="124">
        <f t="shared" si="23"/>
        <v>0</v>
      </c>
      <c r="W82" s="124">
        <f t="shared" si="24"/>
        <v>1</v>
      </c>
      <c r="X82" s="124">
        <f t="shared" si="25"/>
        <v>1</v>
      </c>
      <c r="Y82" s="124">
        <f t="shared" si="26"/>
        <v>0</v>
      </c>
      <c r="Z82" s="124">
        <f t="shared" si="27"/>
        <v>1</v>
      </c>
      <c r="AA82" s="124">
        <f t="shared" si="4"/>
        <v>2.256661030998305E-4</v>
      </c>
      <c r="AB82" s="124">
        <f t="shared" si="28"/>
        <v>0</v>
      </c>
      <c r="AC82" s="124">
        <f t="shared" si="29"/>
        <v>0</v>
      </c>
    </row>
    <row r="83" spans="2:29" s="114" customFormat="1">
      <c r="B83" s="115">
        <f t="shared" si="5"/>
        <v>-6.3800000000000132</v>
      </c>
      <c r="C83" s="124">
        <f t="shared" si="6"/>
        <v>4.1686938347032228E-7</v>
      </c>
      <c r="D83" s="124">
        <f t="shared" si="7"/>
        <v>3044398.8491481463</v>
      </c>
      <c r="E83" s="124">
        <f t="shared" si="8"/>
        <v>1</v>
      </c>
      <c r="F83" s="124">
        <f t="shared" si="9"/>
        <v>1</v>
      </c>
      <c r="G83" s="124">
        <f t="shared" si="10"/>
        <v>3050999.095841751</v>
      </c>
      <c r="H83" s="124">
        <f t="shared" si="11"/>
        <v>1</v>
      </c>
      <c r="I83" s="124">
        <f t="shared" si="12"/>
        <v>1</v>
      </c>
      <c r="J83" s="124">
        <f t="shared" si="13"/>
        <v>8.8459638707656838E-7</v>
      </c>
      <c r="K83" s="124">
        <f t="shared" si="14"/>
        <v>0</v>
      </c>
      <c r="L83" s="124">
        <f t="shared" si="15"/>
        <v>0</v>
      </c>
      <c r="M83" s="120"/>
      <c r="N83" s="132">
        <f t="shared" si="3"/>
        <v>2.6192675852337418E-6</v>
      </c>
      <c r="O83" s="124">
        <f t="shared" si="16"/>
        <v>2154.1566061460776</v>
      </c>
      <c r="P83" s="124">
        <f t="shared" si="17"/>
        <v>1</v>
      </c>
      <c r="Q83" s="124">
        <f t="shared" si="18"/>
        <v>1</v>
      </c>
      <c r="R83" s="124">
        <f t="shared" si="19"/>
        <v>2050.6551062785793</v>
      </c>
      <c r="S83" s="124">
        <f t="shared" si="20"/>
        <v>339.25623545545238</v>
      </c>
      <c r="T83" s="124">
        <f t="shared" si="21"/>
        <v>2078.528604133659</v>
      </c>
      <c r="U83" s="124">
        <f t="shared" si="22"/>
        <v>1</v>
      </c>
      <c r="V83" s="124">
        <f t="shared" si="23"/>
        <v>0</v>
      </c>
      <c r="W83" s="124">
        <f t="shared" si="24"/>
        <v>1</v>
      </c>
      <c r="X83" s="124">
        <f t="shared" si="25"/>
        <v>1</v>
      </c>
      <c r="Y83" s="124">
        <f t="shared" si="26"/>
        <v>0</v>
      </c>
      <c r="Z83" s="124">
        <f t="shared" si="27"/>
        <v>1</v>
      </c>
      <c r="AA83" s="124">
        <f t="shared" si="4"/>
        <v>2.4090974746240545E-4</v>
      </c>
      <c r="AB83" s="124">
        <f t="shared" si="28"/>
        <v>0</v>
      </c>
      <c r="AC83" s="124">
        <f t="shared" si="29"/>
        <v>0</v>
      </c>
    </row>
    <row r="84" spans="2:29" s="114" customFormat="1">
      <c r="B84" s="115">
        <f t="shared" si="5"/>
        <v>-6.3600000000000136</v>
      </c>
      <c r="C84" s="124">
        <f t="shared" si="6"/>
        <v>4.3651583224015138E-7</v>
      </c>
      <c r="D84" s="124">
        <f t="shared" si="7"/>
        <v>3037837.8218855984</v>
      </c>
      <c r="E84" s="124">
        <f t="shared" si="8"/>
        <v>1</v>
      </c>
      <c r="F84" s="124">
        <f t="shared" si="9"/>
        <v>1</v>
      </c>
      <c r="G84" s="124">
        <f t="shared" si="10"/>
        <v>3045310.9852783186</v>
      </c>
      <c r="H84" s="124">
        <f t="shared" si="11"/>
        <v>1</v>
      </c>
      <c r="I84" s="124">
        <f t="shared" si="12"/>
        <v>1</v>
      </c>
      <c r="J84" s="124">
        <f t="shared" si="13"/>
        <v>1.1386260762962696E-6</v>
      </c>
      <c r="K84" s="124">
        <f t="shared" si="14"/>
        <v>0</v>
      </c>
      <c r="L84" s="124">
        <f t="shared" si="15"/>
        <v>0</v>
      </c>
      <c r="M84" s="120"/>
      <c r="N84" s="132">
        <f t="shared" si="3"/>
        <v>2.7427098634825885E-6</v>
      </c>
      <c r="O84" s="124">
        <f t="shared" si="16"/>
        <v>2165.0724265655072</v>
      </c>
      <c r="P84" s="124">
        <f t="shared" si="17"/>
        <v>1</v>
      </c>
      <c r="Q84" s="124">
        <f t="shared" si="18"/>
        <v>1</v>
      </c>
      <c r="R84" s="124">
        <f t="shared" si="19"/>
        <v>2058.0390823730477</v>
      </c>
      <c r="S84" s="124">
        <f t="shared" si="20"/>
        <v>344.40409092504854</v>
      </c>
      <c r="T84" s="124">
        <f t="shared" si="21"/>
        <v>2086.6573850109667</v>
      </c>
      <c r="U84" s="124">
        <f t="shared" si="22"/>
        <v>1</v>
      </c>
      <c r="V84" s="124">
        <f t="shared" si="23"/>
        <v>0</v>
      </c>
      <c r="W84" s="124">
        <f t="shared" si="24"/>
        <v>1</v>
      </c>
      <c r="X84" s="124">
        <f t="shared" si="25"/>
        <v>1</v>
      </c>
      <c r="Y84" s="124">
        <f t="shared" si="26"/>
        <v>0</v>
      </c>
      <c r="Z84" s="124">
        <f t="shared" si="27"/>
        <v>1</v>
      </c>
      <c r="AA84" s="124">
        <f t="shared" si="4"/>
        <v>2.5668148824887642E-4</v>
      </c>
      <c r="AB84" s="124">
        <f t="shared" si="28"/>
        <v>0</v>
      </c>
      <c r="AC84" s="124">
        <f t="shared" si="29"/>
        <v>0</v>
      </c>
    </row>
    <row r="85" spans="2:29" s="114" customFormat="1">
      <c r="B85" s="115">
        <f t="shared" si="5"/>
        <v>-6.3400000000000141</v>
      </c>
      <c r="C85" s="124">
        <f t="shared" si="6"/>
        <v>4.570881896148597E-7</v>
      </c>
      <c r="D85" s="124">
        <f t="shared" si="7"/>
        <v>3031221.7323285849</v>
      </c>
      <c r="E85" s="124">
        <f t="shared" si="8"/>
        <v>1</v>
      </c>
      <c r="F85" s="124">
        <f t="shared" si="9"/>
        <v>1</v>
      </c>
      <c r="G85" s="124">
        <f t="shared" si="10"/>
        <v>3039453.0032516262</v>
      </c>
      <c r="H85" s="124">
        <f t="shared" si="11"/>
        <v>1</v>
      </c>
      <c r="I85" s="124">
        <f t="shared" si="12"/>
        <v>1</v>
      </c>
      <c r="J85" s="124">
        <f t="shared" si="13"/>
        <v>1.3870400790971539E-6</v>
      </c>
      <c r="K85" s="124">
        <f t="shared" si="14"/>
        <v>0</v>
      </c>
      <c r="L85" s="124">
        <f t="shared" si="15"/>
        <v>0</v>
      </c>
      <c r="M85" s="120"/>
      <c r="N85" s="132">
        <f t="shared" si="3"/>
        <v>2.8719697970734033E-6</v>
      </c>
      <c r="O85" s="124">
        <f t="shared" si="16"/>
        <v>2176.1510263308483</v>
      </c>
      <c r="P85" s="124">
        <f t="shared" si="17"/>
        <v>1</v>
      </c>
      <c r="Q85" s="124">
        <f t="shared" si="18"/>
        <v>1</v>
      </c>
      <c r="R85" s="124">
        <f t="shared" si="19"/>
        <v>2065.5229507396134</v>
      </c>
      <c r="S85" s="124">
        <f t="shared" si="20"/>
        <v>349.89832792362591</v>
      </c>
      <c r="T85" s="124">
        <f t="shared" si="21"/>
        <v>2094.9496175125141</v>
      </c>
      <c r="U85" s="124">
        <f t="shared" si="22"/>
        <v>1</v>
      </c>
      <c r="V85" s="124">
        <f t="shared" si="23"/>
        <v>0</v>
      </c>
      <c r="W85" s="124">
        <f t="shared" si="24"/>
        <v>1</v>
      </c>
      <c r="X85" s="124">
        <f t="shared" si="25"/>
        <v>1</v>
      </c>
      <c r="Y85" s="124">
        <f t="shared" si="26"/>
        <v>0</v>
      </c>
      <c r="Z85" s="124">
        <f t="shared" si="27"/>
        <v>1</v>
      </c>
      <c r="AA85" s="124">
        <f t="shared" si="4"/>
        <v>2.7276007334180982E-4</v>
      </c>
      <c r="AB85" s="124">
        <f t="shared" si="28"/>
        <v>0</v>
      </c>
      <c r="AC85" s="124">
        <f t="shared" si="29"/>
        <v>0</v>
      </c>
    </row>
    <row r="86" spans="2:29" s="114" customFormat="1">
      <c r="B86" s="115">
        <f t="shared" si="5"/>
        <v>-6.3200000000000145</v>
      </c>
      <c r="C86" s="124">
        <f t="shared" si="6"/>
        <v>4.7863009232262136E-7</v>
      </c>
      <c r="D86" s="124">
        <f t="shared" si="7"/>
        <v>3024550.3120905822</v>
      </c>
      <c r="E86" s="124">
        <f t="shared" si="8"/>
        <v>1</v>
      </c>
      <c r="F86" s="124">
        <f t="shared" si="9"/>
        <v>1</v>
      </c>
      <c r="G86" s="124">
        <f t="shared" si="10"/>
        <v>3033424.4644113015</v>
      </c>
      <c r="H86" s="124">
        <f t="shared" si="11"/>
        <v>1</v>
      </c>
      <c r="I86" s="124">
        <f t="shared" si="12"/>
        <v>1</v>
      </c>
      <c r="J86" s="124">
        <f t="shared" si="13"/>
        <v>1.6189300022987501E-6</v>
      </c>
      <c r="K86" s="124">
        <f t="shared" si="14"/>
        <v>0</v>
      </c>
      <c r="L86" s="124">
        <f t="shared" si="15"/>
        <v>0</v>
      </c>
      <c r="M86" s="120"/>
      <c r="N86" s="132">
        <f t="shared" si="3"/>
        <v>3.0073215636555035E-6</v>
      </c>
      <c r="O86" s="124">
        <f t="shared" si="16"/>
        <v>2187.3952300637138</v>
      </c>
      <c r="P86" s="124">
        <f t="shared" si="17"/>
        <v>1</v>
      </c>
      <c r="Q86" s="124">
        <f t="shared" si="18"/>
        <v>1</v>
      </c>
      <c r="R86" s="124">
        <f t="shared" si="19"/>
        <v>2073.1396567761399</v>
      </c>
      <c r="S86" s="124">
        <f t="shared" si="20"/>
        <v>355.74626584945753</v>
      </c>
      <c r="T86" s="124">
        <f t="shared" si="21"/>
        <v>2103.4408577765439</v>
      </c>
      <c r="U86" s="124">
        <f t="shared" si="22"/>
        <v>1</v>
      </c>
      <c r="V86" s="124">
        <f t="shared" si="23"/>
        <v>0</v>
      </c>
      <c r="W86" s="124">
        <f t="shared" si="24"/>
        <v>1</v>
      </c>
      <c r="X86" s="124">
        <f t="shared" si="25"/>
        <v>1</v>
      </c>
      <c r="Y86" s="124">
        <f t="shared" si="26"/>
        <v>0</v>
      </c>
      <c r="Z86" s="124">
        <f t="shared" si="27"/>
        <v>1</v>
      </c>
      <c r="AA86" s="124">
        <f t="shared" si="4"/>
        <v>2.8889648688307245E-4</v>
      </c>
      <c r="AB86" s="124">
        <f t="shared" si="28"/>
        <v>0</v>
      </c>
      <c r="AC86" s="124">
        <f t="shared" si="29"/>
        <v>0</v>
      </c>
    </row>
    <row r="87" spans="2:29" s="114" customFormat="1">
      <c r="B87" s="115">
        <f t="shared" si="5"/>
        <v>-6.3000000000000149</v>
      </c>
      <c r="C87" s="124">
        <f t="shared" si="6"/>
        <v>5.0118723362725439E-7</v>
      </c>
      <c r="D87" s="124">
        <f t="shared" si="7"/>
        <v>3017823.2957420032</v>
      </c>
      <c r="E87" s="124">
        <f t="shared" si="8"/>
        <v>1</v>
      </c>
      <c r="F87" s="124">
        <f t="shared" si="9"/>
        <v>1</v>
      </c>
      <c r="G87" s="124">
        <f t="shared" si="10"/>
        <v>3027225.0897512613</v>
      </c>
      <c r="H87" s="124">
        <f t="shared" si="11"/>
        <v>1</v>
      </c>
      <c r="I87" s="124">
        <f t="shared" si="12"/>
        <v>1</v>
      </c>
      <c r="J87" s="124">
        <f t="shared" si="13"/>
        <v>1.8249510284803974E-6</v>
      </c>
      <c r="K87" s="124">
        <f t="shared" si="14"/>
        <v>0</v>
      </c>
      <c r="L87" s="124">
        <f t="shared" si="15"/>
        <v>0</v>
      </c>
      <c r="M87" s="120"/>
      <c r="N87" s="132">
        <f t="shared" si="3"/>
        <v>3.1490522624727476E-6</v>
      </c>
      <c r="O87" s="124">
        <f t="shared" si="16"/>
        <v>2198.8079194870206</v>
      </c>
      <c r="P87" s="124">
        <f t="shared" si="17"/>
        <v>1</v>
      </c>
      <c r="Q87" s="124">
        <f t="shared" si="18"/>
        <v>1</v>
      </c>
      <c r="R87" s="124">
        <f t="shared" si="19"/>
        <v>2080.9229646168724</v>
      </c>
      <c r="S87" s="124">
        <f t="shared" si="20"/>
        <v>361.95180539554462</v>
      </c>
      <c r="T87" s="124">
        <f t="shared" si="21"/>
        <v>2112.1670137796791</v>
      </c>
      <c r="U87" s="124">
        <f t="shared" si="22"/>
        <v>1</v>
      </c>
      <c r="V87" s="124">
        <f t="shared" si="23"/>
        <v>0</v>
      </c>
      <c r="W87" s="124">
        <f t="shared" si="24"/>
        <v>1</v>
      </c>
      <c r="X87" s="124">
        <f t="shared" si="25"/>
        <v>1</v>
      </c>
      <c r="Y87" s="124">
        <f t="shared" si="26"/>
        <v>0</v>
      </c>
      <c r="Z87" s="124">
        <f t="shared" si="27"/>
        <v>1</v>
      </c>
      <c r="AA87" s="124">
        <f t="shared" si="4"/>
        <v>3.0481796058410762E-4</v>
      </c>
      <c r="AB87" s="124">
        <f t="shared" si="28"/>
        <v>0</v>
      </c>
      <c r="AC87" s="124">
        <f t="shared" si="29"/>
        <v>0</v>
      </c>
    </row>
    <row r="88" spans="2:29" s="114" customFormat="1">
      <c r="B88" s="115">
        <f t="shared" si="5"/>
        <v>-6.2800000000000153</v>
      </c>
      <c r="C88" s="124">
        <f t="shared" si="6"/>
        <v>5.248074602497538E-7</v>
      </c>
      <c r="D88" s="124">
        <f t="shared" si="7"/>
        <v>3011040.4209252279</v>
      </c>
      <c r="E88" s="124">
        <f t="shared" si="8"/>
        <v>1</v>
      </c>
      <c r="F88" s="124">
        <f t="shared" si="9"/>
        <v>1</v>
      </c>
      <c r="G88" s="124">
        <f t="shared" si="10"/>
        <v>3020855.0375213488</v>
      </c>
      <c r="H88" s="124">
        <f t="shared" si="11"/>
        <v>1</v>
      </c>
      <c r="I88" s="124">
        <f t="shared" si="12"/>
        <v>1</v>
      </c>
      <c r="J88" s="124">
        <f t="shared" si="13"/>
        <v>1.9974156393879299E-6</v>
      </c>
      <c r="K88" s="124">
        <f t="shared" si="14"/>
        <v>0</v>
      </c>
      <c r="L88" s="124">
        <f t="shared" si="15"/>
        <v>0</v>
      </c>
      <c r="M88" s="120"/>
      <c r="N88" s="132">
        <f t="shared" si="3"/>
        <v>3.2974625233394877E-6</v>
      </c>
      <c r="O88" s="124">
        <f t="shared" si="16"/>
        <v>2210.3920347341905</v>
      </c>
      <c r="P88" s="124">
        <f t="shared" si="17"/>
        <v>1</v>
      </c>
      <c r="Q88" s="124">
        <f t="shared" si="18"/>
        <v>1</v>
      </c>
      <c r="R88" s="124">
        <f t="shared" si="19"/>
        <v>2088.9071269484311</v>
      </c>
      <c r="S88" s="124">
        <f t="shared" si="20"/>
        <v>368.51531905518266</v>
      </c>
      <c r="T88" s="124">
        <f t="shared" si="21"/>
        <v>2121.1639553307264</v>
      </c>
      <c r="U88" s="124">
        <f t="shared" si="22"/>
        <v>1</v>
      </c>
      <c r="V88" s="124">
        <f t="shared" si="23"/>
        <v>0</v>
      </c>
      <c r="W88" s="124">
        <f t="shared" si="24"/>
        <v>1</v>
      </c>
      <c r="X88" s="124">
        <f t="shared" si="25"/>
        <v>1</v>
      </c>
      <c r="Y88" s="124">
        <f t="shared" si="26"/>
        <v>0</v>
      </c>
      <c r="Z88" s="124">
        <f t="shared" si="27"/>
        <v>1</v>
      </c>
      <c r="AA88" s="124">
        <f t="shared" si="4"/>
        <v>3.2023346980391404E-4</v>
      </c>
      <c r="AB88" s="124">
        <f t="shared" si="28"/>
        <v>0</v>
      </c>
      <c r="AC88" s="124">
        <f t="shared" si="29"/>
        <v>0</v>
      </c>
    </row>
    <row r="89" spans="2:29" s="114" customFormat="1">
      <c r="B89" s="115">
        <f t="shared" si="5"/>
        <v>-6.2600000000000158</v>
      </c>
      <c r="C89" s="124">
        <f t="shared" si="6"/>
        <v>5.4954087385760373E-7</v>
      </c>
      <c r="D89" s="124">
        <f t="shared" si="7"/>
        <v>3004201.4284714432</v>
      </c>
      <c r="E89" s="124">
        <f t="shared" si="8"/>
        <v>1</v>
      </c>
      <c r="F89" s="124">
        <f t="shared" si="9"/>
        <v>1</v>
      </c>
      <c r="G89" s="124">
        <f t="shared" si="10"/>
        <v>3014314.9337361665</v>
      </c>
      <c r="H89" s="124">
        <f t="shared" si="11"/>
        <v>1</v>
      </c>
      <c r="I89" s="124">
        <f t="shared" si="12"/>
        <v>1</v>
      </c>
      <c r="J89" s="124">
        <f t="shared" si="13"/>
        <v>2.1303646650068118E-6</v>
      </c>
      <c r="K89" s="124">
        <f t="shared" si="14"/>
        <v>0</v>
      </c>
      <c r="L89" s="124">
        <f t="shared" si="15"/>
        <v>0</v>
      </c>
      <c r="M89" s="120"/>
      <c r="N89" s="132">
        <f t="shared" si="3"/>
        <v>3.4528671443167262E-6</v>
      </c>
      <c r="O89" s="124">
        <f t="shared" si="16"/>
        <v>2222.1505756912607</v>
      </c>
      <c r="P89" s="124">
        <f t="shared" si="17"/>
        <v>1</v>
      </c>
      <c r="Q89" s="124">
        <f t="shared" si="18"/>
        <v>1</v>
      </c>
      <c r="R89" s="124">
        <f t="shared" si="19"/>
        <v>2097.126538966987</v>
      </c>
      <c r="S89" s="124">
        <f t="shared" si="20"/>
        <v>375.43355815207315</v>
      </c>
      <c r="T89" s="124">
        <f t="shared" si="21"/>
        <v>2130.4671030143554</v>
      </c>
      <c r="U89" s="124">
        <f t="shared" si="22"/>
        <v>1</v>
      </c>
      <c r="V89" s="124">
        <f t="shared" si="23"/>
        <v>0</v>
      </c>
      <c r="W89" s="124">
        <f t="shared" si="24"/>
        <v>1</v>
      </c>
      <c r="X89" s="124">
        <f t="shared" si="25"/>
        <v>1</v>
      </c>
      <c r="Y89" s="124">
        <f t="shared" si="26"/>
        <v>0</v>
      </c>
      <c r="Z89" s="124">
        <f t="shared" si="27"/>
        <v>1</v>
      </c>
      <c r="AA89" s="124">
        <f t="shared" si="4"/>
        <v>3.3484064233548226E-4</v>
      </c>
      <c r="AB89" s="124">
        <f t="shared" si="28"/>
        <v>0</v>
      </c>
      <c r="AC89" s="124">
        <f t="shared" si="29"/>
        <v>0</v>
      </c>
    </row>
    <row r="90" spans="2:29" s="114" customFormat="1">
      <c r="B90" s="115">
        <f t="shared" si="5"/>
        <v>-6.2400000000000162</v>
      </c>
      <c r="C90" s="124">
        <f t="shared" si="6"/>
        <v>5.7543993733713495E-7</v>
      </c>
      <c r="D90" s="124">
        <f t="shared" si="7"/>
        <v>2997306.062519216</v>
      </c>
      <c r="E90" s="124">
        <f t="shared" si="8"/>
        <v>1</v>
      </c>
      <c r="F90" s="124">
        <f t="shared" si="9"/>
        <v>1</v>
      </c>
      <c r="G90" s="124">
        <f t="shared" si="10"/>
        <v>3007605.9018804855</v>
      </c>
      <c r="H90" s="124">
        <f t="shared" si="11"/>
        <v>1</v>
      </c>
      <c r="I90" s="124">
        <f t="shared" si="12"/>
        <v>1</v>
      </c>
      <c r="J90" s="124">
        <f t="shared" si="13"/>
        <v>2.2196120761464309E-6</v>
      </c>
      <c r="K90" s="124">
        <f t="shared" si="14"/>
        <v>0</v>
      </c>
      <c r="L90" s="124">
        <f t="shared" si="15"/>
        <v>0</v>
      </c>
      <c r="M90" s="120"/>
      <c r="N90" s="132">
        <f t="shared" si="3"/>
        <v>3.6155957594410282E-6</v>
      </c>
      <c r="O90" s="124">
        <f t="shared" si="16"/>
        <v>2234.0866033727525</v>
      </c>
      <c r="P90" s="124">
        <f t="shared" si="17"/>
        <v>1</v>
      </c>
      <c r="Q90" s="124">
        <f t="shared" si="18"/>
        <v>1</v>
      </c>
      <c r="R90" s="124">
        <f t="shared" si="19"/>
        <v>2105.6153728323561</v>
      </c>
      <c r="S90" s="124">
        <f t="shared" si="20"/>
        <v>382.69957876268069</v>
      </c>
      <c r="T90" s="124">
        <f t="shared" si="21"/>
        <v>2140.1109938255713</v>
      </c>
      <c r="U90" s="124">
        <f t="shared" si="22"/>
        <v>1</v>
      </c>
      <c r="V90" s="124">
        <f t="shared" si="23"/>
        <v>0</v>
      </c>
      <c r="W90" s="124">
        <f t="shared" si="24"/>
        <v>1</v>
      </c>
      <c r="X90" s="124">
        <f t="shared" si="25"/>
        <v>1</v>
      </c>
      <c r="Y90" s="124">
        <f t="shared" si="26"/>
        <v>0</v>
      </c>
      <c r="Z90" s="124">
        <f t="shared" si="27"/>
        <v>1</v>
      </c>
      <c r="AA90" s="124">
        <f t="shared" si="4"/>
        <v>3.4833393422210759E-4</v>
      </c>
      <c r="AB90" s="124">
        <f t="shared" si="28"/>
        <v>0</v>
      </c>
      <c r="AC90" s="124">
        <f t="shared" si="29"/>
        <v>0</v>
      </c>
    </row>
    <row r="91" spans="2:29" s="114" customFormat="1">
      <c r="B91" s="115">
        <f t="shared" si="5"/>
        <v>-6.2200000000000166</v>
      </c>
      <c r="C91" s="124">
        <f t="shared" si="6"/>
        <v>6.025595860743336E-7</v>
      </c>
      <c r="D91" s="124">
        <f t="shared" si="7"/>
        <v>2990354.0706348941</v>
      </c>
      <c r="E91" s="124">
        <f t="shared" si="8"/>
        <v>1</v>
      </c>
      <c r="F91" s="124">
        <f t="shared" si="9"/>
        <v>1</v>
      </c>
      <c r="G91" s="124">
        <f t="shared" si="10"/>
        <v>3000729.591359016</v>
      </c>
      <c r="H91" s="124">
        <f t="shared" si="11"/>
        <v>1</v>
      </c>
      <c r="I91" s="124">
        <f t="shared" si="12"/>
        <v>1</v>
      </c>
      <c r="J91" s="124">
        <f t="shared" si="13"/>
        <v>2.2627601313023633E-6</v>
      </c>
      <c r="K91" s="124">
        <f t="shared" si="14"/>
        <v>0</v>
      </c>
      <c r="L91" s="124">
        <f t="shared" si="15"/>
        <v>0</v>
      </c>
      <c r="M91" s="120"/>
      <c r="N91" s="132">
        <f t="shared" si="3"/>
        <v>3.7859935379224659E-6</v>
      </c>
      <c r="O91" s="124">
        <f t="shared" si="16"/>
        <v>2246.2032413322013</v>
      </c>
      <c r="P91" s="124">
        <f t="shared" si="17"/>
        <v>1</v>
      </c>
      <c r="Q91" s="124">
        <f t="shared" si="18"/>
        <v>1</v>
      </c>
      <c r="R91" s="124">
        <f t="shared" si="19"/>
        <v>2114.4071893250471</v>
      </c>
      <c r="S91" s="124">
        <f t="shared" si="20"/>
        <v>390.30269057459265</v>
      </c>
      <c r="T91" s="124">
        <f t="shared" si="21"/>
        <v>2150.1288223125639</v>
      </c>
      <c r="U91" s="124">
        <f t="shared" si="22"/>
        <v>1</v>
      </c>
      <c r="V91" s="124">
        <f t="shared" si="23"/>
        <v>0</v>
      </c>
      <c r="W91" s="124">
        <f t="shared" si="24"/>
        <v>1</v>
      </c>
      <c r="X91" s="124">
        <f t="shared" si="25"/>
        <v>1</v>
      </c>
      <c r="Y91" s="124">
        <f t="shared" si="26"/>
        <v>0</v>
      </c>
      <c r="Z91" s="124">
        <f t="shared" si="27"/>
        <v>1</v>
      </c>
      <c r="AA91" s="124">
        <f t="shared" si="4"/>
        <v>3.604138485624766E-4</v>
      </c>
      <c r="AB91" s="124">
        <f t="shared" si="28"/>
        <v>0</v>
      </c>
      <c r="AC91" s="124">
        <f t="shared" si="29"/>
        <v>0</v>
      </c>
    </row>
    <row r="92" spans="2:29" s="114" customFormat="1">
      <c r="B92" s="115">
        <f t="shared" si="5"/>
        <v>-6.2000000000000171</v>
      </c>
      <c r="C92" s="124">
        <f t="shared" si="6"/>
        <v>6.3095734448016787E-7</v>
      </c>
      <c r="D92" s="124">
        <f t="shared" si="7"/>
        <v>2983345.2039347002</v>
      </c>
      <c r="E92" s="124">
        <f t="shared" si="8"/>
        <v>1</v>
      </c>
      <c r="F92" s="124">
        <f t="shared" si="9"/>
        <v>1</v>
      </c>
      <c r="G92" s="124">
        <f t="shared" si="10"/>
        <v>2993688.204185538</v>
      </c>
      <c r="H92" s="124">
        <f t="shared" si="11"/>
        <v>1</v>
      </c>
      <c r="I92" s="124">
        <f t="shared" si="12"/>
        <v>1</v>
      </c>
      <c r="J92" s="124">
        <f t="shared" si="13"/>
        <v>2.2591818211524044E-6</v>
      </c>
      <c r="K92" s="124">
        <f t="shared" si="14"/>
        <v>0</v>
      </c>
      <c r="L92" s="124">
        <f t="shared" si="15"/>
        <v>0</v>
      </c>
      <c r="M92" s="120"/>
      <c r="N92" s="132">
        <f t="shared" si="3"/>
        <v>3.9644219162948395E-6</v>
      </c>
      <c r="O92" s="124">
        <f t="shared" si="16"/>
        <v>2258.5036771082823</v>
      </c>
      <c r="P92" s="124">
        <f t="shared" si="17"/>
        <v>1</v>
      </c>
      <c r="Q92" s="124">
        <f t="shared" si="18"/>
        <v>1</v>
      </c>
      <c r="R92" s="124">
        <f t="shared" si="19"/>
        <v>2123.5345242051703</v>
      </c>
      <c r="S92" s="124">
        <f t="shared" si="20"/>
        <v>398.22843436862962</v>
      </c>
      <c r="T92" s="124">
        <f t="shared" si="21"/>
        <v>2160.551957586526</v>
      </c>
      <c r="U92" s="124">
        <f t="shared" si="22"/>
        <v>1</v>
      </c>
      <c r="V92" s="124">
        <f t="shared" si="23"/>
        <v>0</v>
      </c>
      <c r="W92" s="124">
        <f t="shared" si="24"/>
        <v>1</v>
      </c>
      <c r="X92" s="124">
        <f t="shared" si="25"/>
        <v>1</v>
      </c>
      <c r="Y92" s="124">
        <f t="shared" si="26"/>
        <v>0</v>
      </c>
      <c r="Z92" s="124">
        <f t="shared" si="27"/>
        <v>1</v>
      </c>
      <c r="AA92" s="124">
        <f t="shared" si="4"/>
        <v>3.7079689296173218E-4</v>
      </c>
      <c r="AB92" s="124">
        <f t="shared" si="28"/>
        <v>0</v>
      </c>
      <c r="AC92" s="124">
        <f t="shared" si="29"/>
        <v>0</v>
      </c>
    </row>
    <row r="93" spans="2:29" s="114" customFormat="1">
      <c r="B93" s="115">
        <f t="shared" si="5"/>
        <v>-6.1800000000000175</v>
      </c>
      <c r="C93" s="124">
        <f t="shared" si="6"/>
        <v>6.6069344800756806E-7</v>
      </c>
      <c r="D93" s="124">
        <f t="shared" si="7"/>
        <v>2976279.2172085904</v>
      </c>
      <c r="E93" s="124">
        <f t="shared" si="8"/>
        <v>1</v>
      </c>
      <c r="F93" s="124">
        <f t="shared" si="9"/>
        <v>1</v>
      </c>
      <c r="G93" s="124">
        <f t="shared" si="10"/>
        <v>2986484.5193534461</v>
      </c>
      <c r="H93" s="124">
        <f t="shared" si="11"/>
        <v>1</v>
      </c>
      <c r="I93" s="124">
        <f t="shared" si="12"/>
        <v>1</v>
      </c>
      <c r="J93" s="124">
        <f t="shared" si="13"/>
        <v>2.2099680415820425E-6</v>
      </c>
      <c r="K93" s="124">
        <f t="shared" si="14"/>
        <v>0</v>
      </c>
      <c r="L93" s="124">
        <f t="shared" si="15"/>
        <v>0</v>
      </c>
      <c r="M93" s="120"/>
      <c r="N93" s="132">
        <f t="shared" si="3"/>
        <v>4.1512593650709715E-6</v>
      </c>
      <c r="O93" s="124">
        <f t="shared" si="16"/>
        <v>2270.9911637074706</v>
      </c>
      <c r="P93" s="124">
        <f t="shared" si="17"/>
        <v>1</v>
      </c>
      <c r="Q93" s="124">
        <f t="shared" si="18"/>
        <v>1</v>
      </c>
      <c r="R93" s="124">
        <f t="shared" si="19"/>
        <v>2133.0284480198411</v>
      </c>
      <c r="S93" s="124">
        <f t="shared" si="20"/>
        <v>406.45859533366416</v>
      </c>
      <c r="T93" s="124">
        <f t="shared" si="21"/>
        <v>2171.4094385404487</v>
      </c>
      <c r="U93" s="124">
        <f t="shared" si="22"/>
        <v>1</v>
      </c>
      <c r="V93" s="124">
        <f t="shared" si="23"/>
        <v>0</v>
      </c>
      <c r="W93" s="124">
        <f t="shared" si="24"/>
        <v>1</v>
      </c>
      <c r="X93" s="124">
        <f t="shared" si="25"/>
        <v>1</v>
      </c>
      <c r="Y93" s="124">
        <f t="shared" si="26"/>
        <v>0</v>
      </c>
      <c r="Z93" s="124">
        <f t="shared" si="27"/>
        <v>1</v>
      </c>
      <c r="AA93" s="124">
        <f t="shared" si="4"/>
        <v>3.7922589332505809E-4</v>
      </c>
      <c r="AB93" s="124">
        <f t="shared" si="28"/>
        <v>0</v>
      </c>
      <c r="AC93" s="124">
        <f t="shared" si="29"/>
        <v>0</v>
      </c>
    </row>
    <row r="94" spans="2:29" s="114" customFormat="1">
      <c r="B94" s="115">
        <f t="shared" si="5"/>
        <v>-6.1600000000000179</v>
      </c>
      <c r="C94" s="124">
        <f t="shared" si="6"/>
        <v>6.9183097091890718E-7</v>
      </c>
      <c r="D94" s="124">
        <f t="shared" si="7"/>
        <v>2969155.8690458774</v>
      </c>
      <c r="E94" s="124">
        <f t="shared" si="8"/>
        <v>1</v>
      </c>
      <c r="F94" s="124">
        <f t="shared" si="9"/>
        <v>1</v>
      </c>
      <c r="G94" s="124">
        <f t="shared" si="10"/>
        <v>2979121.9142778385</v>
      </c>
      <c r="H94" s="124">
        <f t="shared" si="11"/>
        <v>1</v>
      </c>
      <c r="I94" s="124">
        <f t="shared" si="12"/>
        <v>1</v>
      </c>
      <c r="J94" s="124">
        <f t="shared" si="13"/>
        <v>2.1178375828763903E-6</v>
      </c>
      <c r="K94" s="124">
        <f t="shared" si="14"/>
        <v>0</v>
      </c>
      <c r="L94" s="124">
        <f t="shared" si="15"/>
        <v>0</v>
      </c>
      <c r="M94" s="120"/>
      <c r="N94" s="132">
        <f t="shared" si="3"/>
        <v>4.3469021915294649E-6</v>
      </c>
      <c r="O94" s="124">
        <f t="shared" si="16"/>
        <v>2283.6690211242512</v>
      </c>
      <c r="P94" s="124">
        <f t="shared" si="17"/>
        <v>1</v>
      </c>
      <c r="Q94" s="124">
        <f t="shared" si="18"/>
        <v>1</v>
      </c>
      <c r="R94" s="124">
        <f t="shared" si="19"/>
        <v>2142.9180998070051</v>
      </c>
      <c r="S94" s="124">
        <f t="shared" si="20"/>
        <v>414.97126072002874</v>
      </c>
      <c r="T94" s="124">
        <f t="shared" si="21"/>
        <v>2182.7274519976231</v>
      </c>
      <c r="U94" s="124">
        <f t="shared" si="22"/>
        <v>1</v>
      </c>
      <c r="V94" s="124">
        <f t="shared" si="23"/>
        <v>0</v>
      </c>
      <c r="W94" s="124">
        <f t="shared" si="24"/>
        <v>1</v>
      </c>
      <c r="X94" s="124">
        <f t="shared" si="25"/>
        <v>1</v>
      </c>
      <c r="Y94" s="124">
        <f t="shared" si="26"/>
        <v>0</v>
      </c>
      <c r="Z94" s="124">
        <f t="shared" si="27"/>
        <v>1</v>
      </c>
      <c r="AA94" s="124">
        <f t="shared" si="4"/>
        <v>3.8548021187417527E-4</v>
      </c>
      <c r="AB94" s="124">
        <f t="shared" si="28"/>
        <v>0</v>
      </c>
      <c r="AC94" s="124">
        <f t="shared" si="29"/>
        <v>0</v>
      </c>
    </row>
    <row r="95" spans="2:29" s="114" customFormat="1">
      <c r="B95" s="115">
        <f t="shared" si="5"/>
        <v>-6.1400000000000183</v>
      </c>
      <c r="C95" s="124">
        <f t="shared" si="6"/>
        <v>7.2443596007495787E-7</v>
      </c>
      <c r="D95" s="124">
        <f t="shared" si="7"/>
        <v>2961974.9219626314</v>
      </c>
      <c r="E95" s="124">
        <f t="shared" si="8"/>
        <v>1</v>
      </c>
      <c r="F95" s="124">
        <f t="shared" si="9"/>
        <v>1</v>
      </c>
      <c r="G95" s="124">
        <f t="shared" si="10"/>
        <v>2971604.3826497374</v>
      </c>
      <c r="H95" s="124">
        <f t="shared" si="11"/>
        <v>1</v>
      </c>
      <c r="I95" s="124">
        <f t="shared" si="12"/>
        <v>1</v>
      </c>
      <c r="J95" s="124">
        <f t="shared" si="13"/>
        <v>1.9870088567056447E-6</v>
      </c>
      <c r="K95" s="124">
        <f t="shared" si="14"/>
        <v>0</v>
      </c>
      <c r="L95" s="124">
        <f t="shared" si="15"/>
        <v>0</v>
      </c>
      <c r="M95" s="120"/>
      <c r="N95" s="132">
        <f t="shared" si="3"/>
        <v>4.5517653803355127E-6</v>
      </c>
      <c r="O95" s="124">
        <f t="shared" si="16"/>
        <v>2296.54063789984</v>
      </c>
      <c r="P95" s="124">
        <f t="shared" si="17"/>
        <v>1</v>
      </c>
      <c r="Q95" s="124">
        <f t="shared" si="18"/>
        <v>1</v>
      </c>
      <c r="R95" s="124">
        <f t="shared" si="19"/>
        <v>2153.2301972787805</v>
      </c>
      <c r="S95" s="124">
        <f t="shared" si="20"/>
        <v>423.74093129730693</v>
      </c>
      <c r="T95" s="124">
        <f t="shared" si="21"/>
        <v>2194.5288012076589</v>
      </c>
      <c r="U95" s="124">
        <f t="shared" si="22"/>
        <v>1</v>
      </c>
      <c r="V95" s="124">
        <f t="shared" si="23"/>
        <v>0</v>
      </c>
      <c r="W95" s="124">
        <f t="shared" si="24"/>
        <v>1</v>
      </c>
      <c r="X95" s="124">
        <f t="shared" si="25"/>
        <v>1</v>
      </c>
      <c r="Y95" s="124">
        <f t="shared" si="26"/>
        <v>0</v>
      </c>
      <c r="Z95" s="124">
        <f t="shared" si="27"/>
        <v>1</v>
      </c>
      <c r="AA95" s="124">
        <f t="shared" si="4"/>
        <v>3.8938536271723734E-4</v>
      </c>
      <c r="AB95" s="124">
        <f t="shared" si="28"/>
        <v>0</v>
      </c>
      <c r="AC95" s="124">
        <f t="shared" si="29"/>
        <v>0</v>
      </c>
    </row>
    <row r="96" spans="2:29" s="114" customFormat="1">
      <c r="B96" s="115">
        <f t="shared" si="5"/>
        <v>-6.1200000000000188</v>
      </c>
      <c r="C96" s="124">
        <f t="shared" si="6"/>
        <v>7.5857757502915E-7</v>
      </c>
      <c r="D96" s="124">
        <f t="shared" si="7"/>
        <v>2954736.1425307388</v>
      </c>
      <c r="E96" s="124">
        <f t="shared" si="8"/>
        <v>1</v>
      </c>
      <c r="F96" s="124">
        <f t="shared" si="9"/>
        <v>1</v>
      </c>
      <c r="G96" s="124">
        <f t="shared" si="10"/>
        <v>2963936.5479975799</v>
      </c>
      <c r="H96" s="124">
        <f t="shared" si="11"/>
        <v>1</v>
      </c>
      <c r="I96" s="124">
        <f t="shared" si="12"/>
        <v>1</v>
      </c>
      <c r="J96" s="124">
        <f t="shared" si="13"/>
        <v>1.8230332970862243E-6</v>
      </c>
      <c r="K96" s="124">
        <f t="shared" si="14"/>
        <v>0</v>
      </c>
      <c r="L96" s="124">
        <f t="shared" si="15"/>
        <v>0</v>
      </c>
      <c r="M96" s="120"/>
      <c r="N96" s="132">
        <f t="shared" si="3"/>
        <v>4.7662834737790756E-6</v>
      </c>
      <c r="O96" s="124">
        <f t="shared" si="16"/>
        <v>2309.6094727204832</v>
      </c>
      <c r="P96" s="124">
        <f t="shared" si="17"/>
        <v>1</v>
      </c>
      <c r="Q96" s="124">
        <f t="shared" si="18"/>
        <v>1</v>
      </c>
      <c r="R96" s="124">
        <f t="shared" si="19"/>
        <v>2163.98852859109</v>
      </c>
      <c r="S96" s="124">
        <f t="shared" si="20"/>
        <v>432.73869658384262</v>
      </c>
      <c r="T96" s="124">
        <f t="shared" si="21"/>
        <v>2206.8323750105974</v>
      </c>
      <c r="U96" s="124">
        <f t="shared" si="22"/>
        <v>1</v>
      </c>
      <c r="V96" s="124">
        <f t="shared" si="23"/>
        <v>0</v>
      </c>
      <c r="W96" s="124">
        <f t="shared" si="24"/>
        <v>1</v>
      </c>
      <c r="X96" s="124">
        <f t="shared" si="25"/>
        <v>1</v>
      </c>
      <c r="Y96" s="124">
        <f t="shared" si="26"/>
        <v>0</v>
      </c>
      <c r="Z96" s="124">
        <f t="shared" si="27"/>
        <v>1</v>
      </c>
      <c r="AA96" s="124">
        <f t="shared" si="4"/>
        <v>3.9082148698568443E-4</v>
      </c>
      <c r="AB96" s="124">
        <f t="shared" si="28"/>
        <v>0</v>
      </c>
      <c r="AC96" s="124">
        <f t="shared" si="29"/>
        <v>0</v>
      </c>
    </row>
    <row r="97" spans="2:29" s="114" customFormat="1">
      <c r="B97" s="115">
        <f t="shared" si="5"/>
        <v>-6.1000000000000192</v>
      </c>
      <c r="C97" s="124">
        <f t="shared" si="6"/>
        <v>7.9432823472424588E-7</v>
      </c>
      <c r="D97" s="124">
        <f t="shared" si="7"/>
        <v>2947439.301508768</v>
      </c>
      <c r="E97" s="124">
        <f t="shared" si="8"/>
        <v>1</v>
      </c>
      <c r="F97" s="124">
        <f t="shared" si="9"/>
        <v>1</v>
      </c>
      <c r="G97" s="124">
        <f t="shared" si="10"/>
        <v>2956123.672211729</v>
      </c>
      <c r="H97" s="124">
        <f t="shared" si="11"/>
        <v>1</v>
      </c>
      <c r="I97" s="124">
        <f t="shared" si="12"/>
        <v>1</v>
      </c>
      <c r="J97" s="124">
        <f t="shared" si="13"/>
        <v>1.6325915603577201E-6</v>
      </c>
      <c r="K97" s="124">
        <f t="shared" si="14"/>
        <v>0</v>
      </c>
      <c r="L97" s="124">
        <f t="shared" si="15"/>
        <v>0</v>
      </c>
      <c r="M97" s="120"/>
      <c r="N97" s="132">
        <f t="shared" si="3"/>
        <v>4.9909114934972795E-6</v>
      </c>
      <c r="O97" s="124">
        <f t="shared" si="16"/>
        <v>2322.879056056368</v>
      </c>
      <c r="P97" s="124">
        <f t="shared" si="17"/>
        <v>1</v>
      </c>
      <c r="Q97" s="124">
        <f t="shared" si="18"/>
        <v>1</v>
      </c>
      <c r="R97" s="124">
        <f t="shared" si="19"/>
        <v>2175.2134336406161</v>
      </c>
      <c r="S97" s="124">
        <f t="shared" si="20"/>
        <v>441.9324837333325</v>
      </c>
      <c r="T97" s="124">
        <f t="shared" si="21"/>
        <v>2219.6526309468586</v>
      </c>
      <c r="U97" s="124">
        <f t="shared" si="22"/>
        <v>1</v>
      </c>
      <c r="V97" s="124">
        <f t="shared" si="23"/>
        <v>0</v>
      </c>
      <c r="W97" s="124">
        <f t="shared" si="24"/>
        <v>1</v>
      </c>
      <c r="X97" s="124">
        <f t="shared" si="25"/>
        <v>1</v>
      </c>
      <c r="Y97" s="124">
        <f t="shared" si="26"/>
        <v>0</v>
      </c>
      <c r="Z97" s="124">
        <f t="shared" si="27"/>
        <v>1</v>
      </c>
      <c r="AA97" s="124">
        <f t="shared" si="4"/>
        <v>3.8973014948346881E-4</v>
      </c>
      <c r="AB97" s="124">
        <f t="shared" si="28"/>
        <v>0</v>
      </c>
      <c r="AC97" s="124">
        <f t="shared" si="29"/>
        <v>0</v>
      </c>
    </row>
    <row r="98" spans="2:29" s="114" customFormat="1">
      <c r="B98" s="115">
        <f t="shared" si="5"/>
        <v>-6.0800000000000196</v>
      </c>
      <c r="C98" s="124">
        <f t="shared" si="6"/>
        <v>8.3176377110263212E-7</v>
      </c>
      <c r="D98" s="124">
        <f t="shared" si="7"/>
        <v>2940084.1739744963</v>
      </c>
      <c r="E98" s="124">
        <f t="shared" si="8"/>
        <v>1</v>
      </c>
      <c r="F98" s="124">
        <f t="shared" si="9"/>
        <v>1</v>
      </c>
      <c r="G98" s="124">
        <f t="shared" si="10"/>
        <v>2948171.6582565811</v>
      </c>
      <c r="H98" s="124">
        <f t="shared" si="11"/>
        <v>1</v>
      </c>
      <c r="I98" s="124">
        <f t="shared" si="12"/>
        <v>1</v>
      </c>
      <c r="J98" s="124">
        <f t="shared" si="13"/>
        <v>1.4232549979194796E-6</v>
      </c>
      <c r="K98" s="124">
        <f t="shared" si="14"/>
        <v>0</v>
      </c>
      <c r="L98" s="124">
        <f t="shared" si="15"/>
        <v>0</v>
      </c>
      <c r="M98" s="120"/>
      <c r="N98" s="132">
        <f t="shared" si="3"/>
        <v>5.2261259056363429E-6</v>
      </c>
      <c r="O98" s="124">
        <f t="shared" si="16"/>
        <v>2336.3529918422864</v>
      </c>
      <c r="P98" s="124">
        <f t="shared" si="17"/>
        <v>1</v>
      </c>
      <c r="Q98" s="124">
        <f t="shared" si="18"/>
        <v>1</v>
      </c>
      <c r="R98" s="124">
        <f t="shared" si="19"/>
        <v>2186.9212858581495</v>
      </c>
      <c r="S98" s="124">
        <f t="shared" si="20"/>
        <v>451.28738917854622</v>
      </c>
      <c r="T98" s="124">
        <f t="shared" si="21"/>
        <v>2232.9991084125068</v>
      </c>
      <c r="U98" s="124">
        <f t="shared" si="22"/>
        <v>1</v>
      </c>
      <c r="V98" s="124">
        <f t="shared" si="23"/>
        <v>0</v>
      </c>
      <c r="W98" s="124">
        <f t="shared" si="24"/>
        <v>1</v>
      </c>
      <c r="X98" s="124">
        <f t="shared" si="25"/>
        <v>1</v>
      </c>
      <c r="Y98" s="124">
        <f t="shared" si="26"/>
        <v>0</v>
      </c>
      <c r="Z98" s="124">
        <f t="shared" si="27"/>
        <v>1</v>
      </c>
      <c r="AA98" s="124">
        <f t="shared" si="4"/>
        <v>3.8611895698102949E-4</v>
      </c>
      <c r="AB98" s="124">
        <f t="shared" si="28"/>
        <v>0</v>
      </c>
      <c r="AC98" s="124">
        <f t="shared" si="29"/>
        <v>0</v>
      </c>
    </row>
    <row r="99" spans="2:29" s="114" customFormat="1">
      <c r="B99" s="115">
        <f t="shared" si="5"/>
        <v>-6.06000000000002</v>
      </c>
      <c r="C99" s="124">
        <f t="shared" si="6"/>
        <v>8.709635899560398E-7</v>
      </c>
      <c r="D99" s="124">
        <f t="shared" si="7"/>
        <v>2932670.5394591601</v>
      </c>
      <c r="E99" s="124">
        <f t="shared" si="8"/>
        <v>1</v>
      </c>
      <c r="F99" s="124">
        <f t="shared" si="9"/>
        <v>1</v>
      </c>
      <c r="G99" s="124">
        <f t="shared" si="10"/>
        <v>2940087.0462744492</v>
      </c>
      <c r="H99" s="124">
        <f t="shared" si="11"/>
        <v>1</v>
      </c>
      <c r="I99" s="124">
        <f t="shared" si="12"/>
        <v>1</v>
      </c>
      <c r="J99" s="124">
        <f t="shared" si="13"/>
        <v>1.2032163561684397E-6</v>
      </c>
      <c r="K99" s="124">
        <f t="shared" si="14"/>
        <v>0</v>
      </c>
      <c r="L99" s="124">
        <f t="shared" si="15"/>
        <v>0</v>
      </c>
      <c r="M99" s="120"/>
      <c r="N99" s="132">
        <f t="shared" si="3"/>
        <v>5.4724256315001753E-6</v>
      </c>
      <c r="O99" s="124">
        <f t="shared" si="16"/>
        <v>2350.0349592011175</v>
      </c>
      <c r="P99" s="124">
        <f t="shared" si="17"/>
        <v>1</v>
      </c>
      <c r="Q99" s="124">
        <f t="shared" si="18"/>
        <v>1</v>
      </c>
      <c r="R99" s="124">
        <f t="shared" si="19"/>
        <v>2199.1239885291429</v>
      </c>
      <c r="S99" s="124">
        <f t="shared" si="20"/>
        <v>460.76610054085825</v>
      </c>
      <c r="T99" s="124">
        <f t="shared" si="21"/>
        <v>2246.8759904213571</v>
      </c>
      <c r="U99" s="124">
        <f t="shared" si="22"/>
        <v>1</v>
      </c>
      <c r="V99" s="124">
        <f t="shared" si="23"/>
        <v>0</v>
      </c>
      <c r="W99" s="124">
        <f t="shared" si="24"/>
        <v>1</v>
      </c>
      <c r="X99" s="124">
        <f t="shared" si="25"/>
        <v>1</v>
      </c>
      <c r="Y99" s="124">
        <f t="shared" si="26"/>
        <v>0</v>
      </c>
      <c r="Z99" s="124">
        <f t="shared" si="27"/>
        <v>1</v>
      </c>
      <c r="AA99" s="124">
        <f t="shared" si="4"/>
        <v>3.8006357944490681E-4</v>
      </c>
      <c r="AB99" s="124">
        <f t="shared" si="28"/>
        <v>0</v>
      </c>
      <c r="AC99" s="124">
        <f t="shared" si="29"/>
        <v>0</v>
      </c>
    </row>
    <row r="100" spans="2:29" s="114" customFormat="1">
      <c r="B100" s="115">
        <f t="shared" si="5"/>
        <v>-6.0400000000000205</v>
      </c>
      <c r="C100" s="124">
        <f t="shared" si="6"/>
        <v>9.1201083935586517E-7</v>
      </c>
      <c r="D100" s="124">
        <f t="shared" si="7"/>
        <v>2925198.1820834447</v>
      </c>
      <c r="E100" s="124">
        <f t="shared" si="8"/>
        <v>1</v>
      </c>
      <c r="F100" s="124">
        <f t="shared" si="9"/>
        <v>1</v>
      </c>
      <c r="G100" s="124">
        <f t="shared" si="10"/>
        <v>2931877.0022784704</v>
      </c>
      <c r="H100" s="124">
        <f t="shared" si="11"/>
        <v>1</v>
      </c>
      <c r="I100" s="124">
        <f t="shared" si="12"/>
        <v>1</v>
      </c>
      <c r="J100" s="124">
        <f t="shared" si="13"/>
        <v>9.8099523077031068E-7</v>
      </c>
      <c r="K100" s="124">
        <f t="shared" si="14"/>
        <v>0</v>
      </c>
      <c r="L100" s="124">
        <f t="shared" si="15"/>
        <v>0</v>
      </c>
      <c r="M100" s="120"/>
      <c r="N100" s="132">
        <f t="shared" si="3"/>
        <v>5.7303331058292937E-6</v>
      </c>
      <c r="O100" s="124">
        <f t="shared" si="16"/>
        <v>2363.9287142113249</v>
      </c>
      <c r="P100" s="124">
        <f t="shared" si="17"/>
        <v>1</v>
      </c>
      <c r="Q100" s="124">
        <f t="shared" si="18"/>
        <v>1</v>
      </c>
      <c r="R100" s="124">
        <f t="shared" si="19"/>
        <v>2211.8285025643131</v>
      </c>
      <c r="S100" s="124">
        <f t="shared" si="20"/>
        <v>470.32941384703537</v>
      </c>
      <c r="T100" s="124">
        <f t="shared" si="21"/>
        <v>2261.2817343899424</v>
      </c>
      <c r="U100" s="124">
        <f t="shared" si="22"/>
        <v>1</v>
      </c>
      <c r="V100" s="124">
        <f t="shared" si="23"/>
        <v>0</v>
      </c>
      <c r="W100" s="124">
        <f t="shared" si="24"/>
        <v>1</v>
      </c>
      <c r="X100" s="124">
        <f t="shared" si="25"/>
        <v>1</v>
      </c>
      <c r="Y100" s="124">
        <f t="shared" si="26"/>
        <v>0</v>
      </c>
      <c r="Z100" s="124">
        <f t="shared" si="27"/>
        <v>1</v>
      </c>
      <c r="AA100" s="124">
        <f t="shared" si="4"/>
        <v>3.7170688076542643E-4</v>
      </c>
      <c r="AB100" s="124">
        <f t="shared" si="28"/>
        <v>0</v>
      </c>
      <c r="AC100" s="124">
        <f t="shared" si="29"/>
        <v>0</v>
      </c>
    </row>
    <row r="101" spans="2:29" s="114" customFormat="1">
      <c r="B101" s="115">
        <f t="shared" si="5"/>
        <v>-6.0200000000000209</v>
      </c>
      <c r="C101" s="124">
        <f t="shared" si="6"/>
        <v>9.5499258602138924E-7</v>
      </c>
      <c r="D101" s="124">
        <f t="shared" si="7"/>
        <v>2917666.8906950336</v>
      </c>
      <c r="E101" s="124">
        <f t="shared" si="8"/>
        <v>1</v>
      </c>
      <c r="F101" s="124">
        <f t="shared" si="9"/>
        <v>1</v>
      </c>
      <c r="G101" s="124">
        <f t="shared" si="10"/>
        <v>2923549.2986412114</v>
      </c>
      <c r="H101" s="124">
        <f t="shared" si="11"/>
        <v>1</v>
      </c>
      <c r="I101" s="124">
        <f t="shared" si="12"/>
        <v>1</v>
      </c>
      <c r="J101" s="124">
        <f t="shared" si="13"/>
        <v>7.65125412018763E-7</v>
      </c>
      <c r="K101" s="124">
        <f t="shared" si="14"/>
        <v>0</v>
      </c>
      <c r="L101" s="124">
        <f t="shared" si="15"/>
        <v>0</v>
      </c>
      <c r="M101" s="120"/>
      <c r="N101" s="132">
        <f t="shared" si="3"/>
        <v>6.00039538495503E-6</v>
      </c>
      <c r="O101" s="124">
        <f t="shared" si="16"/>
        <v>2378.038091719618</v>
      </c>
      <c r="P101" s="124">
        <f t="shared" si="17"/>
        <v>1</v>
      </c>
      <c r="Q101" s="124">
        <f t="shared" si="18"/>
        <v>1</v>
      </c>
      <c r="R101" s="124">
        <f t="shared" si="19"/>
        <v>2225.0364251238684</v>
      </c>
      <c r="S101" s="124">
        <f t="shared" si="20"/>
        <v>479.93684773173635</v>
      </c>
      <c r="T101" s="124">
        <f t="shared" si="21"/>
        <v>2276.2087933532548</v>
      </c>
      <c r="U101" s="124">
        <f t="shared" si="22"/>
        <v>1</v>
      </c>
      <c r="V101" s="124">
        <f t="shared" si="23"/>
        <v>0</v>
      </c>
      <c r="W101" s="124">
        <f t="shared" si="24"/>
        <v>1</v>
      </c>
      <c r="X101" s="124">
        <f t="shared" si="25"/>
        <v>1</v>
      </c>
      <c r="Y101" s="124">
        <f t="shared" si="26"/>
        <v>0</v>
      </c>
      <c r="Z101" s="124">
        <f t="shared" si="27"/>
        <v>1</v>
      </c>
      <c r="AA101" s="124">
        <f t="shared" si="4"/>
        <v>3.6125503132687783E-4</v>
      </c>
      <c r="AB101" s="124">
        <f t="shared" si="28"/>
        <v>0</v>
      </c>
      <c r="AC101" s="124">
        <f t="shared" si="29"/>
        <v>0</v>
      </c>
    </row>
    <row r="102" spans="2:29" s="114" customFormat="1">
      <c r="B102" s="115">
        <f t="shared" si="5"/>
        <v>-6.0000000000000213</v>
      </c>
      <c r="C102" s="124">
        <f t="shared" si="6"/>
        <v>9.9999999999994892E-7</v>
      </c>
      <c r="D102" s="124">
        <f t="shared" si="7"/>
        <v>2910076.4590079747</v>
      </c>
      <c r="E102" s="124">
        <f t="shared" si="8"/>
        <v>1</v>
      </c>
      <c r="F102" s="124">
        <f t="shared" si="9"/>
        <v>1</v>
      </c>
      <c r="G102" s="124">
        <f t="shared" si="10"/>
        <v>2915112.2856146884</v>
      </c>
      <c r="H102" s="124">
        <f t="shared" si="11"/>
        <v>1</v>
      </c>
      <c r="I102" s="124">
        <f t="shared" si="12"/>
        <v>1</v>
      </c>
      <c r="J102" s="124">
        <f t="shared" si="13"/>
        <v>5.6383283438392742E-7</v>
      </c>
      <c r="K102" s="124">
        <f t="shared" si="14"/>
        <v>0</v>
      </c>
      <c r="L102" s="124">
        <f t="shared" si="15"/>
        <v>0</v>
      </c>
      <c r="M102" s="120"/>
      <c r="N102" s="132">
        <f t="shared" si="3"/>
        <v>6.2831853071792656E-6</v>
      </c>
      <c r="O102" s="124">
        <f t="shared" si="16"/>
        <v>2392.3670072000459</v>
      </c>
      <c r="P102" s="124">
        <f t="shared" si="17"/>
        <v>1</v>
      </c>
      <c r="Q102" s="124">
        <f t="shared" si="18"/>
        <v>1</v>
      </c>
      <c r="R102" s="124">
        <f t="shared" si="19"/>
        <v>2238.7436403001284</v>
      </c>
      <c r="S102" s="124">
        <f t="shared" si="20"/>
        <v>489.54735209304124</v>
      </c>
      <c r="T102" s="124">
        <f t="shared" si="21"/>
        <v>2291.6434489085727</v>
      </c>
      <c r="U102" s="124">
        <f t="shared" si="22"/>
        <v>1</v>
      </c>
      <c r="V102" s="124">
        <f t="shared" si="23"/>
        <v>0</v>
      </c>
      <c r="W102" s="124">
        <f t="shared" si="24"/>
        <v>1</v>
      </c>
      <c r="X102" s="124">
        <f t="shared" si="25"/>
        <v>1</v>
      </c>
      <c r="Y102" s="124">
        <f t="shared" si="26"/>
        <v>0</v>
      </c>
      <c r="Z102" s="124">
        <f t="shared" si="27"/>
        <v>1</v>
      </c>
      <c r="AA102" s="124">
        <f t="shared" si="4"/>
        <v>3.4897067204661393E-4</v>
      </c>
      <c r="AB102" s="124">
        <f t="shared" si="28"/>
        <v>0</v>
      </c>
      <c r="AC102" s="124">
        <f t="shared" si="29"/>
        <v>0</v>
      </c>
    </row>
    <row r="103" spans="2:29" s="114" customFormat="1">
      <c r="B103" s="115">
        <f t="shared" si="5"/>
        <v>-5.9800000000000217</v>
      </c>
      <c r="C103" s="124">
        <f t="shared" si="6"/>
        <v>1.0471285480508458E-6</v>
      </c>
      <c r="D103" s="124">
        <f t="shared" si="7"/>
        <v>2902426.6857435727</v>
      </c>
      <c r="E103" s="124">
        <f t="shared" si="8"/>
        <v>1</v>
      </c>
      <c r="F103" s="124">
        <f t="shared" si="9"/>
        <v>1</v>
      </c>
      <c r="G103" s="124">
        <f t="shared" si="10"/>
        <v>2906574.8531691465</v>
      </c>
      <c r="H103" s="124">
        <f t="shared" si="11"/>
        <v>1</v>
      </c>
      <c r="I103" s="124">
        <f t="shared" si="12"/>
        <v>1</v>
      </c>
      <c r="J103" s="124">
        <f t="shared" si="13"/>
        <v>3.8471430224868691E-7</v>
      </c>
      <c r="K103" s="124">
        <f t="shared" si="14"/>
        <v>0</v>
      </c>
      <c r="L103" s="124">
        <f t="shared" si="15"/>
        <v>0</v>
      </c>
      <c r="M103" s="120"/>
      <c r="N103" s="132">
        <f t="shared" si="3"/>
        <v>6.5793027078413676E-6</v>
      </c>
      <c r="O103" s="124">
        <f t="shared" si="16"/>
        <v>2406.9194586607136</v>
      </c>
      <c r="P103" s="124">
        <f t="shared" si="17"/>
        <v>1</v>
      </c>
      <c r="Q103" s="124">
        <f t="shared" si="18"/>
        <v>1</v>
      </c>
      <c r="R103" s="124">
        <f t="shared" si="19"/>
        <v>2252.9400639100199</v>
      </c>
      <c r="S103" s="124">
        <f t="shared" si="20"/>
        <v>499.12010373914421</v>
      </c>
      <c r="T103" s="124">
        <f t="shared" si="21"/>
        <v>2307.5657757748659</v>
      </c>
      <c r="U103" s="124">
        <f t="shared" si="22"/>
        <v>1</v>
      </c>
      <c r="V103" s="124">
        <f t="shared" si="23"/>
        <v>0</v>
      </c>
      <c r="W103" s="124">
        <f t="shared" si="24"/>
        <v>1</v>
      </c>
      <c r="X103" s="124">
        <f t="shared" si="25"/>
        <v>1</v>
      </c>
      <c r="Y103" s="124">
        <f t="shared" si="26"/>
        <v>0</v>
      </c>
      <c r="Z103" s="124">
        <f t="shared" si="27"/>
        <v>1</v>
      </c>
      <c r="AA103" s="124">
        <f t="shared" si="4"/>
        <v>3.3516341379972916E-4</v>
      </c>
      <c r="AB103" s="124">
        <f t="shared" si="28"/>
        <v>0</v>
      </c>
      <c r="AC103" s="124">
        <f t="shared" si="29"/>
        <v>0</v>
      </c>
    </row>
    <row r="104" spans="2:29" s="114" customFormat="1">
      <c r="B104" s="115">
        <f t="shared" si="5"/>
        <v>-5.9600000000000222</v>
      </c>
      <c r="C104" s="124">
        <f t="shared" si="6"/>
        <v>1.0964781961431267E-6</v>
      </c>
      <c r="D104" s="124">
        <f t="shared" si="7"/>
        <v>2894717.3747729487</v>
      </c>
      <c r="E104" s="124">
        <f t="shared" si="8"/>
        <v>1</v>
      </c>
      <c r="F104" s="124">
        <f t="shared" si="9"/>
        <v>1</v>
      </c>
      <c r="G104" s="124">
        <f t="shared" si="10"/>
        <v>2897946.3825154994</v>
      </c>
      <c r="H104" s="124">
        <f t="shared" si="11"/>
        <v>1</v>
      </c>
      <c r="I104" s="124">
        <f t="shared" si="12"/>
        <v>1</v>
      </c>
      <c r="J104" s="124">
        <f t="shared" si="13"/>
        <v>2.3442840707328329E-7</v>
      </c>
      <c r="K104" s="124">
        <f t="shared" si="14"/>
        <v>0</v>
      </c>
      <c r="L104" s="124">
        <f t="shared" si="15"/>
        <v>0</v>
      </c>
      <c r="M104" s="120"/>
      <c r="N104" s="132">
        <f t="shared" si="3"/>
        <v>6.8893756916492699E-6</v>
      </c>
      <c r="O104" s="124">
        <f t="shared" si="16"/>
        <v>2421.6995285994803</v>
      </c>
      <c r="P104" s="124">
        <f t="shared" si="17"/>
        <v>1</v>
      </c>
      <c r="Q104" s="124">
        <f t="shared" si="18"/>
        <v>1</v>
      </c>
      <c r="R104" s="124">
        <f t="shared" si="19"/>
        <v>2267.609504085538</v>
      </c>
      <c r="S104" s="124">
        <f t="shared" si="20"/>
        <v>508.61537613861833</v>
      </c>
      <c r="T104" s="124">
        <f t="shared" si="21"/>
        <v>2323.9497550213273</v>
      </c>
      <c r="U104" s="124">
        <f t="shared" si="22"/>
        <v>1</v>
      </c>
      <c r="V104" s="124">
        <f t="shared" si="23"/>
        <v>0</v>
      </c>
      <c r="W104" s="124">
        <f t="shared" si="24"/>
        <v>1</v>
      </c>
      <c r="X104" s="124">
        <f t="shared" si="25"/>
        <v>1</v>
      </c>
      <c r="Y104" s="124">
        <f t="shared" si="26"/>
        <v>0</v>
      </c>
      <c r="Z104" s="124">
        <f t="shared" si="27"/>
        <v>1</v>
      </c>
      <c r="AA104" s="124">
        <f t="shared" si="4"/>
        <v>3.201781683512062E-4</v>
      </c>
      <c r="AB104" s="124">
        <f t="shared" si="28"/>
        <v>0</v>
      </c>
      <c r="AC104" s="124">
        <f t="shared" si="29"/>
        <v>0</v>
      </c>
    </row>
    <row r="105" spans="2:29" s="114" customFormat="1">
      <c r="B105" s="115">
        <f t="shared" si="5"/>
        <v>-5.9400000000000226</v>
      </c>
      <c r="C105" s="124">
        <f t="shared" si="6"/>
        <v>1.1481536214968215E-6</v>
      </c>
      <c r="D105" s="124">
        <f t="shared" si="7"/>
        <v>2886948.3352612187</v>
      </c>
      <c r="E105" s="124">
        <f t="shared" si="8"/>
        <v>1</v>
      </c>
      <c r="F105" s="124">
        <f t="shared" si="9"/>
        <v>1</v>
      </c>
      <c r="G105" s="124">
        <f t="shared" si="10"/>
        <v>2889236.6867827228</v>
      </c>
      <c r="H105" s="124">
        <f t="shared" si="11"/>
        <v>1</v>
      </c>
      <c r="I105" s="124">
        <f t="shared" si="12"/>
        <v>1</v>
      </c>
      <c r="J105" s="124">
        <f t="shared" si="13"/>
        <v>1.1841097160663254E-7</v>
      </c>
      <c r="K105" s="124">
        <f t="shared" si="14"/>
        <v>0</v>
      </c>
      <c r="L105" s="124">
        <f t="shared" si="15"/>
        <v>0</v>
      </c>
      <c r="M105" s="120"/>
      <c r="N105" s="132">
        <f t="shared" si="3"/>
        <v>7.2140619649738607E-6</v>
      </c>
      <c r="O105" s="124">
        <f t="shared" si="16"/>
        <v>2436.7113860098689</v>
      </c>
      <c r="P105" s="124">
        <f t="shared" si="17"/>
        <v>1</v>
      </c>
      <c r="Q105" s="124">
        <f t="shared" si="18"/>
        <v>1</v>
      </c>
      <c r="R105" s="124">
        <f t="shared" si="19"/>
        <v>2282.729657573158</v>
      </c>
      <c r="S105" s="124">
        <f t="shared" si="20"/>
        <v>517.99546477775687</v>
      </c>
      <c r="T105" s="124">
        <f t="shared" si="21"/>
        <v>2340.763548736692</v>
      </c>
      <c r="U105" s="124">
        <f t="shared" si="22"/>
        <v>1</v>
      </c>
      <c r="V105" s="124">
        <f t="shared" si="23"/>
        <v>0</v>
      </c>
      <c r="W105" s="124">
        <f t="shared" si="24"/>
        <v>1</v>
      </c>
      <c r="X105" s="124">
        <f t="shared" si="25"/>
        <v>1</v>
      </c>
      <c r="Y105" s="124">
        <f t="shared" si="26"/>
        <v>0</v>
      </c>
      <c r="Z105" s="124">
        <f t="shared" si="27"/>
        <v>1</v>
      </c>
      <c r="AA105" s="124">
        <f t="shared" si="4"/>
        <v>3.0438199505611731E-4</v>
      </c>
      <c r="AB105" s="124">
        <f t="shared" si="28"/>
        <v>0</v>
      </c>
      <c r="AC105" s="124">
        <f t="shared" si="29"/>
        <v>0</v>
      </c>
    </row>
    <row r="106" spans="2:29" s="114" customFormat="1">
      <c r="B106" s="115">
        <f t="shared" si="5"/>
        <v>-5.920000000000023</v>
      </c>
      <c r="C106" s="124">
        <f t="shared" si="6"/>
        <v>1.2022644346173486E-6</v>
      </c>
      <c r="D106" s="124">
        <f t="shared" si="7"/>
        <v>2879119.3818132617</v>
      </c>
      <c r="E106" s="124">
        <f t="shared" si="8"/>
        <v>1</v>
      </c>
      <c r="F106" s="124">
        <f t="shared" si="9"/>
        <v>1</v>
      </c>
      <c r="G106" s="124">
        <f t="shared" si="10"/>
        <v>2880455.9404595275</v>
      </c>
      <c r="H106" s="124">
        <f t="shared" si="11"/>
        <v>1</v>
      </c>
      <c r="I106" s="124">
        <f t="shared" si="12"/>
        <v>1</v>
      </c>
      <c r="J106" s="124">
        <f t="shared" si="13"/>
        <v>4.0627841032369401E-8</v>
      </c>
      <c r="K106" s="124">
        <f t="shared" si="14"/>
        <v>0</v>
      </c>
      <c r="L106" s="124">
        <f t="shared" si="15"/>
        <v>0</v>
      </c>
      <c r="M106" s="120"/>
      <c r="N106" s="132">
        <f t="shared" si="3"/>
        <v>7.5540502309322973E-6</v>
      </c>
      <c r="O106" s="124">
        <f t="shared" si="16"/>
        <v>2451.9592884386598</v>
      </c>
      <c r="P106" s="124">
        <f t="shared" si="17"/>
        <v>1</v>
      </c>
      <c r="Q106" s="124">
        <f t="shared" si="18"/>
        <v>1</v>
      </c>
      <c r="R106" s="124">
        <f t="shared" si="19"/>
        <v>2298.2722583443169</v>
      </c>
      <c r="S106" s="124">
        <f t="shared" si="20"/>
        <v>527.22564422960454</v>
      </c>
      <c r="T106" s="124">
        <f t="shared" si="21"/>
        <v>2357.9699432792627</v>
      </c>
      <c r="U106" s="124">
        <f t="shared" si="22"/>
        <v>1</v>
      </c>
      <c r="V106" s="124">
        <f t="shared" si="23"/>
        <v>0</v>
      </c>
      <c r="W106" s="124">
        <f t="shared" si="24"/>
        <v>1</v>
      </c>
      <c r="X106" s="124">
        <f t="shared" si="25"/>
        <v>1</v>
      </c>
      <c r="Y106" s="124">
        <f t="shared" si="26"/>
        <v>0</v>
      </c>
      <c r="Z106" s="124">
        <f t="shared" si="27"/>
        <v>1</v>
      </c>
      <c r="AA106" s="124">
        <f t="shared" si="4"/>
        <v>2.8815028941268629E-4</v>
      </c>
      <c r="AB106" s="124">
        <f t="shared" si="28"/>
        <v>0</v>
      </c>
      <c r="AC106" s="124">
        <f t="shared" si="29"/>
        <v>0</v>
      </c>
    </row>
    <row r="107" spans="2:29" s="114" customFormat="1">
      <c r="B107" s="115">
        <f t="shared" si="5"/>
        <v>-5.9000000000000234</v>
      </c>
      <c r="C107" s="124">
        <f t="shared" si="6"/>
        <v>1.2589254117940973E-6</v>
      </c>
      <c r="D107" s="124">
        <f t="shared" si="7"/>
        <v>2871230.3346210211</v>
      </c>
      <c r="E107" s="124">
        <f t="shared" si="8"/>
        <v>1</v>
      </c>
      <c r="F107" s="124">
        <f t="shared" si="9"/>
        <v>1</v>
      </c>
      <c r="G107" s="124">
        <f t="shared" si="10"/>
        <v>2871614.5973814116</v>
      </c>
      <c r="H107" s="124">
        <f t="shared" si="11"/>
        <v>1</v>
      </c>
      <c r="I107" s="124">
        <f t="shared" si="12"/>
        <v>1</v>
      </c>
      <c r="J107" s="124">
        <f t="shared" si="13"/>
        <v>3.3777774528572294E-9</v>
      </c>
      <c r="K107" s="124">
        <f t="shared" si="14"/>
        <v>0</v>
      </c>
      <c r="L107" s="124">
        <f t="shared" si="15"/>
        <v>0</v>
      </c>
      <c r="M107" s="120"/>
      <c r="N107" s="132">
        <f t="shared" si="3"/>
        <v>7.9100616502196825E-6</v>
      </c>
      <c r="O107" s="124">
        <f t="shared" si="16"/>
        <v>2467.4475840964478</v>
      </c>
      <c r="P107" s="124">
        <f t="shared" si="17"/>
        <v>1</v>
      </c>
      <c r="Q107" s="124">
        <f t="shared" si="18"/>
        <v>1</v>
      </c>
      <c r="R107" s="124">
        <f t="shared" si="19"/>
        <v>2314.2033902786475</v>
      </c>
      <c r="S107" s="124">
        <f t="shared" si="20"/>
        <v>536.27512829841351</v>
      </c>
      <c r="T107" s="124">
        <f t="shared" si="21"/>
        <v>2375.5269614989988</v>
      </c>
      <c r="U107" s="124">
        <f t="shared" si="22"/>
        <v>1</v>
      </c>
      <c r="V107" s="124">
        <f t="shared" si="23"/>
        <v>0</v>
      </c>
      <c r="W107" s="124">
        <f t="shared" si="24"/>
        <v>1</v>
      </c>
      <c r="X107" s="124">
        <f t="shared" si="25"/>
        <v>1</v>
      </c>
      <c r="Y107" s="124">
        <f t="shared" si="26"/>
        <v>0</v>
      </c>
      <c r="Z107" s="124">
        <f t="shared" si="27"/>
        <v>1</v>
      </c>
      <c r="AA107" s="124">
        <f t="shared" si="4"/>
        <v>2.7185321557109571E-4</v>
      </c>
      <c r="AB107" s="124">
        <f t="shared" si="28"/>
        <v>0</v>
      </c>
      <c r="AC107" s="124">
        <f t="shared" si="29"/>
        <v>0</v>
      </c>
    </row>
    <row r="108" spans="2:29" s="114" customFormat="1">
      <c r="B108" s="115">
        <f t="shared" si="5"/>
        <v>-5.8800000000000239</v>
      </c>
      <c r="C108" s="124">
        <f t="shared" si="6"/>
        <v>1.3182567385563337E-6</v>
      </c>
      <c r="D108" s="124">
        <f t="shared" si="7"/>
        <v>2863281.0196123151</v>
      </c>
      <c r="E108" s="124">
        <f t="shared" si="8"/>
        <v>1</v>
      </c>
      <c r="F108" s="124">
        <f t="shared" si="9"/>
        <v>1</v>
      </c>
      <c r="G108" s="124">
        <f t="shared" si="10"/>
        <v>2862723.2972514392</v>
      </c>
      <c r="H108" s="124">
        <f t="shared" si="11"/>
        <v>1</v>
      </c>
      <c r="I108" s="124">
        <f t="shared" si="12"/>
        <v>1</v>
      </c>
      <c r="J108" s="124">
        <f t="shared" si="13"/>
        <v>7.1575005269477708E-9</v>
      </c>
      <c r="K108" s="124">
        <f t="shared" si="14"/>
        <v>0</v>
      </c>
      <c r="L108" s="124">
        <f t="shared" si="15"/>
        <v>0</v>
      </c>
      <c r="M108" s="120"/>
      <c r="N108" s="132">
        <f t="shared" si="3"/>
        <v>8.2828513707876368E-6</v>
      </c>
      <c r="O108" s="124">
        <f t="shared" si="16"/>
        <v>2483.1807140227088</v>
      </c>
      <c r="P108" s="124">
        <f t="shared" si="17"/>
        <v>1</v>
      </c>
      <c r="Q108" s="124">
        <f t="shared" si="18"/>
        <v>1</v>
      </c>
      <c r="R108" s="124">
        <f t="shared" si="19"/>
        <v>2330.4839694513057</v>
      </c>
      <c r="S108" s="124">
        <f t="shared" si="20"/>
        <v>545.11800098464937</v>
      </c>
      <c r="T108" s="124">
        <f t="shared" si="21"/>
        <v>2393.388636821654</v>
      </c>
      <c r="U108" s="124">
        <f t="shared" si="22"/>
        <v>1</v>
      </c>
      <c r="V108" s="124">
        <f t="shared" si="23"/>
        <v>0</v>
      </c>
      <c r="W108" s="124">
        <f t="shared" si="24"/>
        <v>1</v>
      </c>
      <c r="X108" s="124">
        <f t="shared" si="25"/>
        <v>1</v>
      </c>
      <c r="Y108" s="124">
        <f t="shared" si="26"/>
        <v>0</v>
      </c>
      <c r="Z108" s="124">
        <f t="shared" si="27"/>
        <v>1</v>
      </c>
      <c r="AA108" s="124">
        <f t="shared" si="4"/>
        <v>2.5584328154372622E-4</v>
      </c>
      <c r="AB108" s="124">
        <f t="shared" si="28"/>
        <v>0</v>
      </c>
      <c r="AC108" s="124">
        <f t="shared" si="29"/>
        <v>0</v>
      </c>
    </row>
    <row r="109" spans="2:29" s="114" customFormat="1">
      <c r="B109" s="115">
        <f t="shared" si="5"/>
        <v>-5.8600000000000243</v>
      </c>
      <c r="C109" s="124">
        <f t="shared" si="6"/>
        <v>1.3803842646028052E-6</v>
      </c>
      <c r="D109" s="124">
        <f t="shared" si="7"/>
        <v>2855271.2686012858</v>
      </c>
      <c r="E109" s="124">
        <f t="shared" si="8"/>
        <v>1</v>
      </c>
      <c r="F109" s="124">
        <f t="shared" si="9"/>
        <v>1</v>
      </c>
      <c r="G109" s="124">
        <f t="shared" si="10"/>
        <v>2853792.7609262061</v>
      </c>
      <c r="H109" s="124">
        <f t="shared" si="11"/>
        <v>1</v>
      </c>
      <c r="I109" s="124">
        <f t="shared" si="12"/>
        <v>1</v>
      </c>
      <c r="J109" s="124">
        <f t="shared" si="13"/>
        <v>5.0599470521958768E-8</v>
      </c>
      <c r="K109" s="124">
        <f t="shared" si="14"/>
        <v>0</v>
      </c>
      <c r="L109" s="124">
        <f t="shared" si="15"/>
        <v>0</v>
      </c>
      <c r="M109" s="120"/>
      <c r="N109" s="132">
        <f t="shared" si="3"/>
        <v>8.6732101296142446E-6</v>
      </c>
      <c r="O109" s="124">
        <f t="shared" si="16"/>
        <v>2499.1632143067395</v>
      </c>
      <c r="P109" s="124">
        <f t="shared" si="17"/>
        <v>1</v>
      </c>
      <c r="Q109" s="124">
        <f t="shared" si="18"/>
        <v>1</v>
      </c>
      <c r="R109" s="124">
        <f t="shared" si="19"/>
        <v>2347.0703942292898</v>
      </c>
      <c r="S109" s="124">
        <f t="shared" si="20"/>
        <v>553.73408395114427</v>
      </c>
      <c r="T109" s="124">
        <f t="shared" si="21"/>
        <v>2411.5059343067865</v>
      </c>
      <c r="U109" s="124">
        <f t="shared" si="22"/>
        <v>1</v>
      </c>
      <c r="V109" s="124">
        <f t="shared" si="23"/>
        <v>0</v>
      </c>
      <c r="W109" s="124">
        <f t="shared" si="24"/>
        <v>1</v>
      </c>
      <c r="X109" s="124">
        <f t="shared" si="25"/>
        <v>1</v>
      </c>
      <c r="Y109" s="124">
        <f t="shared" si="26"/>
        <v>0</v>
      </c>
      <c r="Z109" s="124">
        <f t="shared" si="27"/>
        <v>1</v>
      </c>
      <c r="AA109" s="124">
        <f t="shared" si="4"/>
        <v>2.4044486801779106E-4</v>
      </c>
      <c r="AB109" s="124">
        <f t="shared" si="28"/>
        <v>0</v>
      </c>
      <c r="AC109" s="124">
        <f t="shared" si="29"/>
        <v>0</v>
      </c>
    </row>
    <row r="110" spans="2:29" s="114" customFormat="1">
      <c r="B110" s="115">
        <f t="shared" si="5"/>
        <v>-5.8400000000000247</v>
      </c>
      <c r="C110" s="124">
        <f t="shared" si="6"/>
        <v>1.4454397707458437E-6</v>
      </c>
      <c r="D110" s="124">
        <f t="shared" si="7"/>
        <v>2847200.9194401549</v>
      </c>
      <c r="E110" s="124">
        <f t="shared" si="8"/>
        <v>1</v>
      </c>
      <c r="F110" s="124">
        <f t="shared" si="9"/>
        <v>1</v>
      </c>
      <c r="G110" s="124">
        <f t="shared" si="10"/>
        <v>2844833.6749769775</v>
      </c>
      <c r="H110" s="124">
        <f t="shared" si="11"/>
        <v>1</v>
      </c>
      <c r="I110" s="124">
        <f t="shared" si="12"/>
        <v>1</v>
      </c>
      <c r="J110" s="124">
        <f t="shared" si="13"/>
        <v>1.3049077817643624E-7</v>
      </c>
      <c r="K110" s="124">
        <f t="shared" si="14"/>
        <v>0</v>
      </c>
      <c r="L110" s="124">
        <f t="shared" si="15"/>
        <v>0</v>
      </c>
      <c r="M110" s="120"/>
      <c r="N110" s="132">
        <f t="shared" si="3"/>
        <v>9.0819659299633136E-6</v>
      </c>
      <c r="O110" s="124">
        <f t="shared" si="16"/>
        <v>2515.3997183660954</v>
      </c>
      <c r="P110" s="124">
        <f t="shared" si="17"/>
        <v>1</v>
      </c>
      <c r="Q110" s="124">
        <f t="shared" si="18"/>
        <v>1</v>
      </c>
      <c r="R110" s="124">
        <f t="shared" si="19"/>
        <v>2363.9153533967524</v>
      </c>
      <c r="S110" s="124">
        <f t="shared" si="20"/>
        <v>562.10970600604298</v>
      </c>
      <c r="T110" s="124">
        <f t="shared" si="21"/>
        <v>2429.8277962874431</v>
      </c>
      <c r="U110" s="124">
        <f t="shared" si="22"/>
        <v>1</v>
      </c>
      <c r="V110" s="124">
        <f t="shared" si="23"/>
        <v>0</v>
      </c>
      <c r="W110" s="124">
        <f t="shared" si="24"/>
        <v>1</v>
      </c>
      <c r="X110" s="124">
        <f t="shared" si="25"/>
        <v>1</v>
      </c>
      <c r="Y110" s="124">
        <f t="shared" si="26"/>
        <v>0</v>
      </c>
      <c r="Z110" s="124">
        <f t="shared" si="27"/>
        <v>1</v>
      </c>
      <c r="AA110" s="124">
        <f t="shared" si="4"/>
        <v>2.2594635424199406E-4</v>
      </c>
      <c r="AB110" s="124">
        <f t="shared" si="28"/>
        <v>0</v>
      </c>
      <c r="AC110" s="124">
        <f t="shared" si="29"/>
        <v>0</v>
      </c>
    </row>
    <row r="111" spans="2:29" s="114" customFormat="1">
      <c r="B111" s="115">
        <f t="shared" si="5"/>
        <v>-5.8200000000000252</v>
      </c>
      <c r="C111" s="124">
        <f t="shared" si="6"/>
        <v>1.5135612484361176E-6</v>
      </c>
      <c r="D111" s="124">
        <f t="shared" si="7"/>
        <v>2839069.8161725667</v>
      </c>
      <c r="E111" s="124">
        <f t="shared" si="8"/>
        <v>1</v>
      </c>
      <c r="F111" s="124">
        <f t="shared" si="9"/>
        <v>1</v>
      </c>
      <c r="G111" s="124">
        <f t="shared" si="10"/>
        <v>2835856.566347809</v>
      </c>
      <c r="H111" s="124">
        <f t="shared" si="11"/>
        <v>1</v>
      </c>
      <c r="I111" s="124">
        <f t="shared" si="12"/>
        <v>1</v>
      </c>
      <c r="J111" s="124">
        <f t="shared" si="13"/>
        <v>2.4187847828939445E-7</v>
      </c>
      <c r="K111" s="124">
        <f t="shared" si="14"/>
        <v>0</v>
      </c>
      <c r="L111" s="124">
        <f t="shared" si="15"/>
        <v>0</v>
      </c>
      <c r="M111" s="120"/>
      <c r="N111" s="132">
        <f t="shared" si="3"/>
        <v>9.5099857976902061E-6</v>
      </c>
      <c r="O111" s="124">
        <f t="shared" si="16"/>
        <v>2531.8949592839881</v>
      </c>
      <c r="P111" s="124">
        <f t="shared" si="17"/>
        <v>1</v>
      </c>
      <c r="Q111" s="124">
        <f t="shared" si="18"/>
        <v>1</v>
      </c>
      <c r="R111" s="124">
        <f t="shared" si="19"/>
        <v>2380.9687744387588</v>
      </c>
      <c r="S111" s="124">
        <f t="shared" si="20"/>
        <v>570.23834206039703</v>
      </c>
      <c r="T111" s="124">
        <f t="shared" si="21"/>
        <v>2448.3022835442921</v>
      </c>
      <c r="U111" s="124">
        <f t="shared" si="22"/>
        <v>1</v>
      </c>
      <c r="V111" s="124">
        <f t="shared" si="23"/>
        <v>0</v>
      </c>
      <c r="W111" s="124">
        <f t="shared" si="24"/>
        <v>1</v>
      </c>
      <c r="X111" s="124">
        <f t="shared" si="25"/>
        <v>1</v>
      </c>
      <c r="Y111" s="124">
        <f t="shared" si="26"/>
        <v>0</v>
      </c>
      <c r="Z111" s="124">
        <f t="shared" si="27"/>
        <v>1</v>
      </c>
      <c r="AA111" s="124">
        <f t="shared" si="4"/>
        <v>2.1259525239059079E-4</v>
      </c>
      <c r="AB111" s="124">
        <f t="shared" si="28"/>
        <v>0</v>
      </c>
      <c r="AC111" s="124">
        <f t="shared" si="29"/>
        <v>0</v>
      </c>
    </row>
    <row r="112" spans="2:29" s="114" customFormat="1">
      <c r="B112" s="115">
        <f t="shared" si="5"/>
        <v>-5.8000000000000256</v>
      </c>
      <c r="C112" s="124">
        <f t="shared" si="6"/>
        <v>1.5848931924610182E-6</v>
      </c>
      <c r="D112" s="124">
        <f t="shared" si="7"/>
        <v>2830877.8091882817</v>
      </c>
      <c r="E112" s="124">
        <f t="shared" si="8"/>
        <v>1</v>
      </c>
      <c r="F112" s="124">
        <f t="shared" si="9"/>
        <v>1</v>
      </c>
      <c r="G112" s="124">
        <f t="shared" si="10"/>
        <v>2826871.6682738229</v>
      </c>
      <c r="H112" s="124">
        <f t="shared" si="11"/>
        <v>1</v>
      </c>
      <c r="I112" s="124">
        <f t="shared" si="12"/>
        <v>1</v>
      </c>
      <c r="J112" s="124">
        <f t="shared" si="13"/>
        <v>3.7826292407665957E-7</v>
      </c>
      <c r="K112" s="124">
        <f t="shared" si="14"/>
        <v>0</v>
      </c>
      <c r="L112" s="124">
        <f t="shared" si="15"/>
        <v>0</v>
      </c>
      <c r="M112" s="120"/>
      <c r="N112" s="132">
        <f t="shared" si="3"/>
        <v>9.9581776203200179E-6</v>
      </c>
      <c r="O112" s="124">
        <f t="shared" si="16"/>
        <v>2548.6537722073213</v>
      </c>
      <c r="P112" s="124">
        <f t="shared" si="17"/>
        <v>1</v>
      </c>
      <c r="Q112" s="124">
        <f t="shared" si="18"/>
        <v>1</v>
      </c>
      <c r="R112" s="124">
        <f t="shared" si="19"/>
        <v>2398.1788865365274</v>
      </c>
      <c r="S112" s="124">
        <f t="shared" si="20"/>
        <v>578.1210930969803</v>
      </c>
      <c r="T112" s="124">
        <f t="shared" si="21"/>
        <v>2466.8777777006353</v>
      </c>
      <c r="U112" s="124">
        <f t="shared" si="22"/>
        <v>1</v>
      </c>
      <c r="V112" s="124">
        <f t="shared" si="23"/>
        <v>0</v>
      </c>
      <c r="W112" s="124">
        <f t="shared" si="24"/>
        <v>1</v>
      </c>
      <c r="X112" s="124">
        <f t="shared" si="25"/>
        <v>1</v>
      </c>
      <c r="Y112" s="124">
        <f t="shared" si="26"/>
        <v>0</v>
      </c>
      <c r="Z112" s="124">
        <f t="shared" si="27"/>
        <v>1</v>
      </c>
      <c r="AA112" s="124">
        <f t="shared" si="4"/>
        <v>2.0059648857187666E-4</v>
      </c>
      <c r="AB112" s="124">
        <f t="shared" si="28"/>
        <v>0</v>
      </c>
      <c r="AC112" s="124">
        <f t="shared" si="29"/>
        <v>0</v>
      </c>
    </row>
    <row r="113" spans="2:29" s="114" customFormat="1">
      <c r="B113" s="115">
        <f t="shared" si="5"/>
        <v>-5.780000000000026</v>
      </c>
      <c r="C113" s="124">
        <f t="shared" si="6"/>
        <v>1.6595869074374578E-6</v>
      </c>
      <c r="D113" s="124">
        <f t="shared" si="7"/>
        <v>2822624.7553792633</v>
      </c>
      <c r="E113" s="124">
        <f t="shared" si="8"/>
        <v>1</v>
      </c>
      <c r="F113" s="124">
        <f t="shared" si="9"/>
        <v>1</v>
      </c>
      <c r="G113" s="124">
        <f t="shared" si="10"/>
        <v>2817888.7789879446</v>
      </c>
      <c r="H113" s="124">
        <f t="shared" si="11"/>
        <v>1</v>
      </c>
      <c r="I113" s="124">
        <f t="shared" si="12"/>
        <v>1</v>
      </c>
      <c r="J113" s="124">
        <f t="shared" si="13"/>
        <v>5.3187623310620969E-7</v>
      </c>
      <c r="K113" s="124">
        <f t="shared" si="14"/>
        <v>0</v>
      </c>
      <c r="L113" s="124">
        <f t="shared" si="15"/>
        <v>0</v>
      </c>
      <c r="M113" s="120"/>
      <c r="N113" s="132">
        <f t="shared" si="3"/>
        <v>1.0427492072798643E-5</v>
      </c>
      <c r="O113" s="124">
        <f t="shared" si="16"/>
        <v>2565.6810968069367</v>
      </c>
      <c r="P113" s="124">
        <f t="shared" si="17"/>
        <v>1</v>
      </c>
      <c r="Q113" s="124">
        <f t="shared" si="18"/>
        <v>1</v>
      </c>
      <c r="R113" s="124">
        <f t="shared" si="19"/>
        <v>2415.4933663881038</v>
      </c>
      <c r="S113" s="124">
        <f t="shared" si="20"/>
        <v>585.76698473096701</v>
      </c>
      <c r="T113" s="124">
        <f t="shared" si="21"/>
        <v>2485.5042070907348</v>
      </c>
      <c r="U113" s="124">
        <f t="shared" si="22"/>
        <v>1</v>
      </c>
      <c r="V113" s="124">
        <f t="shared" si="23"/>
        <v>0</v>
      </c>
      <c r="W113" s="124">
        <f t="shared" si="24"/>
        <v>1</v>
      </c>
      <c r="X113" s="124">
        <f t="shared" si="25"/>
        <v>1</v>
      </c>
      <c r="Y113" s="124">
        <f t="shared" si="26"/>
        <v>0</v>
      </c>
      <c r="Z113" s="124">
        <f t="shared" si="27"/>
        <v>1</v>
      </c>
      <c r="AA113" s="124">
        <f t="shared" si="4"/>
        <v>1.9011368327447316E-4</v>
      </c>
      <c r="AB113" s="124">
        <f t="shared" si="28"/>
        <v>0</v>
      </c>
      <c r="AC113" s="124">
        <f t="shared" si="29"/>
        <v>0</v>
      </c>
    </row>
    <row r="114" spans="2:29" s="114" customFormat="1">
      <c r="B114" s="115">
        <f t="shared" si="5"/>
        <v>-5.7600000000000264</v>
      </c>
      <c r="C114" s="124">
        <f t="shared" si="6"/>
        <v>1.7378008287492675E-6</v>
      </c>
      <c r="D114" s="124">
        <f t="shared" si="7"/>
        <v>2814310.5182971209</v>
      </c>
      <c r="E114" s="124">
        <f t="shared" si="8"/>
        <v>1</v>
      </c>
      <c r="F114" s="124">
        <f t="shared" si="9"/>
        <v>1</v>
      </c>
      <c r="G114" s="124">
        <f t="shared" si="10"/>
        <v>2808917.1151253567</v>
      </c>
      <c r="H114" s="124">
        <f t="shared" si="11"/>
        <v>1</v>
      </c>
      <c r="I114" s="124">
        <f t="shared" si="12"/>
        <v>1</v>
      </c>
      <c r="J114" s="124">
        <f t="shared" si="13"/>
        <v>6.9403811837610025E-7</v>
      </c>
      <c r="K114" s="124">
        <f t="shared" si="14"/>
        <v>0</v>
      </c>
      <c r="L114" s="124">
        <f t="shared" si="15"/>
        <v>0</v>
      </c>
      <c r="M114" s="120"/>
      <c r="N114" s="132">
        <f t="shared" si="3"/>
        <v>1.0918924634001907E-5</v>
      </c>
      <c r="O114" s="124">
        <f t="shared" si="16"/>
        <v>2582.981979801837</v>
      </c>
      <c r="P114" s="124">
        <f t="shared" si="17"/>
        <v>1</v>
      </c>
      <c r="Q114" s="124">
        <f t="shared" si="18"/>
        <v>1</v>
      </c>
      <c r="R114" s="124">
        <f t="shared" si="19"/>
        <v>2432.8605302233518</v>
      </c>
      <c r="S114" s="124">
        <f t="shared" si="20"/>
        <v>593.19306958403422</v>
      </c>
      <c r="T114" s="124">
        <f t="shared" si="21"/>
        <v>2504.1342570479678</v>
      </c>
      <c r="U114" s="124">
        <f t="shared" si="22"/>
        <v>1</v>
      </c>
      <c r="V114" s="124">
        <f t="shared" si="23"/>
        <v>0</v>
      </c>
      <c r="W114" s="124">
        <f t="shared" si="24"/>
        <v>1</v>
      </c>
      <c r="X114" s="124">
        <f t="shared" si="25"/>
        <v>1</v>
      </c>
      <c r="Y114" s="124">
        <f t="shared" si="26"/>
        <v>0</v>
      </c>
      <c r="Z114" s="124">
        <f t="shared" si="27"/>
        <v>1</v>
      </c>
      <c r="AA114" s="124">
        <f t="shared" si="4"/>
        <v>1.8127301722744069E-4</v>
      </c>
      <c r="AB114" s="124">
        <f t="shared" si="28"/>
        <v>0</v>
      </c>
      <c r="AC114" s="124">
        <f t="shared" si="29"/>
        <v>0</v>
      </c>
    </row>
    <row r="115" spans="2:29" s="114" customFormat="1">
      <c r="B115" s="115">
        <f t="shared" si="5"/>
        <v>-5.7400000000000269</v>
      </c>
      <c r="C115" s="124">
        <f t="shared" si="6"/>
        <v>1.8197008586098699E-6</v>
      </c>
      <c r="D115" s="124">
        <f t="shared" si="7"/>
        <v>2805934.9683118733</v>
      </c>
      <c r="E115" s="124">
        <f t="shared" si="8"/>
        <v>1</v>
      </c>
      <c r="F115" s="124">
        <f t="shared" si="9"/>
        <v>1</v>
      </c>
      <c r="G115" s="124">
        <f t="shared" si="10"/>
        <v>2799965.1621214869</v>
      </c>
      <c r="H115" s="124">
        <f t="shared" si="11"/>
        <v>1</v>
      </c>
      <c r="I115" s="124">
        <f t="shared" si="12"/>
        <v>1</v>
      </c>
      <c r="J115" s="124">
        <f t="shared" si="13"/>
        <v>8.5557619642599051E-7</v>
      </c>
      <c r="K115" s="124">
        <f t="shared" si="14"/>
        <v>0</v>
      </c>
      <c r="L115" s="124">
        <f t="shared" si="15"/>
        <v>0</v>
      </c>
      <c r="M115" s="120"/>
      <c r="N115" s="132">
        <f t="shared" si="3"/>
        <v>1.1433517698279613E-5</v>
      </c>
      <c r="O115" s="124">
        <f t="shared" si="16"/>
        <v>2600.5615775490478</v>
      </c>
      <c r="P115" s="124">
        <f t="shared" si="17"/>
        <v>1</v>
      </c>
      <c r="Q115" s="124">
        <f t="shared" si="18"/>
        <v>1</v>
      </c>
      <c r="R115" s="124">
        <f t="shared" si="19"/>
        <v>2450.2305327535196</v>
      </c>
      <c r="S115" s="124">
        <f t="shared" si="20"/>
        <v>600.42432739414971</v>
      </c>
      <c r="T115" s="124">
        <f t="shared" si="21"/>
        <v>2522.7245264920052</v>
      </c>
      <c r="U115" s="124">
        <f t="shared" si="22"/>
        <v>1</v>
      </c>
      <c r="V115" s="124">
        <f t="shared" si="23"/>
        <v>0</v>
      </c>
      <c r="W115" s="124">
        <f t="shared" si="24"/>
        <v>1</v>
      </c>
      <c r="X115" s="124">
        <f t="shared" si="25"/>
        <v>1</v>
      </c>
      <c r="Y115" s="124">
        <f t="shared" si="26"/>
        <v>0</v>
      </c>
      <c r="Z115" s="124">
        <f t="shared" si="27"/>
        <v>1</v>
      </c>
      <c r="AA115" s="124">
        <f t="shared" si="4"/>
        <v>1.7416904855518974E-4</v>
      </c>
      <c r="AB115" s="124">
        <f t="shared" si="28"/>
        <v>0</v>
      </c>
      <c r="AC115" s="124">
        <f t="shared" si="29"/>
        <v>0</v>
      </c>
    </row>
    <row r="116" spans="2:29" s="114" customFormat="1">
      <c r="B116" s="115">
        <f t="shared" si="5"/>
        <v>-5.7200000000000273</v>
      </c>
      <c r="C116" s="124">
        <f t="shared" si="6"/>
        <v>1.9054607179631244E-6</v>
      </c>
      <c r="D116" s="124">
        <f t="shared" si="7"/>
        <v>2797497.9827719443</v>
      </c>
      <c r="E116" s="124">
        <f t="shared" si="8"/>
        <v>1</v>
      </c>
      <c r="F116" s="124">
        <f t="shared" si="9"/>
        <v>1</v>
      </c>
      <c r="G116" s="124">
        <f t="shared" si="10"/>
        <v>2791040.5242787772</v>
      </c>
      <c r="H116" s="124">
        <f t="shared" si="11"/>
        <v>1</v>
      </c>
      <c r="I116" s="124">
        <f t="shared" si="12"/>
        <v>1</v>
      </c>
      <c r="J116" s="124">
        <f t="shared" si="13"/>
        <v>1.0072928510561916E-6</v>
      </c>
      <c r="K116" s="124">
        <f t="shared" si="14"/>
        <v>0</v>
      </c>
      <c r="L116" s="124">
        <f t="shared" si="15"/>
        <v>0</v>
      </c>
      <c r="M116" s="120"/>
      <c r="N116" s="132">
        <f t="shared" ref="N116:N179" si="30">2*PI()*C116</f>
        <v>1.197236278651377E-5</v>
      </c>
      <c r="O116" s="124">
        <f t="shared" si="16"/>
        <v>2618.4251587009362</v>
      </c>
      <c r="P116" s="124">
        <f t="shared" si="17"/>
        <v>1</v>
      </c>
      <c r="Q116" s="124">
        <f t="shared" si="18"/>
        <v>1</v>
      </c>
      <c r="R116" s="124">
        <f t="shared" si="19"/>
        <v>2467.5565335194292</v>
      </c>
      <c r="S116" s="124">
        <f t="shared" si="20"/>
        <v>607.49336589162385</v>
      </c>
      <c r="T116" s="124">
        <f t="shared" si="21"/>
        <v>2541.2365957770944</v>
      </c>
      <c r="U116" s="124">
        <f t="shared" si="22"/>
        <v>1</v>
      </c>
      <c r="V116" s="124">
        <f t="shared" si="23"/>
        <v>0</v>
      </c>
      <c r="W116" s="124">
        <f t="shared" si="24"/>
        <v>1</v>
      </c>
      <c r="X116" s="124">
        <f t="shared" si="25"/>
        <v>1</v>
      </c>
      <c r="Y116" s="124">
        <f t="shared" si="26"/>
        <v>0</v>
      </c>
      <c r="Z116" s="124">
        <f t="shared" si="27"/>
        <v>1</v>
      </c>
      <c r="AA116" s="124">
        <f t="shared" ref="AA116:AA179" si="31">(LOG10(O116)-LOG10(T116))^2</f>
        <v>1.6887169565491883E-4</v>
      </c>
      <c r="AB116" s="124">
        <f t="shared" si="28"/>
        <v>0</v>
      </c>
      <c r="AC116" s="124">
        <f t="shared" si="29"/>
        <v>0</v>
      </c>
    </row>
    <row r="117" spans="2:29" s="114" customFormat="1">
      <c r="B117" s="115">
        <f t="shared" ref="B117:B180" si="32">B116+0.02</f>
        <v>-5.7000000000000277</v>
      </c>
      <c r="C117" s="124">
        <f t="shared" ref="C117:C180" si="33">10^B117</f>
        <v>1.9952623149687508E-6</v>
      </c>
      <c r="D117" s="124">
        <f t="shared" ref="D117:D180" si="34">IF(AND($D$12&lt;&gt;"",$E$12&lt;&gt;"",$F$12&lt;&gt;"",$G$12&lt;&gt;""),10^($D$12+$E$12/(1+EXP($F$12+$G$12*LOG10($C117)))),1)</f>
        <v>2788999.4461654346</v>
      </c>
      <c r="E117" s="124">
        <f t="shared" ref="E117:E180" si="35">IF(AND($D$13&lt;&gt;"",$E$13&lt;&gt;"",$F$13&lt;&gt;"",$G$13&lt;&gt;""),10^($D$13+$E$13/(1+EXP($F$13+$G$13*LOG10($C117)))),1)</f>
        <v>1</v>
      </c>
      <c r="F117" s="124">
        <f t="shared" ref="F117:F180" si="36">IF(AND($D$14&lt;&gt;"",$E$14&lt;&gt;"",$F$14&lt;&gt;"",$G$14&lt;&gt;""),10^($D$14+$E$14/(1+EXP($F$14+$G$14*LOG10($C117)))),1)</f>
        <v>1</v>
      </c>
      <c r="G117" s="124">
        <f t="shared" ref="G117:G180" si="37">IF(OR($C$28="",$C$28=0),1,$C$28+$C$29*EXP(-C117/$F$29)+$C$30*EXP(-C117/$F$30)+$C$31*EXP(-C117/$F$31)+$C$32*EXP(-C117/$F$32)+$C$33*EXP(-C117/$F$33)+$C$34*EXP(-C117/$F$34)+$C$35*EXP(-C117/$F$35)+$C$36*EXP(-C117/$F$36)+$C$37*EXP(-C117/$F$37)+$C$38*EXP(-C117/$F$38)+$C$39*EXP(-C117/$F$39)+$C$40*EXP(-C117/$F$40)+$C$41*EXP(-C117/$F$41)+$C$42*EXP(-C117/$F$42))</f>
        <v>2782149.7775348867</v>
      </c>
      <c r="H117" s="124">
        <f t="shared" ref="H117:H180" si="38">IF(OR($D$28="",$D$28=0),1,$D$28+$D$29*EXP(-C117/$F$29)+$D$30*EXP(-C117/$F$30)+$D$31*EXP(-C117/$F$31)+$D$32*EXP(-C117/$F$32)+$D$33*EXP(-C117/$F$33)+$D$34*EXP(-C117/$F$34)+$D$35*EXP(-C117/$F$35)+$D$36*EXP(-C117/$F$36)+$D$37*EXP(-C117/$F$37)+$D$38*EXP(-C117/$F$38)+$D$39*EXP(-C117/$F$39)+$D$40*EXP(-C117/$F$40)+$D$41*EXP(-C117/$F$41)+$D$42*EXP(-C117/$F$42))</f>
        <v>1</v>
      </c>
      <c r="I117" s="124">
        <f t="shared" ref="I117:I180" si="39">IF(OR($E$28="",$E$28=0),1,$E$28+$E$29*EXP(-C117/$F$29)+$E$30*EXP(-C117/$F$30)+$E$31*EXP(-C117/$F$31)+$E$32*EXP(-C117/$F$32)+$E$33*EXP(-C117/$F$33)+$E$34*EXP(-C117/$F$34)+$E$35*EXP(-C117/$F$35)+$E$36*EXP(-C117/$F$36)+$E$37*EXP(-C117/$F$37)+$E$38*EXP(-C117/$F$38)+$E$39*EXP(-C117/$F$39)+$E$40*EXP(-C117/$F$40)+$E$41*EXP(-C117/$F$41)+$E$42*EXP(-C117/$F$42))</f>
        <v>1</v>
      </c>
      <c r="J117" s="124">
        <f t="shared" ref="J117:J180" si="40">(LOG10(D117)-LOG10(G117))^2</f>
        <v>1.1404561539599651E-6</v>
      </c>
      <c r="K117" s="124">
        <f t="shared" ref="K117:K180" si="41">(LOG10(E117)-LOG10(H117))^2</f>
        <v>0</v>
      </c>
      <c r="L117" s="124">
        <f t="shared" ref="L117:L180" si="42">(LOG10(F117)-LOG10(I117))^2</f>
        <v>0</v>
      </c>
      <c r="M117" s="120"/>
      <c r="N117" s="132">
        <f t="shared" si="30"/>
        <v>1.2536602861380782E-5</v>
      </c>
      <c r="O117" s="124">
        <f t="shared" ref="O117:O180" si="43">IF(AND($L$12&lt;&gt;"",$M$12&lt;&gt;"",$N$12&lt;&gt;"",$O$12&lt;&gt;""),10^($L$12+$M$12/(1+EXP($N$12+$O$12*LOG10($C117)))),1)</f>
        <v>2636.5781069318459</v>
      </c>
      <c r="P117" s="124">
        <f t="shared" ref="P117:P180" si="44">IF(AND($L$13&lt;&gt;"",$M$13&lt;&gt;"",$N$13&lt;&gt;"",$O$13&lt;&gt;""),10^($L$13+$M$13/(1+EXP($N$13+$O$13*LOG10($C117)))),1)</f>
        <v>1</v>
      </c>
      <c r="Q117" s="124">
        <f t="shared" ref="Q117:Q180" si="45">IF(AND($L$14&lt;&gt;"",$M$14&lt;&gt;"",$N$14&lt;&gt;"",$O$14&lt;&gt;""),10^($L$14+$M$14/(1+EXP($N$14+$O$14*LOG10($C117)))),1)</f>
        <v>1</v>
      </c>
      <c r="R117" s="124">
        <f t="shared" ref="R117:R180" si="46">IF(OR($C$28="",$C$28=0),1,$C$28+($N117^2*$F$29^2*$C$29)/($N117^2*$F$29^2+1)+($N117^2*$F$30^2*$C$30)/($N117^2*$F$30^2+1)+($N117^2*$F$31^2*$C$31)/($N117^2*$F$31^2+1)+($N117^2*$F$32^2*$C$32)/($N117^2*$F$32^2+1)+($N117^2*$F$33^2*$C$33)/($N117^2*$F$33^2+1)+($N117^2*$F$34^2*$C$34)/($N117^2*$F$34^2+1)+($N117^2*$F$35^2*$C$35)/($N117^2*$F$35^2+1)+($N117^2*$F$36^2*$C$36)/($N117^2*$F$36^2+1)+($N117^2*$F$37^2*$C$37)/($N117^2*$F$37^2+1)+($N117^2*$F$38^2*$C$38)/($N117^2*$F$38^2+1)+($N117^2*$F$39^2*$C$39)/($N117^2*$F$39^2+1)+($N117^2*$F$40^2*$C$40)/($N117^2*$F$40^2+1)+($N117^2*$F$41^2*$C$41)/($N117^2*$F$41^2+1)+($N117^2*$F$42^2*$C$42)/($N117^2*$F$42^2+1))</f>
        <v>2484.7957931965402</v>
      </c>
      <c r="S117" s="124">
        <f t="shared" ref="S117:S180" si="47">IF(OR($C$28="",$C$28=0),0,($N117*$F$29*$C$29)/($N117^2*$F$29^2+1)+($N117*$F$30*$C$30)/($N117^2*$F$30^2+1)+($N117*$F$31*$C$31)/($N117^2*$F$31^2+1)+($N117*$F$32*$C$32)/($N117^2*$F$32^2+1)+($N117*$F$33*$C$33)/($N117^2*$F$33^2+1)+($N117*$F$34*$C$34)/($N117^2*$F$34^2+1)+($N117*$F$35*$C$35)/($N117^2*$F$35^2+1)+($N117*$F$36*$C$36)/($N117^2*$F$36^2+1)+($N117*$F$37*$C$37)/($N117^2*$F$37^2+1)+($N117*$F$38*$C$38)/($N117^2*$F$38^2+1)+($N117*$F$39*$C$39)/($N117^2*$F$39^2+1)+($N117*$F$40*$C$40)/($N117^2*$F$40^2+1)+($N117*$F$41*$C$41)/($N117^2*$F$41^2+1)+($N117*$F$42*$C$42)/($N117^2*$F$42^2+1))</f>
        <v>614.43993429056991</v>
      </c>
      <c r="T117" s="124">
        <f t="shared" ref="T117:T180" si="48">SQRT(R117^2+S117^2)</f>
        <v>2559.6379757180944</v>
      </c>
      <c r="U117" s="124">
        <f t="shared" ref="U117:U180" si="49">IF(OR($D$28="",$D$28=0),1,$D$28+($N117^2*$F$29^2*$D$29)/($N117^2*$F$29^2+1)+($N117^2*$F$30^2*$D$30)/($N117^2*$F$30^2+1)+($N117^2*$F$31^2*$D$31)/($N117^2*$F$31^2+1)+($N117^2*$F$32^2*$D$32)/($N117^2*$F$32^2+1)+($N117^2*$F$33^2*$D$33)/($N117^2*$F$33^2+1)+($N117^2*$F$34^2*$D$34)/($N117^2*$F$34^2+1)+($N117^2*$F$35^2*$D$35)/($N117^2*$F$35^2+1)+($N117^2*$F$36^2*$D$36)/($N117^2*$F$36^2+1)+($N117^2*$F$37^2*$D$37)/($N117^2*$F$37^2+1)+($N117^2*$F$38^2*$D$38)/($N117^2*$F$38^2+1)+($N117^2*$F$39^2*$D$39)/($N117^2*$F$39^2+1)+($N117^2*$F$40^2*$D$40)/($N117^2*$F$40^2+1)+($N117^2*$F$41^2*$D$41)/($N117^2*$F$41^2+1)+($N117^2*$F$42^2*$D$42)/($N117^2*$F$42^2+1))</f>
        <v>1</v>
      </c>
      <c r="V117" s="124">
        <f t="shared" ref="V117:V180" si="50">IF(OR($D$28="",$D$28=0),0,($N117*$F$29*$D$29)/($N117^2*$F$29^2+1)+($N117*$F$30*$D$30)/($N117^2*$F$30^2+1)+($N117*$F$31*$D$31)/($N117^2*$F$31^2+1)+($N117*$F$32*$D$32)/($N117^2*$F$32^2+1)+($N117*$F$33*$D$33)/($N117^2*$F$33^2+1)+($N117*$F$34*$D$34)/($N117^2*$F$34^2+1)+($N117*$F$35*$D$35)/($N117^2*$F$35^2+1)+($N117*$F$36*$D$36)/($N117^2*$F$36^2+1)+($N117*$F$37*$D$37)/($N117^2*$F$37^2+1)+($N117*$F$38*$D$38)/($N117^2*$F$38^2+1)+($N117*$F$39*$D$39)/($N117^2*$F$39^2+1)+($N117*$F$40*$D$40)/($N117^2*$F$40^2+1)+($N117*$F$41*$D$41)/($N117^2*$F$41^2+1)+($N117*$F$42*$D$42)/($N117^2*$F$42^2+1))</f>
        <v>0</v>
      </c>
      <c r="W117" s="124">
        <f t="shared" ref="W117:W180" si="51">SQRT(U117^2+V117^2)</f>
        <v>1</v>
      </c>
      <c r="X117" s="124">
        <f t="shared" ref="X117:X180" si="52">IF(OR($E$28="",$E$28=0),1,$E$28+($N117^2*$F$29^2*$E$29)/($N117^2*$F$29^2+1)+($N117^2*$F$30^2*$E$30)/($N117^2*$F$30^2+1)+($N117^2*$F$31^2*$E$31)/($N117^2*$F$31^2+1)+($N117^2*$F$32^2*$E$32)/($N117^2*$F$32^2+1)+($N117^2*$F$33^2*$E$33)/($N117^2*$F$33^2+1)+($N117^2*$F$34^2*$E$34)/($N117^2*$F$34^2+1)+($N117^2*$F$35^2*$E$35)/($N117^2*$F$35^2+1)+($N117^2*$F$36^2*$E$36)/($N117^2*$F$36^2+1)+($N117^2*$F$37^2*$E$37)/($N117^2*$F$37^2+1)+($N117^2*$F$38^2*$E$38)/($N117^2*$F$38^2+1)+($N117^2*$F$39^2*$E$39)/($N117^2*$F$39^2+1)+($N117^2*$F$40^2*$E$40)/($N117^2*$F$40^2+1)+($N117^2*$F$41^2*$E$41)/($N117^2*$F$41^2+1)+($N117^2*$F$42^2*$E$42)/($N117^2*$F$42^2+1))</f>
        <v>1</v>
      </c>
      <c r="Y117" s="124">
        <f t="shared" ref="Y117:Y180" si="53">IF(OR($E$28="",$E$28=0),0,($N117*$F$29*$E$29)/($N117^2*$F$29^2+1)+($N117*$F$30*$E$30)/($N117^2*$F$30^2+1)+($N117*$F$31*$E$31)/($N117^2*$F$31^2+1)+($N117*$F$32*$E$32)/($N117^2*$F$32^2+1)+($N117*$F$33*$E$33)/($N117^2*$F$33^2+1)+($N117*$F$34*$E$34)/($N117^2*$F$34^2+1)+($N117*$F$35*$E$35)/($N117^2*$F$35^2+1)+($N117*$F$36*$E$36)/($N117^2*$F$36^2+1)+($N117*$F$37*$E$37)/($N117^2*$F$37^2+1)+($N117*$F$38*$E$38)/($N117^2*$F$38^2+1)+($N117*$F$39*$E$39)/($N117^2*$F$39^2+1)+($N117*$F$40*$E$40)/($N117^2*$F$40^2+1)+($N117*$F$41*$E$41)/($N117^2*$F$41^2+1)+($N117*$F$42*$E$42)/($N117^2*$F$42^2+1))</f>
        <v>0</v>
      </c>
      <c r="Z117" s="124">
        <f t="shared" ref="Z117:Z180" si="54">SQRT(X117^2+Y117^2)</f>
        <v>1</v>
      </c>
      <c r="AA117" s="124">
        <f t="shared" si="31"/>
        <v>1.6543353042764775E-4</v>
      </c>
      <c r="AB117" s="124">
        <f t="shared" ref="AB117:AB180" si="55">(LOG10(P117)-LOG10(W117))^2</f>
        <v>0</v>
      </c>
      <c r="AC117" s="124">
        <f t="shared" ref="AC117:AC180" si="56">(LOG10(Q117)-LOG10(Z117))^2</f>
        <v>0</v>
      </c>
    </row>
    <row r="118" spans="2:29" s="114" customFormat="1">
      <c r="B118" s="115">
        <f t="shared" si="32"/>
        <v>-5.6800000000000281</v>
      </c>
      <c r="C118" s="124">
        <f t="shared" si="33"/>
        <v>2.0892961308539005E-6</v>
      </c>
      <c r="D118" s="124">
        <f t="shared" si="34"/>
        <v>2780439.2502825293</v>
      </c>
      <c r="E118" s="124">
        <f t="shared" si="35"/>
        <v>1</v>
      </c>
      <c r="F118" s="124">
        <f t="shared" si="36"/>
        <v>1</v>
      </c>
      <c r="G118" s="124">
        <f t="shared" si="37"/>
        <v>2773298.3282832112</v>
      </c>
      <c r="H118" s="124">
        <f t="shared" si="38"/>
        <v>1</v>
      </c>
      <c r="I118" s="124">
        <f t="shared" si="39"/>
        <v>1</v>
      </c>
      <c r="J118" s="124">
        <f t="shared" si="40"/>
        <v>1.2472886239574257E-6</v>
      </c>
      <c r="K118" s="124">
        <f t="shared" si="41"/>
        <v>0</v>
      </c>
      <c r="L118" s="124">
        <f t="shared" si="42"/>
        <v>0</v>
      </c>
      <c r="M118" s="120"/>
      <c r="N118" s="132">
        <f t="shared" si="30"/>
        <v>1.3127434751728385E-5</v>
      </c>
      <c r="O118" s="124">
        <f t="shared" si="43"/>
        <v>2655.0259237358691</v>
      </c>
      <c r="P118" s="124">
        <f t="shared" si="44"/>
        <v>1</v>
      </c>
      <c r="Q118" s="124">
        <f t="shared" si="45"/>
        <v>1</v>
      </c>
      <c r="R118" s="124">
        <f t="shared" si="46"/>
        <v>2501.9106666777061</v>
      </c>
      <c r="S118" s="124">
        <f t="shared" si="47"/>
        <v>621.31026910841865</v>
      </c>
      <c r="T118" s="124">
        <f t="shared" si="48"/>
        <v>2577.9029141019373</v>
      </c>
      <c r="U118" s="124">
        <f t="shared" si="49"/>
        <v>1</v>
      </c>
      <c r="V118" s="124">
        <f t="shared" si="50"/>
        <v>0</v>
      </c>
      <c r="W118" s="124">
        <f t="shared" si="51"/>
        <v>1</v>
      </c>
      <c r="X118" s="124">
        <f t="shared" si="52"/>
        <v>1</v>
      </c>
      <c r="Y118" s="124">
        <f t="shared" si="53"/>
        <v>0</v>
      </c>
      <c r="Z118" s="124">
        <f t="shared" si="54"/>
        <v>1</v>
      </c>
      <c r="AA118" s="124">
        <f t="shared" si="31"/>
        <v>1.6389654130111419E-4</v>
      </c>
      <c r="AB118" s="124">
        <f t="shared" si="55"/>
        <v>0</v>
      </c>
      <c r="AC118" s="124">
        <f t="shared" si="56"/>
        <v>0</v>
      </c>
    </row>
    <row r="119" spans="2:29" s="114" customFormat="1">
      <c r="B119" s="115">
        <f t="shared" si="32"/>
        <v>-5.6600000000000286</v>
      </c>
      <c r="C119" s="124">
        <f t="shared" si="33"/>
        <v>2.1877616239494065E-6</v>
      </c>
      <c r="D119" s="124">
        <f t="shared" si="34"/>
        <v>2771817.2943790825</v>
      </c>
      <c r="E119" s="124">
        <f t="shared" si="35"/>
        <v>1</v>
      </c>
      <c r="F119" s="124">
        <f t="shared" si="36"/>
        <v>1</v>
      </c>
      <c r="G119" s="124">
        <f t="shared" si="37"/>
        <v>2764490.2818568954</v>
      </c>
      <c r="H119" s="124">
        <f t="shared" si="38"/>
        <v>1</v>
      </c>
      <c r="I119" s="124">
        <f t="shared" si="39"/>
        <v>1</v>
      </c>
      <c r="J119" s="124">
        <f t="shared" si="40"/>
        <v>1.3214251517778694E-6</v>
      </c>
      <c r="K119" s="124">
        <f t="shared" si="41"/>
        <v>0</v>
      </c>
      <c r="L119" s="124">
        <f t="shared" si="42"/>
        <v>0</v>
      </c>
      <c r="M119" s="120"/>
      <c r="N119" s="132">
        <f t="shared" si="30"/>
        <v>1.3746111691210261E-5</v>
      </c>
      <c r="O119" s="124">
        <f t="shared" si="43"/>
        <v>2673.7742312977439</v>
      </c>
      <c r="P119" s="124">
        <f t="shared" si="44"/>
        <v>1</v>
      </c>
      <c r="Q119" s="124">
        <f t="shared" si="45"/>
        <v>1</v>
      </c>
      <c r="R119" s="124">
        <f t="shared" si="46"/>
        <v>2518.8694657890142</v>
      </c>
      <c r="S119" s="124">
        <f t="shared" si="47"/>
        <v>628.15629837330357</v>
      </c>
      <c r="T119" s="124">
        <f t="shared" si="48"/>
        <v>2596.0130432781507</v>
      </c>
      <c r="U119" s="124">
        <f t="shared" si="49"/>
        <v>1</v>
      </c>
      <c r="V119" s="124">
        <f t="shared" si="50"/>
        <v>0</v>
      </c>
      <c r="W119" s="124">
        <f t="shared" si="51"/>
        <v>1</v>
      </c>
      <c r="X119" s="124">
        <f t="shared" si="52"/>
        <v>1</v>
      </c>
      <c r="Y119" s="124">
        <f t="shared" si="53"/>
        <v>0</v>
      </c>
      <c r="Z119" s="124">
        <f t="shared" si="54"/>
        <v>1</v>
      </c>
      <c r="AA119" s="124">
        <f t="shared" si="31"/>
        <v>1.6429761817776816E-4</v>
      </c>
      <c r="AB119" s="124">
        <f t="shared" si="55"/>
        <v>0</v>
      </c>
      <c r="AC119" s="124">
        <f t="shared" si="56"/>
        <v>0</v>
      </c>
    </row>
    <row r="120" spans="2:29" s="114" customFormat="1">
      <c r="B120" s="115">
        <f t="shared" si="32"/>
        <v>-5.640000000000029</v>
      </c>
      <c r="C120" s="124">
        <f t="shared" si="33"/>
        <v>2.2908676527676159E-6</v>
      </c>
      <c r="D120" s="124">
        <f t="shared" si="34"/>
        <v>2763133.48534125</v>
      </c>
      <c r="E120" s="124">
        <f t="shared" si="35"/>
        <v>1</v>
      </c>
      <c r="F120" s="124">
        <f t="shared" si="36"/>
        <v>1</v>
      </c>
      <c r="G120" s="124">
        <f t="shared" si="37"/>
        <v>2755728.3244699501</v>
      </c>
      <c r="H120" s="124">
        <f t="shared" si="38"/>
        <v>1</v>
      </c>
      <c r="I120" s="124">
        <f t="shared" si="39"/>
        <v>1</v>
      </c>
      <c r="J120" s="124">
        <f t="shared" si="40"/>
        <v>1.3583106043999667E-6</v>
      </c>
      <c r="K120" s="124">
        <f t="shared" si="41"/>
        <v>0</v>
      </c>
      <c r="L120" s="124">
        <f t="shared" si="42"/>
        <v>0</v>
      </c>
      <c r="M120" s="120"/>
      <c r="N120" s="132">
        <f t="shared" si="30"/>
        <v>1.439394597656247E-5</v>
      </c>
      <c r="O120" s="124">
        <f t="shared" si="43"/>
        <v>2692.8287754388266</v>
      </c>
      <c r="P120" s="124">
        <f t="shared" si="44"/>
        <v>1</v>
      </c>
      <c r="Q120" s="124">
        <f t="shared" si="45"/>
        <v>1</v>
      </c>
      <c r="R120" s="124">
        <f t="shared" si="46"/>
        <v>2535.6471717591871</v>
      </c>
      <c r="S120" s="124">
        <f t="shared" si="47"/>
        <v>635.03473470987501</v>
      </c>
      <c r="T120" s="124">
        <f t="shared" si="48"/>
        <v>2613.9578600158047</v>
      </c>
      <c r="U120" s="124">
        <f t="shared" si="49"/>
        <v>1</v>
      </c>
      <c r="V120" s="124">
        <f t="shared" si="50"/>
        <v>0</v>
      </c>
      <c r="W120" s="124">
        <f t="shared" si="51"/>
        <v>1</v>
      </c>
      <c r="X120" s="124">
        <f t="shared" si="52"/>
        <v>1</v>
      </c>
      <c r="Y120" s="124">
        <f t="shared" si="53"/>
        <v>0</v>
      </c>
      <c r="Z120" s="124">
        <f t="shared" si="54"/>
        <v>1</v>
      </c>
      <c r="AA120" s="124">
        <f t="shared" si="31"/>
        <v>1.6667216740493476E-4</v>
      </c>
      <c r="AB120" s="124">
        <f t="shared" si="55"/>
        <v>0</v>
      </c>
      <c r="AC120" s="124">
        <f t="shared" si="56"/>
        <v>0</v>
      </c>
    </row>
    <row r="121" spans="2:29" s="114" customFormat="1">
      <c r="B121" s="115">
        <f t="shared" si="32"/>
        <v>-5.6200000000000294</v>
      </c>
      <c r="C121" s="124">
        <f t="shared" si="33"/>
        <v>2.3988329190193254E-6</v>
      </c>
      <c r="D121" s="124">
        <f t="shared" si="34"/>
        <v>2754387.7378511992</v>
      </c>
      <c r="E121" s="124">
        <f t="shared" si="35"/>
        <v>1</v>
      </c>
      <c r="F121" s="124">
        <f t="shared" si="36"/>
        <v>1</v>
      </c>
      <c r="G121" s="124">
        <f t="shared" si="37"/>
        <v>2747013.6224934012</v>
      </c>
      <c r="H121" s="124">
        <f t="shared" si="38"/>
        <v>1</v>
      </c>
      <c r="I121" s="124">
        <f t="shared" si="39"/>
        <v>1</v>
      </c>
      <c r="J121" s="124">
        <f t="shared" si="40"/>
        <v>1.355508757107403E-6</v>
      </c>
      <c r="K121" s="124">
        <f t="shared" si="41"/>
        <v>0</v>
      </c>
      <c r="L121" s="124">
        <f t="shared" si="42"/>
        <v>0</v>
      </c>
      <c r="M121" s="120"/>
      <c r="N121" s="132">
        <f t="shared" si="30"/>
        <v>1.5072311751160944E-5</v>
      </c>
      <c r="O121" s="124">
        <f t="shared" si="43"/>
        <v>2712.195428640222</v>
      </c>
      <c r="P121" s="124">
        <f t="shared" si="44"/>
        <v>1</v>
      </c>
      <c r="Q121" s="124">
        <f t="shared" si="45"/>
        <v>1</v>
      </c>
      <c r="R121" s="124">
        <f t="shared" si="46"/>
        <v>2552.2259854379408</v>
      </c>
      <c r="S121" s="124">
        <f t="shared" si="47"/>
        <v>642.00609010343135</v>
      </c>
      <c r="T121" s="124">
        <f t="shared" si="48"/>
        <v>2631.7350361452736</v>
      </c>
      <c r="U121" s="124">
        <f t="shared" si="49"/>
        <v>1</v>
      </c>
      <c r="V121" s="124">
        <f t="shared" si="50"/>
        <v>0</v>
      </c>
      <c r="W121" s="124">
        <f t="shared" si="51"/>
        <v>1</v>
      </c>
      <c r="X121" s="124">
        <f t="shared" si="52"/>
        <v>1</v>
      </c>
      <c r="Y121" s="124">
        <f t="shared" si="53"/>
        <v>0</v>
      </c>
      <c r="Z121" s="124">
        <f t="shared" si="54"/>
        <v>1</v>
      </c>
      <c r="AA121" s="124">
        <f t="shared" si="31"/>
        <v>1.7105546427350929E-4</v>
      </c>
      <c r="AB121" s="124">
        <f t="shared" si="55"/>
        <v>0</v>
      </c>
      <c r="AC121" s="124">
        <f t="shared" si="56"/>
        <v>0</v>
      </c>
    </row>
    <row r="122" spans="2:29" s="114" customFormat="1">
      <c r="B122" s="115">
        <f t="shared" si="32"/>
        <v>-5.6000000000000298</v>
      </c>
      <c r="C122" s="124">
        <f t="shared" si="33"/>
        <v>2.5118864315094065E-6</v>
      </c>
      <c r="D122" s="124">
        <f t="shared" si="34"/>
        <v>2745579.9745537778</v>
      </c>
      <c r="E122" s="124">
        <f t="shared" si="35"/>
        <v>1</v>
      </c>
      <c r="F122" s="124">
        <f t="shared" si="36"/>
        <v>1</v>
      </c>
      <c r="G122" s="124">
        <f t="shared" si="37"/>
        <v>2738345.7429111716</v>
      </c>
      <c r="H122" s="124">
        <f t="shared" si="38"/>
        <v>1</v>
      </c>
      <c r="I122" s="124">
        <f t="shared" si="39"/>
        <v>1</v>
      </c>
      <c r="J122" s="124">
        <f t="shared" si="40"/>
        <v>1.31289747399354E-6</v>
      </c>
      <c r="K122" s="124">
        <f t="shared" si="41"/>
        <v>0</v>
      </c>
      <c r="L122" s="124">
        <f t="shared" si="42"/>
        <v>0</v>
      </c>
      <c r="M122" s="120"/>
      <c r="N122" s="132">
        <f t="shared" si="30"/>
        <v>1.5782647919763664E-5</v>
      </c>
      <c r="O122" s="124">
        <f t="shared" si="43"/>
        <v>2731.8801931451189</v>
      </c>
      <c r="P122" s="124">
        <f t="shared" si="44"/>
        <v>1</v>
      </c>
      <c r="Q122" s="124">
        <f t="shared" si="45"/>
        <v>1</v>
      </c>
      <c r="R122" s="124">
        <f t="shared" si="46"/>
        <v>2568.595711113529</v>
      </c>
      <c r="S122" s="124">
        <f t="shared" si="47"/>
        <v>649.13364532774744</v>
      </c>
      <c r="T122" s="124">
        <f t="shared" si="48"/>
        <v>2649.3505650719962</v>
      </c>
      <c r="U122" s="124">
        <f t="shared" si="49"/>
        <v>1</v>
      </c>
      <c r="V122" s="124">
        <f t="shared" si="50"/>
        <v>0</v>
      </c>
      <c r="W122" s="124">
        <f t="shared" si="51"/>
        <v>1</v>
      </c>
      <c r="X122" s="124">
        <f t="shared" si="52"/>
        <v>1</v>
      </c>
      <c r="Y122" s="124">
        <f t="shared" si="53"/>
        <v>0</v>
      </c>
      <c r="Z122" s="124">
        <f t="shared" si="54"/>
        <v>1</v>
      </c>
      <c r="AA122" s="124">
        <f t="shared" si="31"/>
        <v>1.7748157143967374E-4</v>
      </c>
      <c r="AB122" s="124">
        <f t="shared" si="55"/>
        <v>0</v>
      </c>
      <c r="AC122" s="124">
        <f t="shared" si="56"/>
        <v>0</v>
      </c>
    </row>
    <row r="123" spans="2:29" s="114" customFormat="1">
      <c r="B123" s="115">
        <f t="shared" si="32"/>
        <v>-5.5800000000000303</v>
      </c>
      <c r="C123" s="124">
        <f t="shared" si="33"/>
        <v>2.6302679918951953E-6</v>
      </c>
      <c r="D123" s="124">
        <f t="shared" si="34"/>
        <v>2736710.1262241169</v>
      </c>
      <c r="E123" s="124">
        <f t="shared" si="35"/>
        <v>1</v>
      </c>
      <c r="F123" s="124">
        <f t="shared" si="36"/>
        <v>1</v>
      </c>
      <c r="G123" s="124">
        <f t="shared" si="37"/>
        <v>2729722.5986320376</v>
      </c>
      <c r="H123" s="124">
        <f t="shared" si="38"/>
        <v>1</v>
      </c>
      <c r="I123" s="124">
        <f t="shared" si="39"/>
        <v>1</v>
      </c>
      <c r="J123" s="124">
        <f t="shared" si="40"/>
        <v>1.2327305057899678E-6</v>
      </c>
      <c r="K123" s="124">
        <f t="shared" si="41"/>
        <v>0</v>
      </c>
      <c r="L123" s="124">
        <f t="shared" si="42"/>
        <v>0</v>
      </c>
      <c r="M123" s="120"/>
      <c r="N123" s="132">
        <f t="shared" si="30"/>
        <v>1.6526461200620646E-5</v>
      </c>
      <c r="O123" s="124">
        <f t="shared" si="43"/>
        <v>2751.8892041425174</v>
      </c>
      <c r="P123" s="124">
        <f t="shared" si="44"/>
        <v>1</v>
      </c>
      <c r="Q123" s="124">
        <f t="shared" si="45"/>
        <v>1</v>
      </c>
      <c r="R123" s="124">
        <f t="shared" si="46"/>
        <v>2584.753977041386</v>
      </c>
      <c r="S123" s="124">
        <f t="shared" si="47"/>
        <v>656.48240526651523</v>
      </c>
      <c r="T123" s="124">
        <f t="shared" si="48"/>
        <v>2666.8187546692725</v>
      </c>
      <c r="U123" s="124">
        <f t="shared" si="49"/>
        <v>1</v>
      </c>
      <c r="V123" s="124">
        <f t="shared" si="50"/>
        <v>0</v>
      </c>
      <c r="W123" s="124">
        <f t="shared" si="51"/>
        <v>1</v>
      </c>
      <c r="X123" s="124">
        <f t="shared" si="52"/>
        <v>1</v>
      </c>
      <c r="Y123" s="124">
        <f t="shared" si="53"/>
        <v>0</v>
      </c>
      <c r="Z123" s="124">
        <f t="shared" si="54"/>
        <v>1</v>
      </c>
      <c r="AA123" s="124">
        <f t="shared" si="31"/>
        <v>1.8597987282007757E-4</v>
      </c>
      <c r="AB123" s="124">
        <f t="shared" si="55"/>
        <v>0</v>
      </c>
      <c r="AC123" s="124">
        <f t="shared" si="56"/>
        <v>0</v>
      </c>
    </row>
    <row r="124" spans="2:29" s="114" customFormat="1">
      <c r="B124" s="115">
        <f t="shared" si="32"/>
        <v>-5.5600000000000307</v>
      </c>
      <c r="C124" s="124">
        <f t="shared" si="33"/>
        <v>2.7542287033379702E-6</v>
      </c>
      <c r="D124" s="124">
        <f t="shared" si="34"/>
        <v>2727778.1319360952</v>
      </c>
      <c r="E124" s="124">
        <f t="shared" si="35"/>
        <v>1</v>
      </c>
      <c r="F124" s="124">
        <f t="shared" si="36"/>
        <v>1</v>
      </c>
      <c r="G124" s="124">
        <f t="shared" si="37"/>
        <v>2721140.4220164591</v>
      </c>
      <c r="H124" s="124">
        <f t="shared" si="38"/>
        <v>1</v>
      </c>
      <c r="I124" s="124">
        <f t="shared" si="39"/>
        <v>1</v>
      </c>
      <c r="J124" s="124">
        <f t="shared" si="40"/>
        <v>1.1195537491364317E-6</v>
      </c>
      <c r="K124" s="124">
        <f t="shared" si="41"/>
        <v>0</v>
      </c>
      <c r="L124" s="124">
        <f t="shared" si="42"/>
        <v>0</v>
      </c>
      <c r="M124" s="120"/>
      <c r="N124" s="132">
        <f t="shared" si="30"/>
        <v>1.7305329321425416E-5</v>
      </c>
      <c r="O124" s="124">
        <f t="shared" si="43"/>
        <v>2772.2287330345666</v>
      </c>
      <c r="P124" s="124">
        <f t="shared" si="44"/>
        <v>1</v>
      </c>
      <c r="Q124" s="124">
        <f t="shared" si="45"/>
        <v>1</v>
      </c>
      <c r="R124" s="124">
        <f t="shared" si="46"/>
        <v>2600.7063019987727</v>
      </c>
      <c r="S124" s="124">
        <f t="shared" si="47"/>
        <v>664.1180679920916</v>
      </c>
      <c r="T124" s="124">
        <f t="shared" si="48"/>
        <v>2684.1620810766403</v>
      </c>
      <c r="U124" s="124">
        <f t="shared" si="49"/>
        <v>1</v>
      </c>
      <c r="V124" s="124">
        <f t="shared" si="50"/>
        <v>0</v>
      </c>
      <c r="W124" s="124">
        <f t="shared" si="51"/>
        <v>1</v>
      </c>
      <c r="X124" s="124">
        <f t="shared" si="52"/>
        <v>1</v>
      </c>
      <c r="Y124" s="124">
        <f t="shared" si="53"/>
        <v>0</v>
      </c>
      <c r="Z124" s="124">
        <f t="shared" si="54"/>
        <v>1</v>
      </c>
      <c r="AA124" s="124">
        <f t="shared" si="31"/>
        <v>1.9656947578739346E-4</v>
      </c>
      <c r="AB124" s="124">
        <f t="shared" si="55"/>
        <v>0</v>
      </c>
      <c r="AC124" s="124">
        <f t="shared" si="56"/>
        <v>0</v>
      </c>
    </row>
    <row r="125" spans="2:29" s="114" customFormat="1">
      <c r="B125" s="115">
        <f t="shared" si="32"/>
        <v>-5.5400000000000311</v>
      </c>
      <c r="C125" s="124">
        <f t="shared" si="33"/>
        <v>2.8840315031263945E-6</v>
      </c>
      <c r="D125" s="124">
        <f t="shared" si="34"/>
        <v>2718783.9392316486</v>
      </c>
      <c r="E125" s="124">
        <f t="shared" si="35"/>
        <v>1</v>
      </c>
      <c r="F125" s="124">
        <f t="shared" si="36"/>
        <v>1</v>
      </c>
      <c r="G125" s="124">
        <f t="shared" si="37"/>
        <v>2712593.7695011441</v>
      </c>
      <c r="H125" s="124">
        <f t="shared" si="38"/>
        <v>1</v>
      </c>
      <c r="I125" s="124">
        <f t="shared" si="39"/>
        <v>1</v>
      </c>
      <c r="J125" s="124">
        <f t="shared" si="40"/>
        <v>9.7997296204779437E-7</v>
      </c>
      <c r="K125" s="124">
        <f t="shared" si="41"/>
        <v>0</v>
      </c>
      <c r="L125" s="124">
        <f t="shared" si="42"/>
        <v>0</v>
      </c>
      <c r="M125" s="120"/>
      <c r="N125" s="132">
        <f t="shared" si="30"/>
        <v>1.8120904365886821E-5</v>
      </c>
      <c r="O125" s="124">
        <f t="shared" si="43"/>
        <v>2792.9051907897556</v>
      </c>
      <c r="P125" s="124">
        <f t="shared" si="44"/>
        <v>1</v>
      </c>
      <c r="Q125" s="124">
        <f t="shared" si="45"/>
        <v>1</v>
      </c>
      <c r="R125" s="124">
        <f t="shared" si="46"/>
        <v>2616.4660220005253</v>
      </c>
      <c r="S125" s="124">
        <f t="shared" si="47"/>
        <v>672.10603091619703</v>
      </c>
      <c r="T125" s="124">
        <f t="shared" si="48"/>
        <v>2701.4109204408683</v>
      </c>
      <c r="U125" s="124">
        <f t="shared" si="49"/>
        <v>1</v>
      </c>
      <c r="V125" s="124">
        <f t="shared" si="50"/>
        <v>0</v>
      </c>
      <c r="W125" s="124">
        <f t="shared" si="51"/>
        <v>1</v>
      </c>
      <c r="X125" s="124">
        <f t="shared" si="52"/>
        <v>1</v>
      </c>
      <c r="Y125" s="124">
        <f t="shared" si="53"/>
        <v>0</v>
      </c>
      <c r="Z125" s="124">
        <f t="shared" si="54"/>
        <v>1</v>
      </c>
      <c r="AA125" s="124">
        <f t="shared" si="31"/>
        <v>2.0925190626053437E-4</v>
      </c>
      <c r="AB125" s="124">
        <f t="shared" si="55"/>
        <v>0</v>
      </c>
      <c r="AC125" s="124">
        <f t="shared" si="56"/>
        <v>0</v>
      </c>
    </row>
    <row r="126" spans="2:29" s="114" customFormat="1">
      <c r="B126" s="115">
        <f t="shared" si="32"/>
        <v>-5.5200000000000315</v>
      </c>
      <c r="C126" s="124">
        <f t="shared" si="33"/>
        <v>3.0199517204017944E-6</v>
      </c>
      <c r="D126" s="124">
        <f t="shared" si="34"/>
        <v>2709727.5042907959</v>
      </c>
      <c r="E126" s="124">
        <f t="shared" si="35"/>
        <v>1</v>
      </c>
      <c r="F126" s="124">
        <f t="shared" si="36"/>
        <v>1</v>
      </c>
      <c r="G126" s="124">
        <f t="shared" si="37"/>
        <v>2704075.5595671679</v>
      </c>
      <c r="H126" s="124">
        <f t="shared" si="38"/>
        <v>1</v>
      </c>
      <c r="I126" s="124">
        <f t="shared" si="39"/>
        <v>1</v>
      </c>
      <c r="J126" s="124">
        <f t="shared" si="40"/>
        <v>8.2228020212415525E-7</v>
      </c>
      <c r="K126" s="124">
        <f t="shared" si="41"/>
        <v>0</v>
      </c>
      <c r="L126" s="124">
        <f t="shared" si="42"/>
        <v>0</v>
      </c>
      <c r="M126" s="120"/>
      <c r="N126" s="132">
        <f t="shared" si="30"/>
        <v>1.897491627802027E-5</v>
      </c>
      <c r="O126" s="124">
        <f t="shared" si="43"/>
        <v>2813.9251313843274</v>
      </c>
      <c r="P126" s="124">
        <f t="shared" si="44"/>
        <v>1</v>
      </c>
      <c r="Q126" s="124">
        <f t="shared" si="45"/>
        <v>1</v>
      </c>
      <c r="R126" s="124">
        <f t="shared" si="46"/>
        <v>2632.0540945764833</v>
      </c>
      <c r="S126" s="124">
        <f t="shared" si="47"/>
        <v>680.5104520669156</v>
      </c>
      <c r="T126" s="124">
        <f t="shared" si="48"/>
        <v>2718.6031766606079</v>
      </c>
      <c r="U126" s="124">
        <f t="shared" si="49"/>
        <v>1</v>
      </c>
      <c r="V126" s="124">
        <f t="shared" si="50"/>
        <v>0</v>
      </c>
      <c r="W126" s="124">
        <f t="shared" si="51"/>
        <v>1</v>
      </c>
      <c r="X126" s="124">
        <f t="shared" si="52"/>
        <v>1</v>
      </c>
      <c r="Y126" s="124">
        <f t="shared" si="53"/>
        <v>0</v>
      </c>
      <c r="Z126" s="124">
        <f t="shared" si="54"/>
        <v>1</v>
      </c>
      <c r="AA126" s="124">
        <f t="shared" si="31"/>
        <v>2.2400265299843305E-4</v>
      </c>
      <c r="AB126" s="124">
        <f t="shared" si="55"/>
        <v>0</v>
      </c>
      <c r="AC126" s="124">
        <f t="shared" si="56"/>
        <v>0</v>
      </c>
    </row>
    <row r="127" spans="2:29" s="114" customFormat="1">
      <c r="B127" s="115">
        <f t="shared" si="32"/>
        <v>-5.500000000000032</v>
      </c>
      <c r="C127" s="124">
        <f t="shared" si="33"/>
        <v>3.1622776601681408E-6</v>
      </c>
      <c r="D127" s="124">
        <f t="shared" si="34"/>
        <v>2700608.792102349</v>
      </c>
      <c r="E127" s="124">
        <f t="shared" si="35"/>
        <v>1</v>
      </c>
      <c r="F127" s="124">
        <f t="shared" si="36"/>
        <v>1</v>
      </c>
      <c r="G127" s="124">
        <f t="shared" si="37"/>
        <v>2695577.145504503</v>
      </c>
      <c r="H127" s="124">
        <f t="shared" si="38"/>
        <v>1</v>
      </c>
      <c r="I127" s="124">
        <f t="shared" si="39"/>
        <v>1</v>
      </c>
      <c r="J127" s="124">
        <f t="shared" si="40"/>
        <v>6.5595691528433026E-7</v>
      </c>
      <c r="K127" s="124">
        <f t="shared" si="41"/>
        <v>0</v>
      </c>
      <c r="L127" s="124">
        <f t="shared" si="42"/>
        <v>0</v>
      </c>
      <c r="M127" s="120"/>
      <c r="N127" s="132">
        <f t="shared" si="30"/>
        <v>1.9869176531590702E-5</v>
      </c>
      <c r="O127" s="124">
        <f t="shared" si="43"/>
        <v>2835.2952553342811</v>
      </c>
      <c r="P127" s="124">
        <f t="shared" si="44"/>
        <v>1</v>
      </c>
      <c r="Q127" s="124">
        <f t="shared" si="45"/>
        <v>1</v>
      </c>
      <c r="R127" s="124">
        <f t="shared" si="46"/>
        <v>2647.4987996964114</v>
      </c>
      <c r="S127" s="124">
        <f t="shared" si="47"/>
        <v>689.39337904001502</v>
      </c>
      <c r="T127" s="124">
        <f t="shared" si="48"/>
        <v>2735.7838228665196</v>
      </c>
      <c r="U127" s="124">
        <f t="shared" si="49"/>
        <v>1</v>
      </c>
      <c r="V127" s="124">
        <f t="shared" si="50"/>
        <v>0</v>
      </c>
      <c r="W127" s="124">
        <f t="shared" si="51"/>
        <v>1</v>
      </c>
      <c r="X127" s="124">
        <f t="shared" si="52"/>
        <v>1</v>
      </c>
      <c r="Y127" s="124">
        <f t="shared" si="53"/>
        <v>0</v>
      </c>
      <c r="Z127" s="124">
        <f t="shared" si="54"/>
        <v>1</v>
      </c>
      <c r="AA127" s="124">
        <f t="shared" si="31"/>
        <v>2.4076220535245723E-4</v>
      </c>
      <c r="AB127" s="124">
        <f t="shared" si="55"/>
        <v>0</v>
      </c>
      <c r="AC127" s="124">
        <f t="shared" si="56"/>
        <v>0</v>
      </c>
    </row>
    <row r="128" spans="2:29" s="114" customFormat="1">
      <c r="B128" s="115">
        <f t="shared" si="32"/>
        <v>-5.4800000000000324</v>
      </c>
      <c r="C128" s="124">
        <f t="shared" si="33"/>
        <v>3.3113112148256608E-6</v>
      </c>
      <c r="D128" s="124">
        <f t="shared" si="34"/>
        <v>2691427.7766352701</v>
      </c>
      <c r="E128" s="124">
        <f t="shared" si="35"/>
        <v>1</v>
      </c>
      <c r="F128" s="124">
        <f t="shared" si="36"/>
        <v>1</v>
      </c>
      <c r="G128" s="124">
        <f t="shared" si="37"/>
        <v>2687088.4234914426</v>
      </c>
      <c r="H128" s="124">
        <f t="shared" si="38"/>
        <v>1</v>
      </c>
      <c r="I128" s="124">
        <f t="shared" si="39"/>
        <v>1</v>
      </c>
      <c r="J128" s="124">
        <f t="shared" si="40"/>
        <v>4.9108179050160757E-7</v>
      </c>
      <c r="K128" s="124">
        <f t="shared" si="41"/>
        <v>0</v>
      </c>
      <c r="L128" s="124">
        <f t="shared" si="42"/>
        <v>0</v>
      </c>
      <c r="M128" s="120"/>
      <c r="N128" s="132">
        <f t="shared" si="30"/>
        <v>2.0805581972491579E-5</v>
      </c>
      <c r="O128" s="124">
        <f t="shared" si="43"/>
        <v>2857.022413320452</v>
      </c>
      <c r="P128" s="124">
        <f t="shared" si="44"/>
        <v>1</v>
      </c>
      <c r="Q128" s="124">
        <f t="shared" si="45"/>
        <v>1</v>
      </c>
      <c r="R128" s="124">
        <f t="shared" si="46"/>
        <v>2662.8353566321475</v>
      </c>
      <c r="S128" s="124">
        <f t="shared" si="47"/>
        <v>698.81395283873053</v>
      </c>
      <c r="T128" s="124">
        <f t="shared" si="48"/>
        <v>2753.0043729010581</v>
      </c>
      <c r="U128" s="124">
        <f t="shared" si="49"/>
        <v>1</v>
      </c>
      <c r="V128" s="124">
        <f t="shared" si="50"/>
        <v>0</v>
      </c>
      <c r="W128" s="124">
        <f t="shared" si="51"/>
        <v>1</v>
      </c>
      <c r="X128" s="124">
        <f t="shared" si="52"/>
        <v>1</v>
      </c>
      <c r="Y128" s="124">
        <f t="shared" si="53"/>
        <v>0</v>
      </c>
      <c r="Z128" s="124">
        <f t="shared" si="54"/>
        <v>1</v>
      </c>
      <c r="AA128" s="124">
        <f t="shared" si="31"/>
        <v>2.5942727319714168E-4</v>
      </c>
      <c r="AB128" s="124">
        <f t="shared" si="55"/>
        <v>0</v>
      </c>
      <c r="AC128" s="124">
        <f t="shared" si="56"/>
        <v>0</v>
      </c>
    </row>
    <row r="129" spans="2:29" s="114" customFormat="1">
      <c r="B129" s="115">
        <f t="shared" si="32"/>
        <v>-5.4600000000000328</v>
      </c>
      <c r="C129" s="124">
        <f t="shared" si="33"/>
        <v>3.4673685045250475E-6</v>
      </c>
      <c r="D129" s="124">
        <f t="shared" si="34"/>
        <v>2682184.4410105208</v>
      </c>
      <c r="E129" s="124">
        <f t="shared" si="35"/>
        <v>1</v>
      </c>
      <c r="F129" s="124">
        <f t="shared" si="36"/>
        <v>1</v>
      </c>
      <c r="G129" s="124">
        <f t="shared" si="37"/>
        <v>2678597.9754557796</v>
      </c>
      <c r="H129" s="124">
        <f t="shared" si="38"/>
        <v>1</v>
      </c>
      <c r="I129" s="124">
        <f t="shared" si="39"/>
        <v>1</v>
      </c>
      <c r="J129" s="124">
        <f t="shared" si="40"/>
        <v>3.3768028905870725E-7</v>
      </c>
      <c r="K129" s="124">
        <f t="shared" si="41"/>
        <v>0</v>
      </c>
      <c r="L129" s="124">
        <f t="shared" si="42"/>
        <v>0</v>
      </c>
      <c r="M129" s="120"/>
      <c r="N129" s="132">
        <f t="shared" si="30"/>
        <v>2.1786118842209034E-5</v>
      </c>
      <c r="O129" s="124">
        <f t="shared" si="43"/>
        <v>2879.1136099091909</v>
      </c>
      <c r="P129" s="124">
        <f t="shared" si="44"/>
        <v>1</v>
      </c>
      <c r="Q129" s="124">
        <f t="shared" si="45"/>
        <v>1</v>
      </c>
      <c r="R129" s="124">
        <f t="shared" si="46"/>
        <v>2678.105474962721</v>
      </c>
      <c r="S129" s="124">
        <f t="shared" si="47"/>
        <v>708.8276889987344</v>
      </c>
      <c r="T129" s="124">
        <f t="shared" si="48"/>
        <v>2770.3222967222764</v>
      </c>
      <c r="U129" s="124">
        <f t="shared" si="49"/>
        <v>1</v>
      </c>
      <c r="V129" s="124">
        <f t="shared" si="50"/>
        <v>0</v>
      </c>
      <c r="W129" s="124">
        <f t="shared" si="51"/>
        <v>1</v>
      </c>
      <c r="X129" s="124">
        <f t="shared" si="52"/>
        <v>1</v>
      </c>
      <c r="Y129" s="124">
        <f t="shared" si="53"/>
        <v>0</v>
      </c>
      <c r="Z129" s="124">
        <f t="shared" si="54"/>
        <v>1</v>
      </c>
      <c r="AA129" s="124">
        <f t="shared" si="31"/>
        <v>2.7984288185000809E-4</v>
      </c>
      <c r="AB129" s="124">
        <f t="shared" si="55"/>
        <v>0</v>
      </c>
      <c r="AC129" s="124">
        <f t="shared" si="56"/>
        <v>0</v>
      </c>
    </row>
    <row r="130" spans="2:29" s="114" customFormat="1">
      <c r="B130" s="115">
        <f t="shared" si="32"/>
        <v>-5.4400000000000333</v>
      </c>
      <c r="C130" s="124">
        <f t="shared" si="33"/>
        <v>3.6307805477007312E-6</v>
      </c>
      <c r="D130" s="124">
        <f t="shared" si="34"/>
        <v>2672878.7776734754</v>
      </c>
      <c r="E130" s="124">
        <f t="shared" si="35"/>
        <v>1</v>
      </c>
      <c r="F130" s="124">
        <f t="shared" si="36"/>
        <v>1</v>
      </c>
      <c r="G130" s="124">
        <f t="shared" si="37"/>
        <v>2670093.24505061</v>
      </c>
      <c r="H130" s="124">
        <f t="shared" si="38"/>
        <v>1</v>
      </c>
      <c r="I130" s="124">
        <f t="shared" si="39"/>
        <v>1</v>
      </c>
      <c r="J130" s="124">
        <f t="shared" si="40"/>
        <v>2.0505926225735125E-7</v>
      </c>
      <c r="K130" s="124">
        <f t="shared" si="41"/>
        <v>0</v>
      </c>
      <c r="L130" s="124">
        <f t="shared" si="42"/>
        <v>0</v>
      </c>
      <c r="M130" s="120"/>
      <c r="N130" s="132">
        <f t="shared" si="30"/>
        <v>2.2812866990906684E-5</v>
      </c>
      <c r="O130" s="124">
        <f t="shared" si="43"/>
        <v>2901.5760073712449</v>
      </c>
      <c r="P130" s="124">
        <f t="shared" si="44"/>
        <v>1</v>
      </c>
      <c r="Q130" s="124">
        <f t="shared" si="45"/>
        <v>1</v>
      </c>
      <c r="R130" s="124">
        <f t="shared" si="46"/>
        <v>2693.3568558106886</v>
      </c>
      <c r="S130" s="124">
        <f t="shared" si="47"/>
        <v>719.48583434929913</v>
      </c>
      <c r="T130" s="124">
        <f t="shared" si="48"/>
        <v>2787.8003907331217</v>
      </c>
      <c r="U130" s="124">
        <f t="shared" si="49"/>
        <v>1</v>
      </c>
      <c r="V130" s="124">
        <f t="shared" si="50"/>
        <v>0</v>
      </c>
      <c r="W130" s="124">
        <f t="shared" si="51"/>
        <v>1</v>
      </c>
      <c r="X130" s="124">
        <f t="shared" si="52"/>
        <v>1</v>
      </c>
      <c r="Y130" s="124">
        <f t="shared" si="53"/>
        <v>0</v>
      </c>
      <c r="Z130" s="124">
        <f t="shared" si="54"/>
        <v>1</v>
      </c>
      <c r="AA130" s="124">
        <f t="shared" si="31"/>
        <v>3.0179600319651787E-4</v>
      </c>
      <c r="AB130" s="124">
        <f t="shared" si="55"/>
        <v>0</v>
      </c>
      <c r="AC130" s="124">
        <f t="shared" si="56"/>
        <v>0</v>
      </c>
    </row>
    <row r="131" spans="2:29" s="114" customFormat="1">
      <c r="B131" s="115">
        <f t="shared" si="32"/>
        <v>-5.4200000000000337</v>
      </c>
      <c r="C131" s="124">
        <f t="shared" si="33"/>
        <v>3.8018939632053159E-6</v>
      </c>
      <c r="D131" s="124">
        <f t="shared" si="34"/>
        <v>2663510.7885666429</v>
      </c>
      <c r="E131" s="124">
        <f t="shared" si="35"/>
        <v>1</v>
      </c>
      <c r="F131" s="124">
        <f t="shared" si="36"/>
        <v>1</v>
      </c>
      <c r="G131" s="124">
        <f t="shared" si="37"/>
        <v>2661560.7439054325</v>
      </c>
      <c r="H131" s="124">
        <f t="shared" si="38"/>
        <v>1</v>
      </c>
      <c r="I131" s="124">
        <f t="shared" si="39"/>
        <v>1</v>
      </c>
      <c r="J131" s="124">
        <f t="shared" si="40"/>
        <v>1.011735238245065E-7</v>
      </c>
      <c r="K131" s="124">
        <f t="shared" si="41"/>
        <v>0</v>
      </c>
      <c r="L131" s="124">
        <f t="shared" si="42"/>
        <v>0</v>
      </c>
      <c r="M131" s="120"/>
      <c r="N131" s="132">
        <f t="shared" si="30"/>
        <v>2.3888004289066409E-5</v>
      </c>
      <c r="O131" s="124">
        <f t="shared" si="43"/>
        <v>2924.4169296014702</v>
      </c>
      <c r="P131" s="124">
        <f t="shared" si="44"/>
        <v>1</v>
      </c>
      <c r="Q131" s="124">
        <f t="shared" si="45"/>
        <v>1</v>
      </c>
      <c r="R131" s="124">
        <f t="shared" si="46"/>
        <v>2708.642656530084</v>
      </c>
      <c r="S131" s="124">
        <f t="shared" si="47"/>
        <v>730.83479465219159</v>
      </c>
      <c r="T131" s="124">
        <f t="shared" si="48"/>
        <v>2805.5061108200534</v>
      </c>
      <c r="U131" s="124">
        <f t="shared" si="49"/>
        <v>1</v>
      </c>
      <c r="V131" s="124">
        <f t="shared" si="50"/>
        <v>0</v>
      </c>
      <c r="W131" s="124">
        <f t="shared" si="51"/>
        <v>1</v>
      </c>
      <c r="X131" s="124">
        <f t="shared" si="52"/>
        <v>1</v>
      </c>
      <c r="Y131" s="124">
        <f t="shared" si="53"/>
        <v>0</v>
      </c>
      <c r="Z131" s="124">
        <f t="shared" si="54"/>
        <v>1</v>
      </c>
      <c r="AA131" s="124">
        <f t="shared" si="31"/>
        <v>3.2501132208891164E-4</v>
      </c>
      <c r="AB131" s="124">
        <f t="shared" si="55"/>
        <v>0</v>
      </c>
      <c r="AC131" s="124">
        <f t="shared" si="56"/>
        <v>0</v>
      </c>
    </row>
    <row r="132" spans="2:29" s="114" customFormat="1">
      <c r="B132" s="115">
        <f t="shared" si="32"/>
        <v>-5.4000000000000341</v>
      </c>
      <c r="C132" s="124">
        <f t="shared" si="33"/>
        <v>3.981071705534654E-6</v>
      </c>
      <c r="D132" s="124">
        <f t="shared" si="34"/>
        <v>2654080.4853027402</v>
      </c>
      <c r="E132" s="124">
        <f t="shared" si="35"/>
        <v>1</v>
      </c>
      <c r="F132" s="124">
        <f t="shared" si="36"/>
        <v>1</v>
      </c>
      <c r="G132" s="124">
        <f t="shared" si="37"/>
        <v>2652986.2841559611</v>
      </c>
      <c r="H132" s="124">
        <f t="shared" si="38"/>
        <v>1</v>
      </c>
      <c r="I132" s="124">
        <f t="shared" si="39"/>
        <v>1</v>
      </c>
      <c r="J132" s="124">
        <f t="shared" si="40"/>
        <v>3.20710998697668E-8</v>
      </c>
      <c r="K132" s="124">
        <f t="shared" si="41"/>
        <v>0</v>
      </c>
      <c r="L132" s="124">
        <f t="shared" si="42"/>
        <v>0</v>
      </c>
      <c r="M132" s="120"/>
      <c r="N132" s="132">
        <f t="shared" si="30"/>
        <v>2.5013811247043713E-5</v>
      </c>
      <c r="O132" s="124">
        <f t="shared" si="43"/>
        <v>2947.6438661421976</v>
      </c>
      <c r="P132" s="124">
        <f t="shared" si="44"/>
        <v>1</v>
      </c>
      <c r="Q132" s="124">
        <f t="shared" si="45"/>
        <v>1</v>
      </c>
      <c r="R132" s="124">
        <f t="shared" si="46"/>
        <v>2724.0209287339867</v>
      </c>
      <c r="S132" s="124">
        <f t="shared" si="47"/>
        <v>742.9156262676438</v>
      </c>
      <c r="T132" s="124">
        <f t="shared" si="48"/>
        <v>2823.5108726430321</v>
      </c>
      <c r="U132" s="124">
        <f t="shared" si="49"/>
        <v>1</v>
      </c>
      <c r="V132" s="124">
        <f t="shared" si="50"/>
        <v>0</v>
      </c>
      <c r="W132" s="124">
        <f t="shared" si="51"/>
        <v>1</v>
      </c>
      <c r="X132" s="124">
        <f t="shared" si="52"/>
        <v>1</v>
      </c>
      <c r="Y132" s="124">
        <f t="shared" si="53"/>
        <v>0</v>
      </c>
      <c r="Z132" s="124">
        <f t="shared" si="54"/>
        <v>1</v>
      </c>
      <c r="AA132" s="124">
        <f t="shared" si="31"/>
        <v>3.4914964913199722E-4</v>
      </c>
      <c r="AB132" s="124">
        <f t="shared" si="55"/>
        <v>0</v>
      </c>
      <c r="AC132" s="124">
        <f t="shared" si="56"/>
        <v>0</v>
      </c>
    </row>
    <row r="133" spans="2:29" s="114" customFormat="1">
      <c r="B133" s="115">
        <f t="shared" si="32"/>
        <v>-5.3800000000000345</v>
      </c>
      <c r="C133" s="124">
        <f t="shared" si="33"/>
        <v>4.1686938347030203E-6</v>
      </c>
      <c r="D133" s="124">
        <f t="shared" si="34"/>
        <v>2644587.8893380589</v>
      </c>
      <c r="E133" s="124">
        <f t="shared" si="35"/>
        <v>1</v>
      </c>
      <c r="F133" s="124">
        <f t="shared" si="36"/>
        <v>1</v>
      </c>
      <c r="G133" s="124">
        <f t="shared" si="37"/>
        <v>2644355.2321727537</v>
      </c>
      <c r="H133" s="124">
        <f t="shared" si="38"/>
        <v>1</v>
      </c>
      <c r="I133" s="124">
        <f t="shared" si="39"/>
        <v>1</v>
      </c>
      <c r="J133" s="124">
        <f t="shared" si="40"/>
        <v>1.459901941395693E-9</v>
      </c>
      <c r="K133" s="124">
        <f t="shared" si="41"/>
        <v>0</v>
      </c>
      <c r="L133" s="124">
        <f t="shared" si="42"/>
        <v>0</v>
      </c>
      <c r="M133" s="120"/>
      <c r="N133" s="132">
        <f t="shared" si="30"/>
        <v>2.6192675852336145E-5</v>
      </c>
      <c r="O133" s="124">
        <f t="shared" si="43"/>
        <v>2971.2644763129829</v>
      </c>
      <c r="P133" s="124">
        <f t="shared" si="44"/>
        <v>1</v>
      </c>
      <c r="Q133" s="124">
        <f t="shared" si="45"/>
        <v>1</v>
      </c>
      <c r="R133" s="124">
        <f t="shared" si="46"/>
        <v>2739.5540360206596</v>
      </c>
      <c r="S133" s="124">
        <f t="shared" si="47"/>
        <v>755.76358393260728</v>
      </c>
      <c r="T133" s="124">
        <f t="shared" si="48"/>
        <v>2841.8893206942007</v>
      </c>
      <c r="U133" s="124">
        <f t="shared" si="49"/>
        <v>1</v>
      </c>
      <c r="V133" s="124">
        <f t="shared" si="50"/>
        <v>0</v>
      </c>
      <c r="W133" s="124">
        <f t="shared" si="51"/>
        <v>1</v>
      </c>
      <c r="X133" s="124">
        <f t="shared" si="52"/>
        <v>1</v>
      </c>
      <c r="Y133" s="124">
        <f t="shared" si="53"/>
        <v>0</v>
      </c>
      <c r="Z133" s="124">
        <f t="shared" si="54"/>
        <v>1</v>
      </c>
      <c r="AA133" s="124">
        <f t="shared" si="31"/>
        <v>3.7380938104490246E-4</v>
      </c>
      <c r="AB133" s="124">
        <f t="shared" si="55"/>
        <v>0</v>
      </c>
      <c r="AC133" s="124">
        <f t="shared" si="56"/>
        <v>0</v>
      </c>
    </row>
    <row r="134" spans="2:29" s="114" customFormat="1">
      <c r="B134" s="115">
        <f t="shared" si="32"/>
        <v>-5.360000000000035</v>
      </c>
      <c r="C134" s="124">
        <f t="shared" si="33"/>
        <v>4.3651583224013017E-6</v>
      </c>
      <c r="D134" s="124">
        <f t="shared" si="34"/>
        <v>2635033.0321459407</v>
      </c>
      <c r="E134" s="124">
        <f t="shared" si="35"/>
        <v>1</v>
      </c>
      <c r="F134" s="124">
        <f t="shared" si="36"/>
        <v>1</v>
      </c>
      <c r="G134" s="124">
        <f t="shared" si="37"/>
        <v>2635652.7774617956</v>
      </c>
      <c r="H134" s="124">
        <f t="shared" si="38"/>
        <v>1</v>
      </c>
      <c r="I134" s="124">
        <f t="shared" si="39"/>
        <v>1</v>
      </c>
      <c r="J134" s="124">
        <f t="shared" si="40"/>
        <v>1.0430878033193246E-8</v>
      </c>
      <c r="K134" s="124">
        <f t="shared" si="41"/>
        <v>0</v>
      </c>
      <c r="L134" s="124">
        <f t="shared" si="42"/>
        <v>0</v>
      </c>
      <c r="M134" s="120"/>
      <c r="N134" s="132">
        <f t="shared" si="30"/>
        <v>2.7427098634824551E-5</v>
      </c>
      <c r="O134" s="124">
        <f t="shared" si="43"/>
        <v>2995.2865934496635</v>
      </c>
      <c r="P134" s="124">
        <f t="shared" si="44"/>
        <v>1</v>
      </c>
      <c r="Q134" s="124">
        <f t="shared" si="45"/>
        <v>1</v>
      </c>
      <c r="R134" s="124">
        <f t="shared" si="46"/>
        <v>2755.3080542701828</v>
      </c>
      <c r="S134" s="124">
        <f t="shared" si="47"/>
        <v>769.40771665708667</v>
      </c>
      <c r="T134" s="124">
        <f t="shared" si="48"/>
        <v>2860.7185650422889</v>
      </c>
      <c r="U134" s="124">
        <f t="shared" si="49"/>
        <v>1</v>
      </c>
      <c r="V134" s="124">
        <f t="shared" si="50"/>
        <v>0</v>
      </c>
      <c r="W134" s="124">
        <f t="shared" si="51"/>
        <v>1</v>
      </c>
      <c r="X134" s="124">
        <f t="shared" si="52"/>
        <v>1</v>
      </c>
      <c r="Y134" s="124">
        <f t="shared" si="53"/>
        <v>0</v>
      </c>
      <c r="Z134" s="124">
        <f t="shared" si="54"/>
        <v>1</v>
      </c>
      <c r="AA134" s="124">
        <f t="shared" si="31"/>
        <v>3.9853128073484627E-4</v>
      </c>
      <c r="AB134" s="124">
        <f t="shared" si="55"/>
        <v>0</v>
      </c>
      <c r="AC134" s="124">
        <f t="shared" si="56"/>
        <v>0</v>
      </c>
    </row>
    <row r="135" spans="2:29" s="114" customFormat="1">
      <c r="B135" s="115">
        <f t="shared" si="32"/>
        <v>-5.3400000000000354</v>
      </c>
      <c r="C135" s="124">
        <f t="shared" si="33"/>
        <v>4.570881896148374E-6</v>
      </c>
      <c r="D135" s="124">
        <f t="shared" si="34"/>
        <v>2625415.9553903197</v>
      </c>
      <c r="E135" s="124">
        <f t="shared" si="35"/>
        <v>1</v>
      </c>
      <c r="F135" s="124">
        <f t="shared" si="36"/>
        <v>1</v>
      </c>
      <c r="G135" s="124">
        <f t="shared" si="37"/>
        <v>2626864.2099607377</v>
      </c>
      <c r="H135" s="124">
        <f t="shared" si="38"/>
        <v>1</v>
      </c>
      <c r="I135" s="124">
        <f t="shared" si="39"/>
        <v>1</v>
      </c>
      <c r="J135" s="124">
        <f t="shared" si="40"/>
        <v>5.7361788430552432E-8</v>
      </c>
      <c r="K135" s="124">
        <f t="shared" si="41"/>
        <v>0</v>
      </c>
      <c r="L135" s="124">
        <f t="shared" si="42"/>
        <v>0</v>
      </c>
      <c r="M135" s="120"/>
      <c r="N135" s="132">
        <f t="shared" si="30"/>
        <v>2.871969797073263E-5</v>
      </c>
      <c r="O135" s="124">
        <f t="shared" si="43"/>
        <v>3019.7182292557268</v>
      </c>
      <c r="P135" s="124">
        <f t="shared" si="44"/>
        <v>1</v>
      </c>
      <c r="Q135" s="124">
        <f t="shared" si="45"/>
        <v>1</v>
      </c>
      <c r="R135" s="124">
        <f t="shared" si="46"/>
        <v>2771.3521541419555</v>
      </c>
      <c r="S135" s="124">
        <f t="shared" si="47"/>
        <v>783.87050456802069</v>
      </c>
      <c r="T135" s="124">
        <f t="shared" si="48"/>
        <v>2880.0773826755039</v>
      </c>
      <c r="U135" s="124">
        <f t="shared" si="49"/>
        <v>1</v>
      </c>
      <c r="V135" s="124">
        <f t="shared" si="50"/>
        <v>0</v>
      </c>
      <c r="W135" s="124">
        <f t="shared" si="51"/>
        <v>1</v>
      </c>
      <c r="X135" s="124">
        <f t="shared" si="52"/>
        <v>1</v>
      </c>
      <c r="Y135" s="124">
        <f t="shared" si="53"/>
        <v>0</v>
      </c>
      <c r="Z135" s="124">
        <f t="shared" si="54"/>
        <v>1</v>
      </c>
      <c r="AA135" s="124">
        <f t="shared" si="31"/>
        <v>4.2280670307244186E-4</v>
      </c>
      <c r="AB135" s="124">
        <f t="shared" si="55"/>
        <v>0</v>
      </c>
      <c r="AC135" s="124">
        <f t="shared" si="56"/>
        <v>0</v>
      </c>
    </row>
    <row r="136" spans="2:29" s="114" customFormat="1">
      <c r="B136" s="115">
        <f t="shared" si="32"/>
        <v>-5.3200000000000358</v>
      </c>
      <c r="C136" s="124">
        <f t="shared" si="33"/>
        <v>4.7863009232259811E-6</v>
      </c>
      <c r="D136" s="124">
        <f t="shared" si="34"/>
        <v>2615736.7110992861</v>
      </c>
      <c r="E136" s="124">
        <f t="shared" si="35"/>
        <v>1</v>
      </c>
      <c r="F136" s="124">
        <f t="shared" si="36"/>
        <v>1</v>
      </c>
      <c r="G136" s="124">
        <f t="shared" si="37"/>
        <v>2617975.1984585305</v>
      </c>
      <c r="H136" s="124">
        <f t="shared" si="38"/>
        <v>1</v>
      </c>
      <c r="I136" s="124">
        <f t="shared" si="39"/>
        <v>1</v>
      </c>
      <c r="J136" s="124">
        <f t="shared" si="40"/>
        <v>1.3801247146674553E-7</v>
      </c>
      <c r="K136" s="124">
        <f t="shared" si="41"/>
        <v>0</v>
      </c>
      <c r="L136" s="124">
        <f t="shared" si="42"/>
        <v>0</v>
      </c>
      <c r="M136" s="120"/>
      <c r="N136" s="132">
        <f t="shared" si="30"/>
        <v>3.0073215636553574E-5</v>
      </c>
      <c r="O136" s="124">
        <f t="shared" si="43"/>
        <v>3044.56757826892</v>
      </c>
      <c r="P136" s="124">
        <f t="shared" si="44"/>
        <v>1</v>
      </c>
      <c r="Q136" s="124">
        <f t="shared" si="45"/>
        <v>1</v>
      </c>
      <c r="R136" s="124">
        <f t="shared" si="46"/>
        <v>2787.757962576386</v>
      </c>
      <c r="S136" s="124">
        <f t="shared" si="47"/>
        <v>799.16753115048743</v>
      </c>
      <c r="T136" s="124">
        <f t="shared" si="48"/>
        <v>2900.0453790851634</v>
      </c>
      <c r="U136" s="124">
        <f t="shared" si="49"/>
        <v>1</v>
      </c>
      <c r="V136" s="124">
        <f t="shared" si="50"/>
        <v>0</v>
      </c>
      <c r="W136" s="124">
        <f t="shared" si="51"/>
        <v>1</v>
      </c>
      <c r="X136" s="124">
        <f t="shared" si="52"/>
        <v>1</v>
      </c>
      <c r="Y136" s="124">
        <f t="shared" si="53"/>
        <v>0</v>
      </c>
      <c r="Z136" s="124">
        <f t="shared" si="54"/>
        <v>1</v>
      </c>
      <c r="AA136" s="124">
        <f t="shared" si="31"/>
        <v>4.4608923087781246E-4</v>
      </c>
      <c r="AB136" s="124">
        <f t="shared" si="55"/>
        <v>0</v>
      </c>
      <c r="AC136" s="124">
        <f t="shared" si="56"/>
        <v>0</v>
      </c>
    </row>
    <row r="137" spans="2:29" s="114" customFormat="1">
      <c r="B137" s="115">
        <f t="shared" si="32"/>
        <v>-5.3000000000000362</v>
      </c>
      <c r="C137" s="124">
        <f t="shared" si="33"/>
        <v>5.0118723362722998E-6</v>
      </c>
      <c r="D137" s="124">
        <f t="shared" si="34"/>
        <v>2605995.3618385596</v>
      </c>
      <c r="E137" s="124">
        <f t="shared" si="35"/>
        <v>1</v>
      </c>
      <c r="F137" s="124">
        <f t="shared" si="36"/>
        <v>1</v>
      </c>
      <c r="G137" s="124">
        <f t="shared" si="37"/>
        <v>2608972.0626686476</v>
      </c>
      <c r="H137" s="124">
        <f t="shared" si="38"/>
        <v>1</v>
      </c>
      <c r="I137" s="124">
        <f t="shared" si="39"/>
        <v>1</v>
      </c>
      <c r="J137" s="124">
        <f t="shared" si="40"/>
        <v>2.4580792773504196E-7</v>
      </c>
      <c r="K137" s="124">
        <f t="shared" si="41"/>
        <v>0</v>
      </c>
      <c r="L137" s="124">
        <f t="shared" si="42"/>
        <v>0</v>
      </c>
      <c r="M137" s="120"/>
      <c r="N137" s="132">
        <f t="shared" si="30"/>
        <v>3.1490522624725938E-5</v>
      </c>
      <c r="O137" s="124">
        <f t="shared" si="43"/>
        <v>3069.8430224464082</v>
      </c>
      <c r="P137" s="124">
        <f t="shared" si="44"/>
        <v>1</v>
      </c>
      <c r="Q137" s="124">
        <f t="shared" si="45"/>
        <v>1</v>
      </c>
      <c r="R137" s="124">
        <f t="shared" si="46"/>
        <v>2804.5988978298783</v>
      </c>
      <c r="S137" s="124">
        <f t="shared" si="47"/>
        <v>815.30718763205368</v>
      </c>
      <c r="T137" s="124">
        <f t="shared" si="48"/>
        <v>2920.7021053015756</v>
      </c>
      <c r="U137" s="124">
        <f t="shared" si="49"/>
        <v>1</v>
      </c>
      <c r="V137" s="124">
        <f t="shared" si="50"/>
        <v>0</v>
      </c>
      <c r="W137" s="124">
        <f t="shared" si="51"/>
        <v>1</v>
      </c>
      <c r="X137" s="124">
        <f t="shared" si="52"/>
        <v>1</v>
      </c>
      <c r="Y137" s="124">
        <f t="shared" si="53"/>
        <v>0</v>
      </c>
      <c r="Z137" s="124">
        <f t="shared" si="54"/>
        <v>1</v>
      </c>
      <c r="AA137" s="124">
        <f t="shared" si="31"/>
        <v>4.6780951100016728E-4</v>
      </c>
      <c r="AB137" s="124">
        <f t="shared" si="55"/>
        <v>0</v>
      </c>
      <c r="AC137" s="124">
        <f t="shared" si="56"/>
        <v>0</v>
      </c>
    </row>
    <row r="138" spans="2:29" s="114" customFormat="1">
      <c r="B138" s="115">
        <f t="shared" si="32"/>
        <v>-5.2800000000000367</v>
      </c>
      <c r="C138" s="124">
        <f t="shared" si="33"/>
        <v>5.2480746024972733E-6</v>
      </c>
      <c r="D138" s="124">
        <f t="shared" si="34"/>
        <v>2596191.9808846959</v>
      </c>
      <c r="E138" s="124">
        <f t="shared" si="35"/>
        <v>1</v>
      </c>
      <c r="F138" s="124">
        <f t="shared" si="36"/>
        <v>1</v>
      </c>
      <c r="G138" s="124">
        <f t="shared" si="37"/>
        <v>2599842.031616949</v>
      </c>
      <c r="H138" s="124">
        <f t="shared" si="38"/>
        <v>1</v>
      </c>
      <c r="I138" s="124">
        <f t="shared" si="39"/>
        <v>1</v>
      </c>
      <c r="J138" s="124">
        <f t="shared" si="40"/>
        <v>3.7229104324657169E-7</v>
      </c>
      <c r="K138" s="124">
        <f t="shared" si="41"/>
        <v>0</v>
      </c>
      <c r="L138" s="124">
        <f t="shared" si="42"/>
        <v>0</v>
      </c>
      <c r="M138" s="120"/>
      <c r="N138" s="132">
        <f t="shared" si="30"/>
        <v>3.2974625233393216E-5</v>
      </c>
      <c r="O138" s="124">
        <f t="shared" si="43"/>
        <v>3095.5531358714857</v>
      </c>
      <c r="P138" s="124">
        <f t="shared" si="44"/>
        <v>1</v>
      </c>
      <c r="Q138" s="124">
        <f t="shared" si="45"/>
        <v>1</v>
      </c>
      <c r="R138" s="124">
        <f t="shared" si="46"/>
        <v>2821.9494709639621</v>
      </c>
      <c r="S138" s="124">
        <f t="shared" si="47"/>
        <v>832.29040909801722</v>
      </c>
      <c r="T138" s="124">
        <f t="shared" si="48"/>
        <v>2942.1261260779306</v>
      </c>
      <c r="U138" s="124">
        <f t="shared" si="49"/>
        <v>1</v>
      </c>
      <c r="V138" s="124">
        <f t="shared" si="50"/>
        <v>0</v>
      </c>
      <c r="W138" s="124">
        <f t="shared" si="51"/>
        <v>1</v>
      </c>
      <c r="X138" s="124">
        <f t="shared" si="52"/>
        <v>1</v>
      </c>
      <c r="Y138" s="124">
        <f t="shared" si="53"/>
        <v>0</v>
      </c>
      <c r="Z138" s="124">
        <f t="shared" si="54"/>
        <v>1</v>
      </c>
      <c r="AA138" s="124">
        <f t="shared" si="31"/>
        <v>4.8739289600235267E-4</v>
      </c>
      <c r="AB138" s="124">
        <f t="shared" si="55"/>
        <v>0</v>
      </c>
      <c r="AC138" s="124">
        <f t="shared" si="56"/>
        <v>0</v>
      </c>
    </row>
    <row r="139" spans="2:29" s="114" customFormat="1">
      <c r="B139" s="115">
        <f t="shared" si="32"/>
        <v>-5.2600000000000371</v>
      </c>
      <c r="C139" s="124">
        <f t="shared" si="33"/>
        <v>5.4954087385757699E-6</v>
      </c>
      <c r="D139" s="124">
        <f t="shared" si="34"/>
        <v>2586326.6523980969</v>
      </c>
      <c r="E139" s="124">
        <f t="shared" si="35"/>
        <v>1</v>
      </c>
      <c r="F139" s="124">
        <f t="shared" si="36"/>
        <v>1</v>
      </c>
      <c r="G139" s="124">
        <f t="shared" si="37"/>
        <v>2590573.481474393</v>
      </c>
      <c r="H139" s="124">
        <f t="shared" si="38"/>
        <v>1</v>
      </c>
      <c r="I139" s="124">
        <f t="shared" si="39"/>
        <v>1</v>
      </c>
      <c r="J139" s="124">
        <f t="shared" si="40"/>
        <v>5.0771360200390464E-7</v>
      </c>
      <c r="K139" s="124">
        <f t="shared" si="41"/>
        <v>0</v>
      </c>
      <c r="L139" s="124">
        <f t="shared" si="42"/>
        <v>0</v>
      </c>
      <c r="M139" s="120"/>
      <c r="N139" s="132">
        <f t="shared" si="30"/>
        <v>3.4528671443165579E-5</v>
      </c>
      <c r="O139" s="124">
        <f t="shared" si="43"/>
        <v>3121.7066895853018</v>
      </c>
      <c r="P139" s="124">
        <f t="shared" si="44"/>
        <v>1</v>
      </c>
      <c r="Q139" s="124">
        <f t="shared" si="45"/>
        <v>1</v>
      </c>
      <c r="R139" s="124">
        <f t="shared" si="46"/>
        <v>2839.8845458619789</v>
      </c>
      <c r="S139" s="124">
        <f t="shared" si="47"/>
        <v>850.11044517659616</v>
      </c>
      <c r="T139" s="124">
        <f t="shared" si="48"/>
        <v>2964.3940363629208</v>
      </c>
      <c r="U139" s="124">
        <f t="shared" si="49"/>
        <v>1</v>
      </c>
      <c r="V139" s="124">
        <f t="shared" si="50"/>
        <v>0</v>
      </c>
      <c r="W139" s="124">
        <f t="shared" si="51"/>
        <v>1</v>
      </c>
      <c r="X139" s="124">
        <f t="shared" si="52"/>
        <v>1</v>
      </c>
      <c r="Y139" s="124">
        <f t="shared" si="53"/>
        <v>0</v>
      </c>
      <c r="Z139" s="124">
        <f t="shared" si="54"/>
        <v>1</v>
      </c>
      <c r="AA139" s="124">
        <f t="shared" si="31"/>
        <v>5.0427930826572008E-4</v>
      </c>
      <c r="AB139" s="124">
        <f t="shared" si="55"/>
        <v>0</v>
      </c>
      <c r="AC139" s="124">
        <f t="shared" si="56"/>
        <v>0</v>
      </c>
    </row>
    <row r="140" spans="2:29" s="114" customFormat="1">
      <c r="B140" s="115">
        <f t="shared" si="32"/>
        <v>-5.2400000000000375</v>
      </c>
      <c r="C140" s="124">
        <f t="shared" si="33"/>
        <v>5.7543993733710704E-6</v>
      </c>
      <c r="D140" s="124">
        <f t="shared" si="34"/>
        <v>2576399.4715955607</v>
      </c>
      <c r="E140" s="124">
        <f t="shared" si="35"/>
        <v>1</v>
      </c>
      <c r="F140" s="124">
        <f t="shared" si="36"/>
        <v>1</v>
      </c>
      <c r="G140" s="124">
        <f t="shared" si="37"/>
        <v>2581156.1467597359</v>
      </c>
      <c r="H140" s="124">
        <f t="shared" si="38"/>
        <v>1</v>
      </c>
      <c r="I140" s="124">
        <f t="shared" si="39"/>
        <v>1</v>
      </c>
      <c r="J140" s="124">
        <f t="shared" si="40"/>
        <v>6.4172359617205163E-7</v>
      </c>
      <c r="K140" s="124">
        <f t="shared" si="41"/>
        <v>0</v>
      </c>
      <c r="L140" s="124">
        <f t="shared" si="42"/>
        <v>0</v>
      </c>
      <c r="M140" s="120"/>
      <c r="N140" s="132">
        <f t="shared" si="30"/>
        <v>3.6155957594408528E-5</v>
      </c>
      <c r="O140" s="124">
        <f t="shared" si="43"/>
        <v>3148.3126565468906</v>
      </c>
      <c r="P140" s="124">
        <f t="shared" si="44"/>
        <v>1</v>
      </c>
      <c r="Q140" s="124">
        <f t="shared" si="45"/>
        <v>1</v>
      </c>
      <c r="R140" s="124">
        <f t="shared" si="46"/>
        <v>2858.4785498394681</v>
      </c>
      <c r="S140" s="124">
        <f t="shared" si="47"/>
        <v>868.75267164869183</v>
      </c>
      <c r="T140" s="124">
        <f t="shared" si="48"/>
        <v>2987.5794256201939</v>
      </c>
      <c r="U140" s="124">
        <f t="shared" si="49"/>
        <v>1</v>
      </c>
      <c r="V140" s="124">
        <f t="shared" si="50"/>
        <v>0</v>
      </c>
      <c r="W140" s="124">
        <f t="shared" si="51"/>
        <v>1</v>
      </c>
      <c r="X140" s="124">
        <f t="shared" si="52"/>
        <v>1</v>
      </c>
      <c r="Y140" s="124">
        <f t="shared" si="53"/>
        <v>0</v>
      </c>
      <c r="Z140" s="124">
        <f t="shared" si="54"/>
        <v>1</v>
      </c>
      <c r="AA140" s="124">
        <f t="shared" si="31"/>
        <v>5.1794455832305012E-4</v>
      </c>
      <c r="AB140" s="124">
        <f t="shared" si="55"/>
        <v>0</v>
      </c>
      <c r="AC140" s="124">
        <f t="shared" si="56"/>
        <v>0</v>
      </c>
    </row>
    <row r="141" spans="2:29" s="114" customFormat="1">
      <c r="B141" s="115">
        <f t="shared" si="32"/>
        <v>-5.2200000000000379</v>
      </c>
      <c r="C141" s="124">
        <f t="shared" si="33"/>
        <v>6.0255958607430437E-6</v>
      </c>
      <c r="D141" s="124">
        <f t="shared" si="34"/>
        <v>2566410.544922349</v>
      </c>
      <c r="E141" s="124">
        <f t="shared" si="35"/>
        <v>1</v>
      </c>
      <c r="F141" s="124">
        <f t="shared" si="36"/>
        <v>1</v>
      </c>
      <c r="G141" s="124">
        <f t="shared" si="37"/>
        <v>2571581.2999212411</v>
      </c>
      <c r="H141" s="124">
        <f t="shared" si="38"/>
        <v>1</v>
      </c>
      <c r="I141" s="124">
        <f t="shared" si="39"/>
        <v>1</v>
      </c>
      <c r="J141" s="124">
        <f t="shared" si="40"/>
        <v>7.6409966084950433E-7</v>
      </c>
      <c r="K141" s="124">
        <f t="shared" si="41"/>
        <v>0</v>
      </c>
      <c r="L141" s="124">
        <f t="shared" si="42"/>
        <v>0</v>
      </c>
      <c r="M141" s="120"/>
      <c r="N141" s="132">
        <f t="shared" si="30"/>
        <v>3.7859935379222826E-5</v>
      </c>
      <c r="O141" s="124">
        <f t="shared" si="43"/>
        <v>3175.3802167250014</v>
      </c>
      <c r="P141" s="124">
        <f t="shared" si="44"/>
        <v>1</v>
      </c>
      <c r="Q141" s="124">
        <f t="shared" si="45"/>
        <v>1</v>
      </c>
      <c r="R141" s="124">
        <f t="shared" si="46"/>
        <v>2877.8046278149345</v>
      </c>
      <c r="S141" s="124">
        <f t="shared" si="47"/>
        <v>888.19445295912806</v>
      </c>
      <c r="T141" s="124">
        <f t="shared" si="48"/>
        <v>3011.7517929172745</v>
      </c>
      <c r="U141" s="124">
        <f t="shared" si="49"/>
        <v>1</v>
      </c>
      <c r="V141" s="124">
        <f t="shared" si="50"/>
        <v>0</v>
      </c>
      <c r="W141" s="124">
        <f t="shared" si="51"/>
        <v>1</v>
      </c>
      <c r="X141" s="124">
        <f t="shared" si="52"/>
        <v>1</v>
      </c>
      <c r="Y141" s="124">
        <f t="shared" si="53"/>
        <v>0</v>
      </c>
      <c r="Z141" s="124">
        <f t="shared" si="54"/>
        <v>1</v>
      </c>
      <c r="AA141" s="124">
        <f t="shared" si="31"/>
        <v>5.2792217886594474E-4</v>
      </c>
      <c r="AB141" s="124">
        <f t="shared" si="55"/>
        <v>0</v>
      </c>
      <c r="AC141" s="124">
        <f t="shared" si="56"/>
        <v>0</v>
      </c>
    </row>
    <row r="142" spans="2:29" s="114" customFormat="1">
      <c r="B142" s="115">
        <f t="shared" si="32"/>
        <v>-5.2000000000000384</v>
      </c>
      <c r="C142" s="124">
        <f t="shared" si="33"/>
        <v>6.3095734448013714E-6</v>
      </c>
      <c r="D142" s="124">
        <f t="shared" si="34"/>
        <v>2556359.990223709</v>
      </c>
      <c r="E142" s="124">
        <f t="shared" si="35"/>
        <v>1</v>
      </c>
      <c r="F142" s="124">
        <f t="shared" si="36"/>
        <v>1</v>
      </c>
      <c r="G142" s="124">
        <f t="shared" si="37"/>
        <v>2561841.8956192685</v>
      </c>
      <c r="H142" s="124">
        <f t="shared" si="38"/>
        <v>1</v>
      </c>
      <c r="I142" s="124">
        <f t="shared" si="39"/>
        <v>1</v>
      </c>
      <c r="J142" s="124">
        <f t="shared" si="40"/>
        <v>8.6548031379326167E-7</v>
      </c>
      <c r="K142" s="124">
        <f t="shared" si="41"/>
        <v>0</v>
      </c>
      <c r="L142" s="124">
        <f t="shared" si="42"/>
        <v>0</v>
      </c>
      <c r="M142" s="120"/>
      <c r="N142" s="132">
        <f t="shared" si="30"/>
        <v>3.9644219162946467E-5</v>
      </c>
      <c r="O142" s="124">
        <f t="shared" si="43"/>
        <v>3202.918762325306</v>
      </c>
      <c r="P142" s="124">
        <f t="shared" si="44"/>
        <v>1</v>
      </c>
      <c r="Q142" s="124">
        <f t="shared" si="45"/>
        <v>1</v>
      </c>
      <c r="R142" s="124">
        <f t="shared" si="46"/>
        <v>2897.9337348687091</v>
      </c>
      <c r="S142" s="124">
        <f t="shared" si="47"/>
        <v>908.40506915959668</v>
      </c>
      <c r="T142" s="124">
        <f t="shared" si="48"/>
        <v>3036.9754199474446</v>
      </c>
      <c r="U142" s="124">
        <f t="shared" si="49"/>
        <v>1</v>
      </c>
      <c r="V142" s="124">
        <f t="shared" si="50"/>
        <v>0</v>
      </c>
      <c r="W142" s="124">
        <f t="shared" si="51"/>
        <v>1</v>
      </c>
      <c r="X142" s="124">
        <f t="shared" si="52"/>
        <v>1</v>
      </c>
      <c r="Y142" s="124">
        <f t="shared" si="53"/>
        <v>0</v>
      </c>
      <c r="Z142" s="124">
        <f t="shared" si="54"/>
        <v>1</v>
      </c>
      <c r="AA142" s="124">
        <f t="shared" si="31"/>
        <v>5.3382469390015437E-4</v>
      </c>
      <c r="AB142" s="124">
        <f t="shared" si="55"/>
        <v>0</v>
      </c>
      <c r="AC142" s="124">
        <f t="shared" si="56"/>
        <v>0</v>
      </c>
    </row>
    <row r="143" spans="2:29" s="114" customFormat="1">
      <c r="B143" s="115">
        <f t="shared" si="32"/>
        <v>-5.1800000000000388</v>
      </c>
      <c r="C143" s="124">
        <f t="shared" si="33"/>
        <v>6.6069344800753596E-6</v>
      </c>
      <c r="D143" s="124">
        <f t="shared" si="34"/>
        <v>2546247.9369156403</v>
      </c>
      <c r="E143" s="124">
        <f t="shared" si="35"/>
        <v>1</v>
      </c>
      <c r="F143" s="124">
        <f t="shared" si="36"/>
        <v>1</v>
      </c>
      <c r="G143" s="124">
        <f t="shared" si="37"/>
        <v>2551932.6774931452</v>
      </c>
      <c r="H143" s="124">
        <f t="shared" si="38"/>
        <v>1</v>
      </c>
      <c r="I143" s="124">
        <f t="shared" si="39"/>
        <v>1</v>
      </c>
      <c r="J143" s="124">
        <f t="shared" si="40"/>
        <v>9.3803672209455849E-7</v>
      </c>
      <c r="K143" s="124">
        <f t="shared" si="41"/>
        <v>0</v>
      </c>
      <c r="L143" s="124">
        <f t="shared" si="42"/>
        <v>0</v>
      </c>
      <c r="M143" s="120"/>
      <c r="N143" s="132">
        <f t="shared" si="30"/>
        <v>4.1512593650707699E-5</v>
      </c>
      <c r="O143" s="124">
        <f t="shared" si="43"/>
        <v>3230.9379031565782</v>
      </c>
      <c r="P143" s="124">
        <f t="shared" si="44"/>
        <v>1</v>
      </c>
      <c r="Q143" s="124">
        <f t="shared" si="45"/>
        <v>1</v>
      </c>
      <c r="R143" s="124">
        <f t="shared" si="46"/>
        <v>2918.9336648720719</v>
      </c>
      <c r="S143" s="124">
        <f t="shared" si="47"/>
        <v>929.345724099167</v>
      </c>
      <c r="T143" s="124">
        <f t="shared" si="48"/>
        <v>3063.3082141411937</v>
      </c>
      <c r="U143" s="124">
        <f t="shared" si="49"/>
        <v>1</v>
      </c>
      <c r="V143" s="124">
        <f t="shared" si="50"/>
        <v>0</v>
      </c>
      <c r="W143" s="124">
        <f t="shared" si="51"/>
        <v>1</v>
      </c>
      <c r="X143" s="124">
        <f t="shared" si="52"/>
        <v>1</v>
      </c>
      <c r="Y143" s="124">
        <f t="shared" si="53"/>
        <v>0</v>
      </c>
      <c r="Z143" s="124">
        <f t="shared" si="54"/>
        <v>1</v>
      </c>
      <c r="AA143" s="124">
        <f t="shared" si="31"/>
        <v>5.3536314481332959E-4</v>
      </c>
      <c r="AB143" s="124">
        <f t="shared" si="55"/>
        <v>0</v>
      </c>
      <c r="AC143" s="124">
        <f t="shared" si="56"/>
        <v>0</v>
      </c>
    </row>
    <row r="144" spans="2:29" s="114" customFormat="1">
      <c r="B144" s="115">
        <f t="shared" si="32"/>
        <v>-5.1600000000000392</v>
      </c>
      <c r="C144" s="124">
        <f t="shared" si="33"/>
        <v>6.9183097091887349E-6</v>
      </c>
      <c r="D144" s="124">
        <f t="shared" si="34"/>
        <v>2536074.5261548567</v>
      </c>
      <c r="E144" s="124">
        <f t="shared" si="35"/>
        <v>1</v>
      </c>
      <c r="F144" s="124">
        <f t="shared" si="36"/>
        <v>1</v>
      </c>
      <c r="G144" s="124">
        <f t="shared" si="37"/>
        <v>2541850.2467110464</v>
      </c>
      <c r="H144" s="124">
        <f t="shared" si="38"/>
        <v>1</v>
      </c>
      <c r="I144" s="124">
        <f t="shared" si="39"/>
        <v>1</v>
      </c>
      <c r="J144" s="124">
        <f t="shared" si="40"/>
        <v>9.7604267994072027E-7</v>
      </c>
      <c r="K144" s="124">
        <f t="shared" si="41"/>
        <v>0</v>
      </c>
      <c r="L144" s="124">
        <f t="shared" si="42"/>
        <v>0</v>
      </c>
      <c r="M144" s="120"/>
      <c r="N144" s="132">
        <f t="shared" si="30"/>
        <v>4.3469021915292538E-5</v>
      </c>
      <c r="O144" s="124">
        <f t="shared" si="43"/>
        <v>3259.44747213972</v>
      </c>
      <c r="P144" s="124">
        <f t="shared" si="44"/>
        <v>1</v>
      </c>
      <c r="Q144" s="124">
        <f t="shared" si="45"/>
        <v>1</v>
      </c>
      <c r="R144" s="124">
        <f t="shared" si="46"/>
        <v>2940.868016720392</v>
      </c>
      <c r="S144" s="124">
        <f t="shared" si="47"/>
        <v>950.96965447079299</v>
      </c>
      <c r="T144" s="124">
        <f t="shared" si="48"/>
        <v>3090.8005395840783</v>
      </c>
      <c r="U144" s="124">
        <f t="shared" si="49"/>
        <v>1</v>
      </c>
      <c r="V144" s="124">
        <f t="shared" si="50"/>
        <v>0</v>
      </c>
      <c r="W144" s="124">
        <f t="shared" si="51"/>
        <v>1</v>
      </c>
      <c r="X144" s="124">
        <f t="shared" si="52"/>
        <v>1</v>
      </c>
      <c r="Y144" s="124">
        <f t="shared" si="53"/>
        <v>0</v>
      </c>
      <c r="Z144" s="124">
        <f t="shared" si="54"/>
        <v>1</v>
      </c>
      <c r="AA144" s="124">
        <f t="shared" si="31"/>
        <v>5.3236365837200535E-4</v>
      </c>
      <c r="AB144" s="124">
        <f t="shared" si="55"/>
        <v>0</v>
      </c>
      <c r="AC144" s="124">
        <f t="shared" si="56"/>
        <v>0</v>
      </c>
    </row>
    <row r="145" spans="2:29" s="114" customFormat="1">
      <c r="B145" s="115">
        <f t="shared" si="32"/>
        <v>-5.1400000000000396</v>
      </c>
      <c r="C145" s="124">
        <f t="shared" si="33"/>
        <v>7.2443596007492265E-6</v>
      </c>
      <c r="D145" s="124">
        <f t="shared" si="34"/>
        <v>2525839.9110078653</v>
      </c>
      <c r="E145" s="124">
        <f t="shared" si="35"/>
        <v>1</v>
      </c>
      <c r="F145" s="124">
        <f t="shared" si="36"/>
        <v>1</v>
      </c>
      <c r="G145" s="124">
        <f t="shared" si="37"/>
        <v>2531593.0930687711</v>
      </c>
      <c r="H145" s="124">
        <f t="shared" si="38"/>
        <v>1</v>
      </c>
      <c r="I145" s="124">
        <f t="shared" si="39"/>
        <v>1</v>
      </c>
      <c r="J145" s="124">
        <f t="shared" si="40"/>
        <v>9.7630372664511283E-7</v>
      </c>
      <c r="K145" s="124">
        <f t="shared" si="41"/>
        <v>0</v>
      </c>
      <c r="L145" s="124">
        <f t="shared" si="42"/>
        <v>0</v>
      </c>
      <c r="M145" s="120"/>
      <c r="N145" s="132">
        <f t="shared" si="30"/>
        <v>4.5517653803352913E-5</v>
      </c>
      <c r="O145" s="124">
        <f t="shared" si="43"/>
        <v>3288.4575309633101</v>
      </c>
      <c r="P145" s="124">
        <f t="shared" si="44"/>
        <v>1</v>
      </c>
      <c r="Q145" s="124">
        <f t="shared" si="45"/>
        <v>1</v>
      </c>
      <c r="R145" s="124">
        <f t="shared" si="46"/>
        <v>2963.795104513576</v>
      </c>
      <c r="S145" s="124">
        <f t="shared" si="47"/>
        <v>973.22236136979814</v>
      </c>
      <c r="T145" s="124">
        <f t="shared" si="48"/>
        <v>3119.4940593321935</v>
      </c>
      <c r="U145" s="124">
        <f t="shared" si="49"/>
        <v>1</v>
      </c>
      <c r="V145" s="124">
        <f t="shared" si="50"/>
        <v>0</v>
      </c>
      <c r="W145" s="124">
        <f t="shared" si="51"/>
        <v>1</v>
      </c>
      <c r="X145" s="124">
        <f t="shared" si="52"/>
        <v>1</v>
      </c>
      <c r="Y145" s="124">
        <f t="shared" si="53"/>
        <v>0</v>
      </c>
      <c r="Z145" s="124">
        <f t="shared" si="54"/>
        <v>1</v>
      </c>
      <c r="AA145" s="124">
        <f t="shared" si="31"/>
        <v>5.2477988150892549E-4</v>
      </c>
      <c r="AB145" s="124">
        <f t="shared" si="55"/>
        <v>0</v>
      </c>
      <c r="AC145" s="124">
        <f t="shared" si="56"/>
        <v>0</v>
      </c>
    </row>
    <row r="146" spans="2:29" s="114" customFormat="1">
      <c r="B146" s="115">
        <f t="shared" si="32"/>
        <v>-5.1200000000000401</v>
      </c>
      <c r="C146" s="124">
        <f t="shared" si="33"/>
        <v>7.5857757502911301E-6</v>
      </c>
      <c r="D146" s="124">
        <f t="shared" si="34"/>
        <v>2515544.2566189566</v>
      </c>
      <c r="E146" s="124">
        <f t="shared" si="35"/>
        <v>1</v>
      </c>
      <c r="F146" s="124">
        <f t="shared" si="36"/>
        <v>1</v>
      </c>
      <c r="G146" s="124">
        <f t="shared" si="37"/>
        <v>2521161.5907221301</v>
      </c>
      <c r="H146" s="124">
        <f t="shared" si="38"/>
        <v>1</v>
      </c>
      <c r="I146" s="124">
        <f t="shared" si="39"/>
        <v>1</v>
      </c>
      <c r="J146" s="124">
        <f t="shared" si="40"/>
        <v>9.3841795471184246E-7</v>
      </c>
      <c r="K146" s="124">
        <f t="shared" si="41"/>
        <v>0</v>
      </c>
      <c r="L146" s="124">
        <f t="shared" si="42"/>
        <v>0</v>
      </c>
      <c r="M146" s="120"/>
      <c r="N146" s="132">
        <f t="shared" si="30"/>
        <v>4.7662834737788432E-5</v>
      </c>
      <c r="O146" s="124">
        <f t="shared" si="43"/>
        <v>3317.9783758898034</v>
      </c>
      <c r="P146" s="124">
        <f t="shared" si="44"/>
        <v>1</v>
      </c>
      <c r="Q146" s="124">
        <f t="shared" si="45"/>
        <v>1</v>
      </c>
      <c r="R146" s="124">
        <f t="shared" si="46"/>
        <v>2987.7668236976056</v>
      </c>
      <c r="S146" s="124">
        <f t="shared" si="47"/>
        <v>996.04198705011277</v>
      </c>
      <c r="T146" s="124">
        <f t="shared" si="48"/>
        <v>3149.4206185828552</v>
      </c>
      <c r="U146" s="124">
        <f t="shared" si="49"/>
        <v>1</v>
      </c>
      <c r="V146" s="124">
        <f t="shared" si="50"/>
        <v>0</v>
      </c>
      <c r="W146" s="124">
        <f t="shared" si="51"/>
        <v>1</v>
      </c>
      <c r="X146" s="124">
        <f t="shared" si="52"/>
        <v>1</v>
      </c>
      <c r="Y146" s="124">
        <f t="shared" si="53"/>
        <v>0</v>
      </c>
      <c r="Z146" s="124">
        <f t="shared" si="54"/>
        <v>1</v>
      </c>
      <c r="AA146" s="124">
        <f t="shared" si="31"/>
        <v>5.1270023639885779E-4</v>
      </c>
      <c r="AB146" s="124">
        <f t="shared" si="55"/>
        <v>0</v>
      </c>
      <c r="AC146" s="124">
        <f t="shared" si="56"/>
        <v>0</v>
      </c>
    </row>
    <row r="147" spans="2:29" s="114" customFormat="1">
      <c r="B147" s="115">
        <f t="shared" si="32"/>
        <v>-5.1000000000000405</v>
      </c>
      <c r="C147" s="124">
        <f t="shared" si="33"/>
        <v>7.9432823472420594E-6</v>
      </c>
      <c r="D147" s="124">
        <f t="shared" si="34"/>
        <v>2505187.7403770559</v>
      </c>
      <c r="E147" s="124">
        <f t="shared" si="35"/>
        <v>1</v>
      </c>
      <c r="F147" s="124">
        <f t="shared" si="36"/>
        <v>1</v>
      </c>
      <c r="G147" s="124">
        <f t="shared" si="37"/>
        <v>2510557.9617194887</v>
      </c>
      <c r="H147" s="124">
        <f t="shared" si="38"/>
        <v>1</v>
      </c>
      <c r="I147" s="124">
        <f t="shared" si="39"/>
        <v>1</v>
      </c>
      <c r="J147" s="124">
        <f t="shared" si="40"/>
        <v>8.6485300531902454E-7</v>
      </c>
      <c r="K147" s="124">
        <f t="shared" si="41"/>
        <v>0</v>
      </c>
      <c r="L147" s="124">
        <f t="shared" si="42"/>
        <v>0</v>
      </c>
      <c r="M147" s="120"/>
      <c r="N147" s="132">
        <f t="shared" si="30"/>
        <v>4.9909114934970286E-5</v>
      </c>
      <c r="O147" s="124">
        <f t="shared" si="43"/>
        <v>3348.0205437162567</v>
      </c>
      <c r="P147" s="124">
        <f t="shared" si="44"/>
        <v>1</v>
      </c>
      <c r="Q147" s="124">
        <f t="shared" si="45"/>
        <v>1</v>
      </c>
      <c r="R147" s="124">
        <f t="shared" si="46"/>
        <v>3012.827491541138</v>
      </c>
      <c r="S147" s="124">
        <f t="shared" si="47"/>
        <v>1019.3598592938658</v>
      </c>
      <c r="T147" s="124">
        <f t="shared" si="48"/>
        <v>3180.6012036289108</v>
      </c>
      <c r="U147" s="124">
        <f t="shared" si="49"/>
        <v>1</v>
      </c>
      <c r="V147" s="124">
        <f t="shared" si="50"/>
        <v>0</v>
      </c>
      <c r="W147" s="124">
        <f t="shared" si="51"/>
        <v>1</v>
      </c>
      <c r="X147" s="124">
        <f t="shared" si="52"/>
        <v>1</v>
      </c>
      <c r="Y147" s="124">
        <f t="shared" si="53"/>
        <v>0</v>
      </c>
      <c r="Z147" s="124">
        <f t="shared" si="54"/>
        <v>1</v>
      </c>
      <c r="AA147" s="124">
        <f t="shared" si="31"/>
        <v>4.9634917289247853E-4</v>
      </c>
      <c r="AB147" s="124">
        <f t="shared" si="55"/>
        <v>0</v>
      </c>
      <c r="AC147" s="124">
        <f t="shared" si="56"/>
        <v>0</v>
      </c>
    </row>
    <row r="148" spans="2:29" s="114" customFormat="1">
      <c r="B148" s="115">
        <f t="shared" si="32"/>
        <v>-5.0800000000000409</v>
      </c>
      <c r="C148" s="124">
        <f t="shared" si="33"/>
        <v>8.3176377110259166E-6</v>
      </c>
      <c r="D148" s="124">
        <f t="shared" si="34"/>
        <v>2494770.5520813428</v>
      </c>
      <c r="E148" s="124">
        <f t="shared" si="35"/>
        <v>1</v>
      </c>
      <c r="F148" s="124">
        <f t="shared" si="36"/>
        <v>1</v>
      </c>
      <c r="G148" s="124">
        <f t="shared" si="37"/>
        <v>2499786.2112774174</v>
      </c>
      <c r="H148" s="124">
        <f t="shared" si="38"/>
        <v>1</v>
      </c>
      <c r="I148" s="124">
        <f t="shared" si="39"/>
        <v>1</v>
      </c>
      <c r="J148" s="124">
        <f t="shared" si="40"/>
        <v>7.6083597284519756E-7</v>
      </c>
      <c r="K148" s="124">
        <f t="shared" si="41"/>
        <v>0</v>
      </c>
      <c r="L148" s="124">
        <f t="shared" si="42"/>
        <v>0</v>
      </c>
      <c r="M148" s="120"/>
      <c r="N148" s="132">
        <f t="shared" si="30"/>
        <v>5.2261259056360883E-5</v>
      </c>
      <c r="O148" s="124">
        <f t="shared" si="43"/>
        <v>3378.5948178939057</v>
      </c>
      <c r="P148" s="124">
        <f t="shared" si="44"/>
        <v>1</v>
      </c>
      <c r="Q148" s="124">
        <f t="shared" si="45"/>
        <v>1</v>
      </c>
      <c r="R148" s="124">
        <f t="shared" si="46"/>
        <v>3039.0126871112902</v>
      </c>
      <c r="S148" s="124">
        <f t="shared" si="47"/>
        <v>1043.1012239689771</v>
      </c>
      <c r="T148" s="124">
        <f t="shared" si="48"/>
        <v>3213.0450161597432</v>
      </c>
      <c r="U148" s="124">
        <f t="shared" si="49"/>
        <v>1</v>
      </c>
      <c r="V148" s="124">
        <f t="shared" si="50"/>
        <v>0</v>
      </c>
      <c r="W148" s="124">
        <f t="shared" si="51"/>
        <v>1</v>
      </c>
      <c r="X148" s="124">
        <f t="shared" si="52"/>
        <v>1</v>
      </c>
      <c r="Y148" s="124">
        <f t="shared" si="53"/>
        <v>0</v>
      </c>
      <c r="Z148" s="124">
        <f t="shared" si="54"/>
        <v>1</v>
      </c>
      <c r="AA148" s="124">
        <f t="shared" si="31"/>
        <v>4.7608191153801434E-4</v>
      </c>
      <c r="AB148" s="124">
        <f t="shared" si="55"/>
        <v>0</v>
      </c>
      <c r="AC148" s="124">
        <f t="shared" si="56"/>
        <v>0</v>
      </c>
    </row>
    <row r="149" spans="2:29" s="114" customFormat="1">
      <c r="B149" s="115">
        <f t="shared" si="32"/>
        <v>-5.0600000000000414</v>
      </c>
      <c r="C149" s="124">
        <f t="shared" si="33"/>
        <v>8.7096358995599738E-6</v>
      </c>
      <c r="D149" s="124">
        <f t="shared" si="34"/>
        <v>2484292.8941053743</v>
      </c>
      <c r="E149" s="124">
        <f t="shared" si="35"/>
        <v>1</v>
      </c>
      <c r="F149" s="124">
        <f t="shared" si="36"/>
        <v>1</v>
      </c>
      <c r="G149" s="124">
        <f t="shared" si="37"/>
        <v>2488852.039172654</v>
      </c>
      <c r="H149" s="124">
        <f t="shared" si="38"/>
        <v>1</v>
      </c>
      <c r="I149" s="124">
        <f t="shared" si="39"/>
        <v>1</v>
      </c>
      <c r="J149" s="124">
        <f t="shared" si="40"/>
        <v>6.3406451289865083E-7</v>
      </c>
      <c r="K149" s="124">
        <f t="shared" si="41"/>
        <v>0</v>
      </c>
      <c r="L149" s="124">
        <f t="shared" si="42"/>
        <v>0</v>
      </c>
      <c r="M149" s="120"/>
      <c r="N149" s="132">
        <f t="shared" si="30"/>
        <v>5.4724256314999085E-5</v>
      </c>
      <c r="O149" s="124">
        <f t="shared" si="43"/>
        <v>3409.7122348107073</v>
      </c>
      <c r="P149" s="124">
        <f t="shared" si="44"/>
        <v>1</v>
      </c>
      <c r="Q149" s="124">
        <f t="shared" si="45"/>
        <v>1</v>
      </c>
      <c r="R149" s="124">
        <f t="shared" si="46"/>
        <v>3066.3481227751727</v>
      </c>
      <c r="S149" s="124">
        <f t="shared" si="47"/>
        <v>1067.1861827049756</v>
      </c>
      <c r="T149" s="124">
        <f t="shared" si="48"/>
        <v>3246.7487057983471</v>
      </c>
      <c r="U149" s="124">
        <f t="shared" si="49"/>
        <v>1</v>
      </c>
      <c r="V149" s="124">
        <f t="shared" si="50"/>
        <v>0</v>
      </c>
      <c r="W149" s="124">
        <f t="shared" si="51"/>
        <v>1</v>
      </c>
      <c r="X149" s="124">
        <f t="shared" si="52"/>
        <v>1</v>
      </c>
      <c r="Y149" s="124">
        <f t="shared" si="53"/>
        <v>0</v>
      </c>
      <c r="Z149" s="124">
        <f t="shared" si="54"/>
        <v>1</v>
      </c>
      <c r="AA149" s="124">
        <f t="shared" si="31"/>
        <v>4.523725664232516E-4</v>
      </c>
      <c r="AB149" s="124">
        <f t="shared" si="55"/>
        <v>0</v>
      </c>
      <c r="AC149" s="124">
        <f t="shared" si="56"/>
        <v>0</v>
      </c>
    </row>
    <row r="150" spans="2:29" s="114" customFormat="1">
      <c r="B150" s="115">
        <f t="shared" si="32"/>
        <v>-5.0400000000000418</v>
      </c>
      <c r="C150" s="124">
        <f t="shared" si="33"/>
        <v>9.120108393558207E-6</v>
      </c>
      <c r="D150" s="124">
        <f t="shared" si="34"/>
        <v>2473754.9815598107</v>
      </c>
      <c r="E150" s="124">
        <f t="shared" si="35"/>
        <v>1</v>
      </c>
      <c r="F150" s="124">
        <f t="shared" si="36"/>
        <v>1</v>
      </c>
      <c r="G150" s="124">
        <f t="shared" si="37"/>
        <v>2477762.7316988083</v>
      </c>
      <c r="H150" s="124">
        <f t="shared" si="38"/>
        <v>1</v>
      </c>
      <c r="I150" s="124">
        <f t="shared" si="39"/>
        <v>1</v>
      </c>
      <c r="J150" s="124">
        <f t="shared" si="40"/>
        <v>4.9425765608896207E-7</v>
      </c>
      <c r="K150" s="124">
        <f t="shared" si="41"/>
        <v>0</v>
      </c>
      <c r="L150" s="124">
        <f t="shared" si="42"/>
        <v>0</v>
      </c>
      <c r="M150" s="120"/>
      <c r="N150" s="132">
        <f t="shared" si="30"/>
        <v>5.7303331058290147E-5</v>
      </c>
      <c r="O150" s="124">
        <f t="shared" si="43"/>
        <v>3441.384090241314</v>
      </c>
      <c r="P150" s="124">
        <f t="shared" si="44"/>
        <v>1</v>
      </c>
      <c r="Q150" s="124">
        <f t="shared" si="45"/>
        <v>1</v>
      </c>
      <c r="R150" s="124">
        <f t="shared" si="46"/>
        <v>3094.8485857325304</v>
      </c>
      <c r="S150" s="124">
        <f t="shared" si="47"/>
        <v>1091.5308470106013</v>
      </c>
      <c r="T150" s="124">
        <f t="shared" si="48"/>
        <v>3281.6958053095545</v>
      </c>
      <c r="U150" s="124">
        <f t="shared" si="49"/>
        <v>1</v>
      </c>
      <c r="V150" s="124">
        <f t="shared" si="50"/>
        <v>0</v>
      </c>
      <c r="W150" s="124">
        <f t="shared" si="51"/>
        <v>1</v>
      </c>
      <c r="X150" s="124">
        <f t="shared" si="52"/>
        <v>1</v>
      </c>
      <c r="Y150" s="124">
        <f t="shared" si="53"/>
        <v>0</v>
      </c>
      <c r="Z150" s="124">
        <f t="shared" si="54"/>
        <v>1</v>
      </c>
      <c r="AA150" s="124">
        <f t="shared" si="31"/>
        <v>4.2579598901506242E-4</v>
      </c>
      <c r="AB150" s="124">
        <f t="shared" si="55"/>
        <v>0</v>
      </c>
      <c r="AC150" s="124">
        <f t="shared" si="56"/>
        <v>0</v>
      </c>
    </row>
    <row r="151" spans="2:29" s="114" customFormat="1">
      <c r="B151" s="115">
        <f t="shared" si="32"/>
        <v>-5.0200000000000422</v>
      </c>
      <c r="C151" s="124">
        <f t="shared" si="33"/>
        <v>9.5499258602134269E-6</v>
      </c>
      <c r="D151" s="124">
        <f t="shared" si="34"/>
        <v>2463157.0424533547</v>
      </c>
      <c r="E151" s="124">
        <f t="shared" si="35"/>
        <v>1</v>
      </c>
      <c r="F151" s="124">
        <f t="shared" si="36"/>
        <v>1</v>
      </c>
      <c r="G151" s="124">
        <f t="shared" si="37"/>
        <v>2466527.0383807635</v>
      </c>
      <c r="H151" s="124">
        <f t="shared" si="38"/>
        <v>1</v>
      </c>
      <c r="I151" s="124">
        <f t="shared" si="39"/>
        <v>1</v>
      </c>
      <c r="J151" s="124">
        <f t="shared" si="40"/>
        <v>3.5257322206381517E-7</v>
      </c>
      <c r="K151" s="124">
        <f t="shared" si="41"/>
        <v>0</v>
      </c>
      <c r="L151" s="124">
        <f t="shared" si="42"/>
        <v>0</v>
      </c>
      <c r="M151" s="120"/>
      <c r="N151" s="132">
        <f t="shared" si="30"/>
        <v>6.0003953849547376E-5</v>
      </c>
      <c r="O151" s="124">
        <f t="shared" si="43"/>
        <v>3473.62194596893</v>
      </c>
      <c r="P151" s="124">
        <f t="shared" si="44"/>
        <v>1</v>
      </c>
      <c r="Q151" s="124">
        <f t="shared" si="45"/>
        <v>1</v>
      </c>
      <c r="R151" s="124">
        <f t="shared" si="46"/>
        <v>3124.516993637013</v>
      </c>
      <c r="S151" s="124">
        <f t="shared" si="47"/>
        <v>1116.048712541347</v>
      </c>
      <c r="T151" s="124">
        <f t="shared" si="48"/>
        <v>3317.8564122474736</v>
      </c>
      <c r="U151" s="124">
        <f t="shared" si="49"/>
        <v>1</v>
      </c>
      <c r="V151" s="124">
        <f t="shared" si="50"/>
        <v>0</v>
      </c>
      <c r="W151" s="124">
        <f t="shared" si="51"/>
        <v>1</v>
      </c>
      <c r="X151" s="124">
        <f t="shared" si="52"/>
        <v>1</v>
      </c>
      <c r="Y151" s="124">
        <f t="shared" si="53"/>
        <v>0</v>
      </c>
      <c r="Z151" s="124">
        <f t="shared" si="54"/>
        <v>1</v>
      </c>
      <c r="AA151" s="124">
        <f t="shared" si="31"/>
        <v>3.9700414765232186E-4</v>
      </c>
      <c r="AB151" s="124">
        <f t="shared" si="55"/>
        <v>0</v>
      </c>
      <c r="AC151" s="124">
        <f t="shared" si="56"/>
        <v>0</v>
      </c>
    </row>
    <row r="152" spans="2:29" s="114" customFormat="1">
      <c r="B152" s="115">
        <f t="shared" si="32"/>
        <v>-5.0000000000000426</v>
      </c>
      <c r="C152" s="124">
        <f t="shared" si="33"/>
        <v>9.999999999999003E-6</v>
      </c>
      <c r="D152" s="124">
        <f t="shared" si="34"/>
        <v>2452499.317852011</v>
      </c>
      <c r="E152" s="124">
        <f t="shared" si="35"/>
        <v>1</v>
      </c>
      <c r="F152" s="124">
        <f t="shared" si="36"/>
        <v>1</v>
      </c>
      <c r="G152" s="124">
        <f t="shared" si="37"/>
        <v>2455155.0371079175</v>
      </c>
      <c r="H152" s="124">
        <f t="shared" si="38"/>
        <v>1</v>
      </c>
      <c r="I152" s="124">
        <f t="shared" si="39"/>
        <v>1</v>
      </c>
      <c r="J152" s="124">
        <f t="shared" si="40"/>
        <v>2.2092511415289002E-7</v>
      </c>
      <c r="K152" s="124">
        <f t="shared" si="41"/>
        <v>0</v>
      </c>
      <c r="L152" s="124">
        <f t="shared" si="42"/>
        <v>0</v>
      </c>
      <c r="M152" s="120"/>
      <c r="N152" s="132">
        <f t="shared" si="30"/>
        <v>6.2831853071789595E-5</v>
      </c>
      <c r="O152" s="124">
        <f t="shared" si="43"/>
        <v>3506.4376365836233</v>
      </c>
      <c r="P152" s="124">
        <f t="shared" si="44"/>
        <v>1</v>
      </c>
      <c r="Q152" s="124">
        <f t="shared" si="45"/>
        <v>1</v>
      </c>
      <c r="R152" s="124">
        <f t="shared" si="46"/>
        <v>3155.3436123861966</v>
      </c>
      <c r="S152" s="124">
        <f t="shared" si="47"/>
        <v>1140.6522477067324</v>
      </c>
      <c r="T152" s="124">
        <f t="shared" si="48"/>
        <v>3355.1871575852206</v>
      </c>
      <c r="U152" s="124">
        <f t="shared" si="49"/>
        <v>1</v>
      </c>
      <c r="V152" s="124">
        <f t="shared" si="50"/>
        <v>0</v>
      </c>
      <c r="W152" s="124">
        <f t="shared" si="51"/>
        <v>1</v>
      </c>
      <c r="X152" s="124">
        <f t="shared" si="52"/>
        <v>1</v>
      </c>
      <c r="Y152" s="124">
        <f t="shared" si="53"/>
        <v>0</v>
      </c>
      <c r="Z152" s="124">
        <f t="shared" si="54"/>
        <v>1</v>
      </c>
      <c r="AA152" s="124">
        <f t="shared" si="31"/>
        <v>3.6669830988857546E-4</v>
      </c>
      <c r="AB152" s="124">
        <f t="shared" si="55"/>
        <v>0</v>
      </c>
      <c r="AC152" s="124">
        <f t="shared" si="56"/>
        <v>0</v>
      </c>
    </row>
    <row r="153" spans="2:29" s="114" customFormat="1">
      <c r="B153" s="115">
        <f t="shared" si="32"/>
        <v>-4.9800000000000431</v>
      </c>
      <c r="C153" s="124">
        <f t="shared" si="33"/>
        <v>1.047128548050795E-5</v>
      </c>
      <c r="D153" s="124">
        <f t="shared" si="34"/>
        <v>2441782.062036403</v>
      </c>
      <c r="E153" s="124">
        <f t="shared" si="35"/>
        <v>1</v>
      </c>
      <c r="F153" s="124">
        <f t="shared" si="36"/>
        <v>1</v>
      </c>
      <c r="G153" s="124">
        <f t="shared" si="37"/>
        <v>2443657.9906176645</v>
      </c>
      <c r="H153" s="124">
        <f t="shared" si="38"/>
        <v>1</v>
      </c>
      <c r="I153" s="124">
        <f t="shared" si="39"/>
        <v>1</v>
      </c>
      <c r="J153" s="124">
        <f t="shared" si="40"/>
        <v>1.112381813682496E-7</v>
      </c>
      <c r="K153" s="124">
        <f t="shared" si="41"/>
        <v>0</v>
      </c>
      <c r="L153" s="124">
        <f t="shared" si="42"/>
        <v>0</v>
      </c>
      <c r="M153" s="120"/>
      <c r="N153" s="132">
        <f t="shared" si="30"/>
        <v>6.5793027078410489E-5</v>
      </c>
      <c r="O153" s="124">
        <f t="shared" si="43"/>
        <v>3539.8432764618569</v>
      </c>
      <c r="P153" s="124">
        <f t="shared" si="44"/>
        <v>1</v>
      </c>
      <c r="Q153" s="124">
        <f t="shared" si="45"/>
        <v>1</v>
      </c>
      <c r="R153" s="124">
        <f t="shared" si="46"/>
        <v>3187.3054860347556</v>
      </c>
      <c r="S153" s="124">
        <f t="shared" si="47"/>
        <v>1165.2546796773549</v>
      </c>
      <c r="T153" s="124">
        <f t="shared" si="48"/>
        <v>3393.6314958783055</v>
      </c>
      <c r="U153" s="124">
        <f t="shared" si="49"/>
        <v>1</v>
      </c>
      <c r="V153" s="124">
        <f t="shared" si="50"/>
        <v>0</v>
      </c>
      <c r="W153" s="124">
        <f t="shared" si="51"/>
        <v>1</v>
      </c>
      <c r="X153" s="124">
        <f t="shared" si="52"/>
        <v>1</v>
      </c>
      <c r="Y153" s="124">
        <f t="shared" si="53"/>
        <v>0</v>
      </c>
      <c r="Z153" s="124">
        <f t="shared" si="54"/>
        <v>1</v>
      </c>
      <c r="AA153" s="124">
        <f t="shared" si="31"/>
        <v>3.3559868001380969E-4</v>
      </c>
      <c r="AB153" s="124">
        <f t="shared" si="55"/>
        <v>0</v>
      </c>
      <c r="AC153" s="124">
        <f t="shared" si="56"/>
        <v>0</v>
      </c>
    </row>
    <row r="154" spans="2:29" s="114" customFormat="1">
      <c r="B154" s="115">
        <f t="shared" si="32"/>
        <v>-4.9600000000000435</v>
      </c>
      <c r="C154" s="124">
        <f t="shared" si="33"/>
        <v>1.0964781961430734E-5</v>
      </c>
      <c r="D154" s="124">
        <f t="shared" si="34"/>
        <v>2431005.5426569646</v>
      </c>
      <c r="E154" s="124">
        <f t="shared" si="35"/>
        <v>1</v>
      </c>
      <c r="F154" s="124">
        <f t="shared" si="36"/>
        <v>1</v>
      </c>
      <c r="G154" s="124">
        <f t="shared" si="37"/>
        <v>2432048.1964258295</v>
      </c>
      <c r="H154" s="124">
        <f t="shared" si="38"/>
        <v>1</v>
      </c>
      <c r="I154" s="124">
        <f t="shared" si="39"/>
        <v>1</v>
      </c>
      <c r="J154" s="124">
        <f t="shared" si="40"/>
        <v>3.4680929168013927E-8</v>
      </c>
      <c r="K154" s="124">
        <f t="shared" si="41"/>
        <v>0</v>
      </c>
      <c r="L154" s="124">
        <f t="shared" si="42"/>
        <v>0</v>
      </c>
      <c r="M154" s="120"/>
      <c r="N154" s="132">
        <f t="shared" si="30"/>
        <v>6.8893756916489345E-5</v>
      </c>
      <c r="O154" s="124">
        <f t="shared" si="43"/>
        <v>3573.8512669320025</v>
      </c>
      <c r="P154" s="124">
        <f t="shared" si="44"/>
        <v>1</v>
      </c>
      <c r="Q154" s="124">
        <f t="shared" si="45"/>
        <v>1</v>
      </c>
      <c r="R154" s="124">
        <f t="shared" si="46"/>
        <v>3220.3661279355779</v>
      </c>
      <c r="S154" s="124">
        <f t="shared" si="47"/>
        <v>1189.7719486081776</v>
      </c>
      <c r="T154" s="124">
        <f t="shared" si="48"/>
        <v>3433.1203427275436</v>
      </c>
      <c r="U154" s="124">
        <f t="shared" si="49"/>
        <v>1</v>
      </c>
      <c r="V154" s="124">
        <f t="shared" si="50"/>
        <v>0</v>
      </c>
      <c r="W154" s="124">
        <f t="shared" si="51"/>
        <v>1</v>
      </c>
      <c r="X154" s="124">
        <f t="shared" si="52"/>
        <v>1</v>
      </c>
      <c r="Y154" s="124">
        <f t="shared" si="53"/>
        <v>0</v>
      </c>
      <c r="Z154" s="124">
        <f t="shared" si="54"/>
        <v>1</v>
      </c>
      <c r="AA154" s="124">
        <f t="shared" si="31"/>
        <v>3.0441341678772278E-4</v>
      </c>
      <c r="AB154" s="124">
        <f t="shared" si="55"/>
        <v>0</v>
      </c>
      <c r="AC154" s="124">
        <f t="shared" si="56"/>
        <v>0</v>
      </c>
    </row>
    <row r="155" spans="2:29" s="114" customFormat="1">
      <c r="B155" s="115">
        <f t="shared" si="32"/>
        <v>-4.9400000000000439</v>
      </c>
      <c r="C155" s="124">
        <f t="shared" si="33"/>
        <v>1.1481536214967657E-5</v>
      </c>
      <c r="D155" s="124">
        <f t="shared" si="34"/>
        <v>2420170.0408870568</v>
      </c>
      <c r="E155" s="124">
        <f t="shared" si="35"/>
        <v>1</v>
      </c>
      <c r="F155" s="124">
        <f t="shared" si="36"/>
        <v>1</v>
      </c>
      <c r="G155" s="124">
        <f t="shared" si="37"/>
        <v>2420338.8314584736</v>
      </c>
      <c r="H155" s="124">
        <f t="shared" si="38"/>
        <v>1</v>
      </c>
      <c r="I155" s="124">
        <f t="shared" si="39"/>
        <v>1</v>
      </c>
      <c r="J155" s="124">
        <f t="shared" si="40"/>
        <v>9.1736663400999996E-10</v>
      </c>
      <c r="K155" s="124">
        <f t="shared" si="41"/>
        <v>0</v>
      </c>
      <c r="L155" s="124">
        <f t="shared" si="42"/>
        <v>0</v>
      </c>
      <c r="M155" s="120"/>
      <c r="N155" s="132">
        <f t="shared" si="30"/>
        <v>7.2140619649735098E-5</v>
      </c>
      <c r="O155" s="124">
        <f t="shared" si="43"/>
        <v>3608.4743036308791</v>
      </c>
      <c r="P155" s="124">
        <f t="shared" si="44"/>
        <v>1</v>
      </c>
      <c r="Q155" s="124">
        <f t="shared" si="45"/>
        <v>1</v>
      </c>
      <c r="R155" s="124">
        <f t="shared" si="46"/>
        <v>3254.4755181815062</v>
      </c>
      <c r="S155" s="124">
        <f t="shared" si="47"/>
        <v>1214.1247882420982</v>
      </c>
      <c r="T155" s="124">
        <f t="shared" si="48"/>
        <v>3473.5730739206715</v>
      </c>
      <c r="U155" s="124">
        <f t="shared" si="49"/>
        <v>1</v>
      </c>
      <c r="V155" s="124">
        <f t="shared" si="50"/>
        <v>0</v>
      </c>
      <c r="W155" s="124">
        <f t="shared" si="51"/>
        <v>1</v>
      </c>
      <c r="X155" s="124">
        <f t="shared" si="52"/>
        <v>1</v>
      </c>
      <c r="Y155" s="124">
        <f t="shared" si="53"/>
        <v>0</v>
      </c>
      <c r="Z155" s="124">
        <f t="shared" si="54"/>
        <v>1</v>
      </c>
      <c r="AA155" s="124">
        <f t="shared" si="31"/>
        <v>2.7380907917317281E-4</v>
      </c>
      <c r="AB155" s="124">
        <f t="shared" si="55"/>
        <v>0</v>
      </c>
      <c r="AC155" s="124">
        <f t="shared" si="56"/>
        <v>0</v>
      </c>
    </row>
    <row r="156" spans="2:29" s="114" customFormat="1">
      <c r="B156" s="115">
        <f t="shared" si="32"/>
        <v>-4.9200000000000443</v>
      </c>
      <c r="C156" s="124">
        <f t="shared" si="33"/>
        <v>1.202264434617288E-5</v>
      </c>
      <c r="D156" s="124">
        <f t="shared" si="34"/>
        <v>2409275.8515736796</v>
      </c>
      <c r="E156" s="124">
        <f t="shared" si="35"/>
        <v>1</v>
      </c>
      <c r="F156" s="124">
        <f t="shared" si="36"/>
        <v>1</v>
      </c>
      <c r="G156" s="124">
        <f t="shared" si="37"/>
        <v>2408543.7918801401</v>
      </c>
      <c r="H156" s="124">
        <f t="shared" si="38"/>
        <v>1</v>
      </c>
      <c r="I156" s="124">
        <f t="shared" si="39"/>
        <v>1</v>
      </c>
      <c r="J156" s="124">
        <f t="shared" si="40"/>
        <v>1.7418892381177321E-8</v>
      </c>
      <c r="K156" s="124">
        <f t="shared" si="41"/>
        <v>0</v>
      </c>
      <c r="L156" s="124">
        <f t="shared" si="42"/>
        <v>0</v>
      </c>
      <c r="M156" s="120"/>
      <c r="N156" s="132">
        <f t="shared" si="30"/>
        <v>7.5540502309319165E-5</v>
      </c>
      <c r="O156" s="124">
        <f t="shared" si="43"/>
        <v>3643.7253840562635</v>
      </c>
      <c r="P156" s="124">
        <f t="shared" si="44"/>
        <v>1</v>
      </c>
      <c r="Q156" s="124">
        <f t="shared" si="45"/>
        <v>1</v>
      </c>
      <c r="R156" s="124">
        <f t="shared" si="46"/>
        <v>3289.5704449399345</v>
      </c>
      <c r="S156" s="124">
        <f t="shared" si="47"/>
        <v>1238.2408788810192</v>
      </c>
      <c r="T156" s="124">
        <f t="shared" si="48"/>
        <v>3514.8988870740445</v>
      </c>
      <c r="U156" s="124">
        <f t="shared" si="49"/>
        <v>1</v>
      </c>
      <c r="V156" s="124">
        <f t="shared" si="50"/>
        <v>0</v>
      </c>
      <c r="W156" s="124">
        <f t="shared" si="51"/>
        <v>1</v>
      </c>
      <c r="X156" s="124">
        <f t="shared" si="52"/>
        <v>1</v>
      </c>
      <c r="Y156" s="124">
        <f t="shared" si="53"/>
        <v>0</v>
      </c>
      <c r="Z156" s="124">
        <f t="shared" si="54"/>
        <v>1</v>
      </c>
      <c r="AA156" s="124">
        <f t="shared" si="31"/>
        <v>2.443844964699506E-4</v>
      </c>
      <c r="AB156" s="124">
        <f t="shared" si="55"/>
        <v>0</v>
      </c>
      <c r="AC156" s="124">
        <f t="shared" si="56"/>
        <v>0</v>
      </c>
    </row>
    <row r="157" spans="2:29" s="114" customFormat="1">
      <c r="B157" s="115">
        <f t="shared" si="32"/>
        <v>-4.9000000000000448</v>
      </c>
      <c r="C157" s="124">
        <f t="shared" si="33"/>
        <v>1.258925411794036E-5</v>
      </c>
      <c r="D157" s="124">
        <f t="shared" si="34"/>
        <v>2398323.2833856968</v>
      </c>
      <c r="E157" s="124">
        <f t="shared" si="35"/>
        <v>1</v>
      </c>
      <c r="F157" s="124">
        <f t="shared" si="36"/>
        <v>1</v>
      </c>
      <c r="G157" s="124">
        <f t="shared" si="37"/>
        <v>2396677.5280121346</v>
      </c>
      <c r="H157" s="124">
        <f t="shared" si="38"/>
        <v>1</v>
      </c>
      <c r="I157" s="124">
        <f t="shared" si="39"/>
        <v>1</v>
      </c>
      <c r="J157" s="124">
        <f t="shared" si="40"/>
        <v>8.8875455917624861E-8</v>
      </c>
      <c r="K157" s="124">
        <f t="shared" si="41"/>
        <v>0</v>
      </c>
      <c r="L157" s="124">
        <f t="shared" si="42"/>
        <v>0</v>
      </c>
      <c r="M157" s="120"/>
      <c r="N157" s="132">
        <f t="shared" si="30"/>
        <v>7.9100616502192976E-5</v>
      </c>
      <c r="O157" s="124">
        <f t="shared" si="43"/>
        <v>3679.6178153207475</v>
      </c>
      <c r="P157" s="124">
        <f t="shared" si="44"/>
        <v>1</v>
      </c>
      <c r="Q157" s="124">
        <f t="shared" si="45"/>
        <v>1</v>
      </c>
      <c r="R157" s="124">
        <f t="shared" si="46"/>
        <v>3325.5752163436468</v>
      </c>
      <c r="S157" s="124">
        <f t="shared" si="47"/>
        <v>1262.0570080191715</v>
      </c>
      <c r="T157" s="124">
        <f t="shared" si="48"/>
        <v>3556.9985115331992</v>
      </c>
      <c r="U157" s="124">
        <f t="shared" si="49"/>
        <v>1</v>
      </c>
      <c r="V157" s="124">
        <f t="shared" si="50"/>
        <v>0</v>
      </c>
      <c r="W157" s="124">
        <f t="shared" si="51"/>
        <v>1</v>
      </c>
      <c r="X157" s="124">
        <f t="shared" si="52"/>
        <v>1</v>
      </c>
      <c r="Y157" s="124">
        <f t="shared" si="53"/>
        <v>0</v>
      </c>
      <c r="Z157" s="124">
        <f t="shared" si="54"/>
        <v>1</v>
      </c>
      <c r="AA157" s="124">
        <f t="shared" si="31"/>
        <v>2.1664982737880671E-4</v>
      </c>
      <c r="AB157" s="124">
        <f t="shared" si="55"/>
        <v>0</v>
      </c>
      <c r="AC157" s="124">
        <f t="shared" si="56"/>
        <v>0</v>
      </c>
    </row>
    <row r="158" spans="2:29" s="114" customFormat="1">
      <c r="B158" s="115">
        <f t="shared" si="32"/>
        <v>-4.8800000000000452</v>
      </c>
      <c r="C158" s="124">
        <f t="shared" si="33"/>
        <v>1.3182567385562695E-5</v>
      </c>
      <c r="D158" s="124">
        <f t="shared" si="34"/>
        <v>2387312.6589595047</v>
      </c>
      <c r="E158" s="124">
        <f t="shared" si="35"/>
        <v>1</v>
      </c>
      <c r="F158" s="124">
        <f t="shared" si="36"/>
        <v>1</v>
      </c>
      <c r="G158" s="124">
        <f t="shared" si="37"/>
        <v>2384754.8738431856</v>
      </c>
      <c r="H158" s="124">
        <f t="shared" si="38"/>
        <v>1</v>
      </c>
      <c r="I158" s="124">
        <f t="shared" si="39"/>
        <v>1</v>
      </c>
      <c r="J158" s="124">
        <f t="shared" si="40"/>
        <v>2.1674228460648408E-7</v>
      </c>
      <c r="K158" s="124">
        <f t="shared" si="41"/>
        <v>0</v>
      </c>
      <c r="L158" s="124">
        <f t="shared" si="42"/>
        <v>0</v>
      </c>
      <c r="M158" s="120"/>
      <c r="N158" s="132">
        <f t="shared" si="30"/>
        <v>8.2828513707872343E-5</v>
      </c>
      <c r="O158" s="124">
        <f t="shared" si="43"/>
        <v>3716.165222112083</v>
      </c>
      <c r="P158" s="124">
        <f t="shared" si="44"/>
        <v>1</v>
      </c>
      <c r="Q158" s="124">
        <f t="shared" si="45"/>
        <v>1</v>
      </c>
      <c r="R158" s="124">
        <f t="shared" si="46"/>
        <v>3362.402755543169</v>
      </c>
      <c r="S158" s="124">
        <f t="shared" si="47"/>
        <v>1285.5211657701507</v>
      </c>
      <c r="T158" s="124">
        <f t="shared" si="48"/>
        <v>3599.7662365947244</v>
      </c>
      <c r="U158" s="124">
        <f t="shared" si="49"/>
        <v>1</v>
      </c>
      <c r="V158" s="124">
        <f t="shared" si="50"/>
        <v>0</v>
      </c>
      <c r="W158" s="124">
        <f t="shared" si="51"/>
        <v>1</v>
      </c>
      <c r="X158" s="124">
        <f t="shared" si="52"/>
        <v>1</v>
      </c>
      <c r="Y158" s="124">
        <f t="shared" si="53"/>
        <v>0</v>
      </c>
      <c r="Z158" s="124">
        <f t="shared" si="54"/>
        <v>1</v>
      </c>
      <c r="AA158" s="124">
        <f t="shared" si="31"/>
        <v>1.9101217404008733E-4</v>
      </c>
      <c r="AB158" s="124">
        <f t="shared" si="55"/>
        <v>0</v>
      </c>
      <c r="AC158" s="124">
        <f t="shared" si="56"/>
        <v>0</v>
      </c>
    </row>
    <row r="159" spans="2:29" s="114" customFormat="1">
      <c r="B159" s="115">
        <f t="shared" si="32"/>
        <v>-4.8600000000000456</v>
      </c>
      <c r="C159" s="124">
        <f t="shared" si="33"/>
        <v>1.380384264602738E-5</v>
      </c>
      <c r="D159" s="124">
        <f t="shared" si="34"/>
        <v>2376244.3150418652</v>
      </c>
      <c r="E159" s="124">
        <f t="shared" si="35"/>
        <v>1</v>
      </c>
      <c r="F159" s="124">
        <f t="shared" si="36"/>
        <v>1</v>
      </c>
      <c r="G159" s="124">
        <f t="shared" si="37"/>
        <v>2372790.8704805137</v>
      </c>
      <c r="H159" s="124">
        <f t="shared" si="38"/>
        <v>1</v>
      </c>
      <c r="I159" s="124">
        <f t="shared" si="39"/>
        <v>1</v>
      </c>
      <c r="J159" s="124">
        <f t="shared" si="40"/>
        <v>3.9895413405762971E-7</v>
      </c>
      <c r="K159" s="124">
        <f t="shared" si="41"/>
        <v>0</v>
      </c>
      <c r="L159" s="124">
        <f t="shared" si="42"/>
        <v>0</v>
      </c>
      <c r="M159" s="120"/>
      <c r="N159" s="132">
        <f t="shared" si="30"/>
        <v>8.6732101296138221E-5</v>
      </c>
      <c r="O159" s="124">
        <f t="shared" si="43"/>
        <v>3753.3815548655853</v>
      </c>
      <c r="P159" s="124">
        <f t="shared" si="44"/>
        <v>1</v>
      </c>
      <c r="Q159" s="124">
        <f t="shared" si="45"/>
        <v>1</v>
      </c>
      <c r="R159" s="124">
        <f t="shared" si="46"/>
        <v>3399.9560749999164</v>
      </c>
      <c r="S159" s="124">
        <f t="shared" si="47"/>
        <v>1308.5944975575221</v>
      </c>
      <c r="T159" s="124">
        <f t="shared" si="48"/>
        <v>3643.0922128003649</v>
      </c>
      <c r="U159" s="124">
        <f t="shared" si="49"/>
        <v>1</v>
      </c>
      <c r="V159" s="124">
        <f t="shared" si="50"/>
        <v>0</v>
      </c>
      <c r="W159" s="124">
        <f t="shared" si="51"/>
        <v>1</v>
      </c>
      <c r="X159" s="124">
        <f t="shared" si="52"/>
        <v>1</v>
      </c>
      <c r="Y159" s="124">
        <f t="shared" si="53"/>
        <v>0</v>
      </c>
      <c r="Z159" s="124">
        <f t="shared" si="54"/>
        <v>1</v>
      </c>
      <c r="AA159" s="124">
        <f t="shared" si="31"/>
        <v>1.6776858568800035E-4</v>
      </c>
      <c r="AB159" s="124">
        <f t="shared" si="55"/>
        <v>0</v>
      </c>
      <c r="AC159" s="124">
        <f t="shared" si="56"/>
        <v>0</v>
      </c>
    </row>
    <row r="160" spans="2:29" s="114" customFormat="1">
      <c r="B160" s="115">
        <f t="shared" si="32"/>
        <v>-4.840000000000046</v>
      </c>
      <c r="C160" s="124">
        <f t="shared" si="33"/>
        <v>1.4454397707457737E-5</v>
      </c>
      <c r="D160" s="124">
        <f t="shared" si="34"/>
        <v>2365118.602629852</v>
      </c>
      <c r="E160" s="124">
        <f t="shared" si="35"/>
        <v>1</v>
      </c>
      <c r="F160" s="124">
        <f t="shared" si="36"/>
        <v>1</v>
      </c>
      <c r="G160" s="124">
        <f t="shared" si="37"/>
        <v>2360800.5829734369</v>
      </c>
      <c r="H160" s="124">
        <f t="shared" si="38"/>
        <v>1</v>
      </c>
      <c r="I160" s="124">
        <f t="shared" si="39"/>
        <v>1</v>
      </c>
      <c r="J160" s="124">
        <f t="shared" si="40"/>
        <v>6.2983313385511555E-7</v>
      </c>
      <c r="K160" s="124">
        <f t="shared" si="41"/>
        <v>0</v>
      </c>
      <c r="L160" s="124">
        <f t="shared" si="42"/>
        <v>0</v>
      </c>
      <c r="M160" s="120"/>
      <c r="N160" s="132">
        <f t="shared" si="30"/>
        <v>9.0819659299628752E-5</v>
      </c>
      <c r="O160" s="124">
        <f t="shared" si="43"/>
        <v>3791.2810981542789</v>
      </c>
      <c r="P160" s="124">
        <f t="shared" si="44"/>
        <v>1</v>
      </c>
      <c r="Q160" s="124">
        <f t="shared" si="45"/>
        <v>1</v>
      </c>
      <c r="R160" s="124">
        <f t="shared" si="46"/>
        <v>3438.1301080909702</v>
      </c>
      <c r="S160" s="124">
        <f t="shared" si="47"/>
        <v>1331.2530361564188</v>
      </c>
      <c r="T160" s="124">
        <f t="shared" si="48"/>
        <v>3686.8649672095817</v>
      </c>
      <c r="U160" s="124">
        <f t="shared" si="49"/>
        <v>1</v>
      </c>
      <c r="V160" s="124">
        <f t="shared" si="50"/>
        <v>0</v>
      </c>
      <c r="W160" s="124">
        <f t="shared" si="51"/>
        <v>1</v>
      </c>
      <c r="X160" s="124">
        <f t="shared" si="52"/>
        <v>1</v>
      </c>
      <c r="Y160" s="124">
        <f t="shared" si="53"/>
        <v>0</v>
      </c>
      <c r="Z160" s="124">
        <f t="shared" si="54"/>
        <v>1</v>
      </c>
      <c r="AA160" s="124">
        <f t="shared" si="31"/>
        <v>1.4710667242180184E-4</v>
      </c>
      <c r="AB160" s="124">
        <f t="shared" si="55"/>
        <v>0</v>
      </c>
      <c r="AC160" s="124">
        <f t="shared" si="56"/>
        <v>0</v>
      </c>
    </row>
    <row r="161" spans="2:29" s="114" customFormat="1">
      <c r="B161" s="115">
        <f t="shared" si="32"/>
        <v>-4.8200000000000465</v>
      </c>
      <c r="C161" s="124">
        <f t="shared" si="33"/>
        <v>1.5135612484360438E-5</v>
      </c>
      <c r="D161" s="124">
        <f t="shared" si="34"/>
        <v>2353935.8871076987</v>
      </c>
      <c r="E161" s="124">
        <f t="shared" si="35"/>
        <v>1</v>
      </c>
      <c r="F161" s="124">
        <f t="shared" si="36"/>
        <v>1</v>
      </c>
      <c r="G161" s="124">
        <f t="shared" si="37"/>
        <v>2348798.9102434502</v>
      </c>
      <c r="H161" s="124">
        <f t="shared" si="38"/>
        <v>1</v>
      </c>
      <c r="I161" s="124">
        <f t="shared" si="39"/>
        <v>1</v>
      </c>
      <c r="J161" s="124">
        <f t="shared" si="40"/>
        <v>9.0020869338961288E-7</v>
      </c>
      <c r="K161" s="124">
        <f t="shared" si="41"/>
        <v>0</v>
      </c>
      <c r="L161" s="124">
        <f t="shared" si="42"/>
        <v>0</v>
      </c>
      <c r="M161" s="120"/>
      <c r="N161" s="132">
        <f t="shared" si="30"/>
        <v>9.5099857976897419E-5</v>
      </c>
      <c r="O161" s="124">
        <f t="shared" si="43"/>
        <v>3829.8784793022196</v>
      </c>
      <c r="P161" s="124">
        <f t="shared" si="44"/>
        <v>1</v>
      </c>
      <c r="Q161" s="124">
        <f t="shared" si="45"/>
        <v>1</v>
      </c>
      <c r="R161" s="124">
        <f t="shared" si="46"/>
        <v>3476.8138578506459</v>
      </c>
      <c r="S161" s="124">
        <f t="shared" si="47"/>
        <v>1353.4891395379343</v>
      </c>
      <c r="T161" s="124">
        <f t="shared" si="48"/>
        <v>3730.974062224157</v>
      </c>
      <c r="U161" s="124">
        <f t="shared" si="49"/>
        <v>1</v>
      </c>
      <c r="V161" s="124">
        <f t="shared" si="50"/>
        <v>0</v>
      </c>
      <c r="W161" s="124">
        <f t="shared" si="51"/>
        <v>1</v>
      </c>
      <c r="X161" s="124">
        <f t="shared" si="52"/>
        <v>1</v>
      </c>
      <c r="Y161" s="124">
        <f t="shared" si="53"/>
        <v>0</v>
      </c>
      <c r="Z161" s="124">
        <f t="shared" si="54"/>
        <v>1</v>
      </c>
      <c r="AA161" s="124">
        <f t="shared" si="31"/>
        <v>1.2911241356121053E-4</v>
      </c>
      <c r="AB161" s="124">
        <f t="shared" si="55"/>
        <v>0</v>
      </c>
      <c r="AC161" s="124">
        <f t="shared" si="56"/>
        <v>0</v>
      </c>
    </row>
    <row r="162" spans="2:29" s="114" customFormat="1">
      <c r="B162" s="115">
        <f t="shared" si="32"/>
        <v>-4.8000000000000469</v>
      </c>
      <c r="C162" s="124">
        <f t="shared" si="33"/>
        <v>1.5848931924609413E-5</v>
      </c>
      <c r="D162" s="124">
        <f t="shared" si="34"/>
        <v>2342696.5483804662</v>
      </c>
      <c r="E162" s="124">
        <f t="shared" si="35"/>
        <v>1</v>
      </c>
      <c r="F162" s="124">
        <f t="shared" si="36"/>
        <v>1</v>
      </c>
      <c r="G162" s="124">
        <f t="shared" si="37"/>
        <v>2336800.3883373351</v>
      </c>
      <c r="H162" s="124">
        <f t="shared" si="38"/>
        <v>1</v>
      </c>
      <c r="I162" s="124">
        <f t="shared" si="39"/>
        <v>1</v>
      </c>
      <c r="J162" s="124">
        <f t="shared" si="40"/>
        <v>1.197758511239133E-6</v>
      </c>
      <c r="K162" s="124">
        <f t="shared" si="41"/>
        <v>0</v>
      </c>
      <c r="L162" s="124">
        <f t="shared" si="42"/>
        <v>0</v>
      </c>
      <c r="M162" s="120"/>
      <c r="N162" s="132">
        <f t="shared" si="30"/>
        <v>9.958177620319534E-5</v>
      </c>
      <c r="O162" s="124">
        <f t="shared" si="43"/>
        <v>3869.1886772272223</v>
      </c>
      <c r="P162" s="124">
        <f t="shared" si="44"/>
        <v>1</v>
      </c>
      <c r="Q162" s="124">
        <f t="shared" si="45"/>
        <v>1</v>
      </c>
      <c r="R162" s="124">
        <f t="shared" si="46"/>
        <v>3515.8928055866008</v>
      </c>
      <c r="S162" s="124">
        <f t="shared" si="47"/>
        <v>1375.3125701446143</v>
      </c>
      <c r="T162" s="124">
        <f t="shared" si="48"/>
        <v>3775.3128196181842</v>
      </c>
      <c r="U162" s="124">
        <f t="shared" si="49"/>
        <v>1</v>
      </c>
      <c r="V162" s="124">
        <f t="shared" si="50"/>
        <v>0</v>
      </c>
      <c r="W162" s="124">
        <f t="shared" si="51"/>
        <v>1</v>
      </c>
      <c r="X162" s="124">
        <f t="shared" si="52"/>
        <v>1</v>
      </c>
      <c r="Y162" s="124">
        <f t="shared" si="53"/>
        <v>0</v>
      </c>
      <c r="Z162" s="124">
        <f t="shared" si="54"/>
        <v>1</v>
      </c>
      <c r="AA162" s="124">
        <f t="shared" si="31"/>
        <v>1.1378415109152358E-4</v>
      </c>
      <c r="AB162" s="124">
        <f t="shared" si="55"/>
        <v>0</v>
      </c>
      <c r="AC162" s="124">
        <f t="shared" si="56"/>
        <v>0</v>
      </c>
    </row>
    <row r="163" spans="2:29" s="114" customFormat="1">
      <c r="B163" s="115">
        <f t="shared" si="32"/>
        <v>-4.7800000000000473</v>
      </c>
      <c r="C163" s="124">
        <f t="shared" si="33"/>
        <v>1.6595869074373769E-5</v>
      </c>
      <c r="D163" s="124">
        <f t="shared" si="34"/>
        <v>2331400.9810043024</v>
      </c>
      <c r="E163" s="124">
        <f t="shared" si="35"/>
        <v>1</v>
      </c>
      <c r="F163" s="124">
        <f t="shared" si="36"/>
        <v>1</v>
      </c>
      <c r="G163" s="124">
        <f t="shared" si="37"/>
        <v>2324818.9878362874</v>
      </c>
      <c r="H163" s="124">
        <f t="shared" si="38"/>
        <v>1</v>
      </c>
      <c r="I163" s="124">
        <f t="shared" si="39"/>
        <v>1</v>
      </c>
      <c r="J163" s="124">
        <f t="shared" si="40"/>
        <v>1.5075685495249208E-6</v>
      </c>
      <c r="K163" s="124">
        <f t="shared" si="41"/>
        <v>0</v>
      </c>
      <c r="L163" s="124">
        <f t="shared" si="42"/>
        <v>0</v>
      </c>
      <c r="M163" s="120"/>
      <c r="N163" s="132">
        <f t="shared" si="30"/>
        <v>1.0427492072798134E-4</v>
      </c>
      <c r="O163" s="124">
        <f t="shared" si="43"/>
        <v>3909.2270315187457</v>
      </c>
      <c r="P163" s="124">
        <f t="shared" si="44"/>
        <v>1</v>
      </c>
      <c r="Q163" s="124">
        <f t="shared" si="45"/>
        <v>1</v>
      </c>
      <c r="R163" s="124">
        <f t="shared" si="46"/>
        <v>3555.2515075827241</v>
      </c>
      <c r="S163" s="124">
        <f t="shared" si="47"/>
        <v>1396.7511648284055</v>
      </c>
      <c r="T163" s="124">
        <f t="shared" si="48"/>
        <v>3819.7810275745833</v>
      </c>
      <c r="U163" s="124">
        <f t="shared" si="49"/>
        <v>1</v>
      </c>
      <c r="V163" s="124">
        <f t="shared" si="50"/>
        <v>0</v>
      </c>
      <c r="W163" s="124">
        <f t="shared" si="51"/>
        <v>1</v>
      </c>
      <c r="X163" s="124">
        <f t="shared" si="52"/>
        <v>1</v>
      </c>
      <c r="Y163" s="124">
        <f t="shared" si="53"/>
        <v>0</v>
      </c>
      <c r="Z163" s="124">
        <f t="shared" si="54"/>
        <v>1</v>
      </c>
      <c r="AA163" s="124">
        <f t="shared" si="31"/>
        <v>1.010512658511425E-4</v>
      </c>
      <c r="AB163" s="124">
        <f t="shared" si="55"/>
        <v>0</v>
      </c>
      <c r="AC163" s="124">
        <f t="shared" si="56"/>
        <v>0</v>
      </c>
    </row>
    <row r="164" spans="2:29" s="114" customFormat="1">
      <c r="B164" s="115">
        <f t="shared" si="32"/>
        <v>-4.7600000000000477</v>
      </c>
      <c r="C164" s="124">
        <f t="shared" si="33"/>
        <v>1.7378008287491829E-5</v>
      </c>
      <c r="D164" s="124">
        <f t="shared" si="34"/>
        <v>2320049.5943130963</v>
      </c>
      <c r="E164" s="124">
        <f t="shared" si="35"/>
        <v>1</v>
      </c>
      <c r="F164" s="124">
        <f t="shared" si="36"/>
        <v>1</v>
      </c>
      <c r="G164" s="124">
        <f t="shared" si="37"/>
        <v>2312867.9069534875</v>
      </c>
      <c r="H164" s="124">
        <f t="shared" si="38"/>
        <v>1</v>
      </c>
      <c r="I164" s="124">
        <f t="shared" si="39"/>
        <v>1</v>
      </c>
      <c r="J164" s="124">
        <f t="shared" si="40"/>
        <v>1.8128971501496359E-6</v>
      </c>
      <c r="K164" s="124">
        <f t="shared" si="41"/>
        <v>0</v>
      </c>
      <c r="L164" s="124">
        <f t="shared" si="42"/>
        <v>0</v>
      </c>
      <c r="M164" s="120"/>
      <c r="N164" s="132">
        <f t="shared" si="30"/>
        <v>1.0918924634001375E-4</v>
      </c>
      <c r="O164" s="124">
        <f t="shared" si="43"/>
        <v>3950.0092517571979</v>
      </c>
      <c r="P164" s="124">
        <f t="shared" si="44"/>
        <v>1</v>
      </c>
      <c r="Q164" s="124">
        <f t="shared" si="45"/>
        <v>1</v>
      </c>
      <c r="R164" s="124">
        <f t="shared" si="46"/>
        <v>3594.776297390647</v>
      </c>
      <c r="S164" s="124">
        <f t="shared" si="47"/>
        <v>1417.8510618814321</v>
      </c>
      <c r="T164" s="124">
        <f t="shared" si="48"/>
        <v>3864.2875490780848</v>
      </c>
      <c r="U164" s="124">
        <f t="shared" si="49"/>
        <v>1</v>
      </c>
      <c r="V164" s="124">
        <f t="shared" si="50"/>
        <v>0</v>
      </c>
      <c r="W164" s="124">
        <f t="shared" si="51"/>
        <v>1</v>
      </c>
      <c r="X164" s="124">
        <f t="shared" si="52"/>
        <v>1</v>
      </c>
      <c r="Y164" s="124">
        <f t="shared" si="53"/>
        <v>0</v>
      </c>
      <c r="Z164" s="124">
        <f t="shared" si="54"/>
        <v>1</v>
      </c>
      <c r="AA164" s="124">
        <f t="shared" si="31"/>
        <v>9.0795689230836521E-5</v>
      </c>
      <c r="AB164" s="124">
        <f t="shared" si="55"/>
        <v>0</v>
      </c>
      <c r="AC164" s="124">
        <f t="shared" si="56"/>
        <v>0</v>
      </c>
    </row>
    <row r="165" spans="2:29" s="114" customFormat="1">
      <c r="B165" s="115">
        <f t="shared" si="32"/>
        <v>-4.7400000000000482</v>
      </c>
      <c r="C165" s="124">
        <f t="shared" si="33"/>
        <v>1.8197008586097781E-5</v>
      </c>
      <c r="D165" s="124">
        <f t="shared" si="34"/>
        <v>2308642.8125415505</v>
      </c>
      <c r="E165" s="124">
        <f t="shared" si="35"/>
        <v>1</v>
      </c>
      <c r="F165" s="124">
        <f t="shared" si="36"/>
        <v>1</v>
      </c>
      <c r="G165" s="124">
        <f t="shared" si="37"/>
        <v>2300959.3625855148</v>
      </c>
      <c r="H165" s="124">
        <f t="shared" si="38"/>
        <v>1</v>
      </c>
      <c r="I165" s="124">
        <f t="shared" si="39"/>
        <v>1</v>
      </c>
      <c r="J165" s="124">
        <f t="shared" si="40"/>
        <v>2.0961147813574012E-6</v>
      </c>
      <c r="K165" s="124">
        <f t="shared" si="41"/>
        <v>0</v>
      </c>
      <c r="L165" s="124">
        <f t="shared" si="42"/>
        <v>0</v>
      </c>
      <c r="M165" s="120"/>
      <c r="N165" s="132">
        <f t="shared" si="30"/>
        <v>1.1433517698279036E-4</v>
      </c>
      <c r="O165" s="124">
        <f t="shared" si="43"/>
        <v>3991.5514270809854</v>
      </c>
      <c r="P165" s="124">
        <f t="shared" si="44"/>
        <v>1</v>
      </c>
      <c r="Q165" s="124">
        <f t="shared" si="45"/>
        <v>1</v>
      </c>
      <c r="R165" s="124">
        <f t="shared" si="46"/>
        <v>3634.3580052677376</v>
      </c>
      <c r="S165" s="124">
        <f t="shared" si="47"/>
        <v>1438.6764711747978</v>
      </c>
      <c r="T165" s="124">
        <f t="shared" si="48"/>
        <v>3908.752754929078</v>
      </c>
      <c r="U165" s="124">
        <f t="shared" si="49"/>
        <v>1</v>
      </c>
      <c r="V165" s="124">
        <f t="shared" si="50"/>
        <v>0</v>
      </c>
      <c r="W165" s="124">
        <f t="shared" si="51"/>
        <v>1</v>
      </c>
      <c r="X165" s="124">
        <f t="shared" si="52"/>
        <v>1</v>
      </c>
      <c r="Y165" s="124">
        <f t="shared" si="53"/>
        <v>0</v>
      </c>
      <c r="Z165" s="124">
        <f t="shared" si="54"/>
        <v>1</v>
      </c>
      <c r="AA165" s="124">
        <f t="shared" si="31"/>
        <v>8.2874235511950348E-5</v>
      </c>
      <c r="AB165" s="124">
        <f t="shared" si="55"/>
        <v>0</v>
      </c>
      <c r="AC165" s="124">
        <f t="shared" si="56"/>
        <v>0</v>
      </c>
    </row>
    <row r="166" spans="2:29" s="114" customFormat="1">
      <c r="B166" s="115">
        <f t="shared" si="32"/>
        <v>-4.7200000000000486</v>
      </c>
      <c r="C166" s="124">
        <f t="shared" si="33"/>
        <v>1.9054607179630319E-5</v>
      </c>
      <c r="D166" s="124">
        <f t="shared" si="34"/>
        <v>2297181.0749443085</v>
      </c>
      <c r="E166" s="124">
        <f t="shared" si="35"/>
        <v>1</v>
      </c>
      <c r="F166" s="124">
        <f t="shared" si="36"/>
        <v>1</v>
      </c>
      <c r="G166" s="124">
        <f t="shared" si="37"/>
        <v>2289104.3823043597</v>
      </c>
      <c r="H166" s="124">
        <f t="shared" si="38"/>
        <v>1</v>
      </c>
      <c r="I166" s="124">
        <f t="shared" si="39"/>
        <v>1</v>
      </c>
      <c r="J166" s="124">
        <f t="shared" si="40"/>
        <v>2.3397769549533962E-6</v>
      </c>
      <c r="K166" s="124">
        <f t="shared" si="41"/>
        <v>0</v>
      </c>
      <c r="L166" s="124">
        <f t="shared" si="42"/>
        <v>0</v>
      </c>
      <c r="M166" s="120"/>
      <c r="N166" s="132">
        <f t="shared" si="30"/>
        <v>1.1972362786513188E-4</v>
      </c>
      <c r="O166" s="124">
        <f t="shared" si="43"/>
        <v>4033.8700360076277</v>
      </c>
      <c r="P166" s="124">
        <f t="shared" si="44"/>
        <v>1</v>
      </c>
      <c r="Q166" s="124">
        <f t="shared" si="45"/>
        <v>1</v>
      </c>
      <c r="R166" s="124">
        <f t="shared" si="46"/>
        <v>3673.8946056723785</v>
      </c>
      <c r="S166" s="124">
        <f t="shared" si="47"/>
        <v>1459.3089939220406</v>
      </c>
      <c r="T166" s="124">
        <f t="shared" si="48"/>
        <v>3953.1107135179454</v>
      </c>
      <c r="U166" s="124">
        <f t="shared" si="49"/>
        <v>1</v>
      </c>
      <c r="V166" s="124">
        <f t="shared" si="50"/>
        <v>0</v>
      </c>
      <c r="W166" s="124">
        <f t="shared" si="51"/>
        <v>1</v>
      </c>
      <c r="X166" s="124">
        <f t="shared" si="52"/>
        <v>1</v>
      </c>
      <c r="Y166" s="124">
        <f t="shared" si="53"/>
        <v>0</v>
      </c>
      <c r="Z166" s="124">
        <f t="shared" si="54"/>
        <v>1</v>
      </c>
      <c r="AA166" s="124">
        <f t="shared" si="31"/>
        <v>7.7139758535486113E-5</v>
      </c>
      <c r="AB166" s="124">
        <f t="shared" si="55"/>
        <v>0</v>
      </c>
      <c r="AC166" s="124">
        <f t="shared" si="56"/>
        <v>0</v>
      </c>
    </row>
    <row r="167" spans="2:29" s="114" customFormat="1">
      <c r="B167" s="115">
        <f t="shared" si="32"/>
        <v>-4.700000000000049</v>
      </c>
      <c r="C167" s="124">
        <f t="shared" si="33"/>
        <v>1.9952623149686537E-5</v>
      </c>
      <c r="D167" s="124">
        <f t="shared" si="34"/>
        <v>2285664.8359110272</v>
      </c>
      <c r="E167" s="124">
        <f t="shared" si="35"/>
        <v>1</v>
      </c>
      <c r="F167" s="124">
        <f t="shared" si="36"/>
        <v>1</v>
      </c>
      <c r="G167" s="124">
        <f t="shared" si="37"/>
        <v>2277312.600947368</v>
      </c>
      <c r="H167" s="124">
        <f t="shared" si="38"/>
        <v>1</v>
      </c>
      <c r="I167" s="124">
        <f t="shared" si="39"/>
        <v>1</v>
      </c>
      <c r="J167" s="124">
        <f t="shared" si="40"/>
        <v>2.527774614782183E-6</v>
      </c>
      <c r="K167" s="124">
        <f t="shared" si="41"/>
        <v>0</v>
      </c>
      <c r="L167" s="124">
        <f t="shared" si="42"/>
        <v>0</v>
      </c>
      <c r="M167" s="120"/>
      <c r="N167" s="132">
        <f t="shared" si="30"/>
        <v>1.2536602861380172E-4</v>
      </c>
      <c r="O167" s="124">
        <f t="shared" si="43"/>
        <v>4076.9819565157159</v>
      </c>
      <c r="P167" s="124">
        <f t="shared" si="44"/>
        <v>1</v>
      </c>
      <c r="Q167" s="124">
        <f t="shared" si="45"/>
        <v>1</v>
      </c>
      <c r="R167" s="124">
        <f t="shared" si="46"/>
        <v>3713.2937084166556</v>
      </c>
      <c r="S167" s="124">
        <f t="shared" si="47"/>
        <v>1479.8465184307333</v>
      </c>
      <c r="T167" s="124">
        <f t="shared" si="48"/>
        <v>3997.3110815995146</v>
      </c>
      <c r="U167" s="124">
        <f t="shared" si="49"/>
        <v>1</v>
      </c>
      <c r="V167" s="124">
        <f t="shared" si="50"/>
        <v>0</v>
      </c>
      <c r="W167" s="124">
        <f t="shared" si="51"/>
        <v>1</v>
      </c>
      <c r="X167" s="124">
        <f t="shared" si="52"/>
        <v>1</v>
      </c>
      <c r="Y167" s="124">
        <f t="shared" si="53"/>
        <v>0</v>
      </c>
      <c r="Z167" s="124">
        <f t="shared" si="54"/>
        <v>1</v>
      </c>
      <c r="AA167" s="124">
        <f t="shared" si="31"/>
        <v>7.3459330018961949E-5</v>
      </c>
      <c r="AB167" s="124">
        <f t="shared" si="55"/>
        <v>0</v>
      </c>
      <c r="AC167" s="124">
        <f t="shared" si="56"/>
        <v>0</v>
      </c>
    </row>
    <row r="168" spans="2:29" s="114" customFormat="1">
      <c r="B168" s="115">
        <f t="shared" si="32"/>
        <v>-4.6800000000000495</v>
      </c>
      <c r="C168" s="124">
        <f t="shared" si="33"/>
        <v>2.089296130853799E-5</v>
      </c>
      <c r="D168" s="124">
        <f t="shared" si="34"/>
        <v>2274094.5650773579</v>
      </c>
      <c r="E168" s="124">
        <f t="shared" si="35"/>
        <v>1</v>
      </c>
      <c r="F168" s="124">
        <f t="shared" si="36"/>
        <v>1</v>
      </c>
      <c r="G168" s="124">
        <f t="shared" si="37"/>
        <v>2265592.0660487725</v>
      </c>
      <c r="H168" s="124">
        <f t="shared" si="38"/>
        <v>1</v>
      </c>
      <c r="I168" s="124">
        <f t="shared" si="39"/>
        <v>1</v>
      </c>
      <c r="J168" s="124">
        <f t="shared" si="40"/>
        <v>2.6464948996658452E-6</v>
      </c>
      <c r="K168" s="124">
        <f t="shared" si="41"/>
        <v>0</v>
      </c>
      <c r="L168" s="124">
        <f t="shared" si="42"/>
        <v>0</v>
      </c>
      <c r="M168" s="120"/>
      <c r="N168" s="132">
        <f t="shared" si="30"/>
        <v>1.3127434751727748E-4</v>
      </c>
      <c r="O168" s="124">
        <f t="shared" si="43"/>
        <v>4120.9044763943075</v>
      </c>
      <c r="P168" s="124">
        <f t="shared" si="44"/>
        <v>1</v>
      </c>
      <c r="Q168" s="124">
        <f t="shared" si="45"/>
        <v>1</v>
      </c>
      <c r="R168" s="124">
        <f t="shared" si="46"/>
        <v>3752.4748186466363</v>
      </c>
      <c r="S168" s="124">
        <f t="shared" si="47"/>
        <v>1500.401735899492</v>
      </c>
      <c r="T168" s="124">
        <f t="shared" si="48"/>
        <v>4041.3206546458691</v>
      </c>
      <c r="U168" s="124">
        <f t="shared" si="49"/>
        <v>1</v>
      </c>
      <c r="V168" s="124">
        <f t="shared" si="50"/>
        <v>0</v>
      </c>
      <c r="W168" s="124">
        <f t="shared" si="51"/>
        <v>1</v>
      </c>
      <c r="X168" s="124">
        <f t="shared" si="52"/>
        <v>1</v>
      </c>
      <c r="Y168" s="124">
        <f t="shared" si="53"/>
        <v>0</v>
      </c>
      <c r="Z168" s="124">
        <f t="shared" si="54"/>
        <v>1</v>
      </c>
      <c r="AA168" s="124">
        <f t="shared" si="31"/>
        <v>7.1727977118870434E-5</v>
      </c>
      <c r="AB168" s="124">
        <f t="shared" si="55"/>
        <v>0</v>
      </c>
      <c r="AC168" s="124">
        <f t="shared" si="56"/>
        <v>0</v>
      </c>
    </row>
    <row r="169" spans="2:29" s="114" customFormat="1">
      <c r="B169" s="115">
        <f t="shared" si="32"/>
        <v>-4.6600000000000499</v>
      </c>
      <c r="C169" s="124">
        <f t="shared" si="33"/>
        <v>2.1877616239493002E-5</v>
      </c>
      <c r="D169" s="124">
        <f t="shared" si="34"/>
        <v>2262470.7474314538</v>
      </c>
      <c r="E169" s="124">
        <f t="shared" si="35"/>
        <v>1</v>
      </c>
      <c r="F169" s="124">
        <f t="shared" si="36"/>
        <v>1</v>
      </c>
      <c r="G169" s="124">
        <f t="shared" si="37"/>
        <v>2253949.0568299456</v>
      </c>
      <c r="H169" s="124">
        <f t="shared" si="38"/>
        <v>1</v>
      </c>
      <c r="I169" s="124">
        <f t="shared" si="39"/>
        <v>1</v>
      </c>
      <c r="J169" s="124">
        <f t="shared" si="40"/>
        <v>2.6859168440633527E-6</v>
      </c>
      <c r="K169" s="124">
        <f t="shared" si="41"/>
        <v>0</v>
      </c>
      <c r="L169" s="124">
        <f t="shared" si="42"/>
        <v>0</v>
      </c>
      <c r="M169" s="120"/>
      <c r="N169" s="132">
        <f t="shared" si="30"/>
        <v>1.3746111691209593E-4</v>
      </c>
      <c r="O169" s="124">
        <f t="shared" si="43"/>
        <v>4165.6553038668217</v>
      </c>
      <c r="P169" s="124">
        <f t="shared" si="44"/>
        <v>1</v>
      </c>
      <c r="Q169" s="124">
        <f t="shared" si="45"/>
        <v>1</v>
      </c>
      <c r="R169" s="124">
        <f t="shared" si="46"/>
        <v>3791.3713043761086</v>
      </c>
      <c r="S169" s="124">
        <f t="shared" si="47"/>
        <v>1521.1003345941517</v>
      </c>
      <c r="T169" s="124">
        <f t="shared" si="48"/>
        <v>4085.1245508000166</v>
      </c>
      <c r="U169" s="124">
        <f t="shared" si="49"/>
        <v>1</v>
      </c>
      <c r="V169" s="124">
        <f t="shared" si="50"/>
        <v>0</v>
      </c>
      <c r="W169" s="124">
        <f t="shared" si="51"/>
        <v>1</v>
      </c>
      <c r="X169" s="124">
        <f t="shared" si="52"/>
        <v>1</v>
      </c>
      <c r="Y169" s="124">
        <f t="shared" si="53"/>
        <v>0</v>
      </c>
      <c r="Z169" s="124">
        <f t="shared" si="54"/>
        <v>1</v>
      </c>
      <c r="AA169" s="124">
        <f t="shared" si="31"/>
        <v>7.1876963005439146E-5</v>
      </c>
      <c r="AB169" s="124">
        <f t="shared" si="55"/>
        <v>0</v>
      </c>
      <c r="AC169" s="124">
        <f t="shared" si="56"/>
        <v>0</v>
      </c>
    </row>
    <row r="170" spans="2:29" s="114" customFormat="1">
      <c r="B170" s="115">
        <f t="shared" si="32"/>
        <v>-4.6400000000000503</v>
      </c>
      <c r="C170" s="124">
        <f t="shared" si="33"/>
        <v>2.2908676527675042E-5</v>
      </c>
      <c r="D170" s="124">
        <f t="shared" si="34"/>
        <v>2250793.8834160236</v>
      </c>
      <c r="E170" s="124">
        <f t="shared" si="35"/>
        <v>1</v>
      </c>
      <c r="F170" s="124">
        <f t="shared" si="36"/>
        <v>1</v>
      </c>
      <c r="G170" s="124">
        <f t="shared" si="37"/>
        <v>2242387.9218008933</v>
      </c>
      <c r="H170" s="124">
        <f t="shared" si="38"/>
        <v>1</v>
      </c>
      <c r="I170" s="124">
        <f t="shared" si="39"/>
        <v>1</v>
      </c>
      <c r="J170" s="124">
        <f t="shared" si="40"/>
        <v>2.6405624867367292E-6</v>
      </c>
      <c r="K170" s="124">
        <f t="shared" si="41"/>
        <v>0</v>
      </c>
      <c r="L170" s="124">
        <f t="shared" si="42"/>
        <v>0</v>
      </c>
      <c r="M170" s="120"/>
      <c r="N170" s="132">
        <f t="shared" si="30"/>
        <v>1.4393945976561769E-4</v>
      </c>
      <c r="O170" s="124">
        <f t="shared" si="43"/>
        <v>4211.2525784963063</v>
      </c>
      <c r="P170" s="124">
        <f t="shared" si="44"/>
        <v>1</v>
      </c>
      <c r="Q170" s="124">
        <f t="shared" si="45"/>
        <v>1</v>
      </c>
      <c r="R170" s="124">
        <f t="shared" si="46"/>
        <v>3829.9320266206646</v>
      </c>
      <c r="S170" s="124">
        <f t="shared" si="47"/>
        <v>1542.0789406955439</v>
      </c>
      <c r="T170" s="124">
        <f t="shared" si="48"/>
        <v>4128.7270178435583</v>
      </c>
      <c r="U170" s="124">
        <f t="shared" si="49"/>
        <v>1</v>
      </c>
      <c r="V170" s="124">
        <f t="shared" si="50"/>
        <v>0</v>
      </c>
      <c r="W170" s="124">
        <f t="shared" si="51"/>
        <v>1</v>
      </c>
      <c r="X170" s="124">
        <f t="shared" si="52"/>
        <v>1</v>
      </c>
      <c r="Y170" s="124">
        <f t="shared" si="53"/>
        <v>0</v>
      </c>
      <c r="Z170" s="124">
        <f t="shared" si="54"/>
        <v>1</v>
      </c>
      <c r="AA170" s="124">
        <f t="shared" si="31"/>
        <v>7.3876099055661401E-5</v>
      </c>
      <c r="AB170" s="124">
        <f t="shared" si="55"/>
        <v>0</v>
      </c>
      <c r="AC170" s="124">
        <f t="shared" si="56"/>
        <v>0</v>
      </c>
    </row>
    <row r="171" spans="2:29" s="114" customFormat="1">
      <c r="B171" s="115">
        <f t="shared" si="32"/>
        <v>-4.6200000000000507</v>
      </c>
      <c r="C171" s="124">
        <f t="shared" si="33"/>
        <v>2.3988329190192085E-5</v>
      </c>
      <c r="D171" s="124">
        <f t="shared" si="34"/>
        <v>2239064.4890256384</v>
      </c>
      <c r="E171" s="124">
        <f t="shared" si="35"/>
        <v>1</v>
      </c>
      <c r="F171" s="124">
        <f t="shared" si="36"/>
        <v>1</v>
      </c>
      <c r="G171" s="124">
        <f t="shared" si="37"/>
        <v>2230910.9401999633</v>
      </c>
      <c r="H171" s="124">
        <f t="shared" si="38"/>
        <v>1</v>
      </c>
      <c r="I171" s="124">
        <f t="shared" si="39"/>
        <v>1</v>
      </c>
      <c r="J171" s="124">
        <f t="shared" si="40"/>
        <v>2.5102250428160317E-6</v>
      </c>
      <c r="K171" s="124">
        <f t="shared" si="41"/>
        <v>0</v>
      </c>
      <c r="L171" s="124">
        <f t="shared" si="42"/>
        <v>0</v>
      </c>
      <c r="M171" s="120"/>
      <c r="N171" s="132">
        <f t="shared" si="30"/>
        <v>1.5072311751160208E-4</v>
      </c>
      <c r="O171" s="124">
        <f t="shared" si="43"/>
        <v>4257.7148823795478</v>
      </c>
      <c r="P171" s="124">
        <f t="shared" si="44"/>
        <v>1</v>
      </c>
      <c r="Q171" s="124">
        <f t="shared" si="45"/>
        <v>1</v>
      </c>
      <c r="R171" s="124">
        <f t="shared" si="46"/>
        <v>3868.1226048651502</v>
      </c>
      <c r="S171" s="124">
        <f t="shared" si="47"/>
        <v>1563.4828792912631</v>
      </c>
      <c r="T171" s="124">
        <f t="shared" si="48"/>
        <v>4172.1518668554781</v>
      </c>
      <c r="U171" s="124">
        <f t="shared" si="49"/>
        <v>1</v>
      </c>
      <c r="V171" s="124">
        <f t="shared" si="50"/>
        <v>0</v>
      </c>
      <c r="W171" s="124">
        <f t="shared" si="51"/>
        <v>1</v>
      </c>
      <c r="X171" s="124">
        <f t="shared" si="52"/>
        <v>1</v>
      </c>
      <c r="Y171" s="124">
        <f t="shared" si="53"/>
        <v>0</v>
      </c>
      <c r="Z171" s="124">
        <f t="shared" si="54"/>
        <v>1</v>
      </c>
      <c r="AA171" s="124">
        <f t="shared" si="31"/>
        <v>7.7730093111864277E-5</v>
      </c>
      <c r="AB171" s="124">
        <f t="shared" si="55"/>
        <v>0</v>
      </c>
      <c r="AC171" s="124">
        <f t="shared" si="56"/>
        <v>0</v>
      </c>
    </row>
    <row r="172" spans="2:29" s="114" customFormat="1">
      <c r="B172" s="115">
        <f t="shared" si="32"/>
        <v>-4.6000000000000512</v>
      </c>
      <c r="C172" s="124">
        <f t="shared" si="33"/>
        <v>2.5118864315092803E-5</v>
      </c>
      <c r="D172" s="124">
        <f t="shared" si="34"/>
        <v>2227283.0958992001</v>
      </c>
      <c r="E172" s="124">
        <f t="shared" si="35"/>
        <v>1</v>
      </c>
      <c r="F172" s="124">
        <f t="shared" si="36"/>
        <v>1</v>
      </c>
      <c r="G172" s="124">
        <f t="shared" si="37"/>
        <v>2219518.2124916189</v>
      </c>
      <c r="H172" s="124">
        <f t="shared" si="38"/>
        <v>1</v>
      </c>
      <c r="I172" s="124">
        <f t="shared" si="39"/>
        <v>1</v>
      </c>
      <c r="J172" s="124">
        <f t="shared" si="40"/>
        <v>2.3004029997912999E-6</v>
      </c>
      <c r="K172" s="124">
        <f t="shared" si="41"/>
        <v>0</v>
      </c>
      <c r="L172" s="124">
        <f t="shared" si="42"/>
        <v>0</v>
      </c>
      <c r="M172" s="120"/>
      <c r="N172" s="132">
        <f t="shared" si="30"/>
        <v>1.5782647919762872E-4</v>
      </c>
      <c r="O172" s="124">
        <f t="shared" si="43"/>
        <v>4305.0612516371802</v>
      </c>
      <c r="P172" s="124">
        <f t="shared" si="44"/>
        <v>1</v>
      </c>
      <c r="Q172" s="124">
        <f t="shared" si="45"/>
        <v>1</v>
      </c>
      <c r="R172" s="124">
        <f t="shared" si="46"/>
        <v>3905.9263082284606</v>
      </c>
      <c r="S172" s="124">
        <f t="shared" si="47"/>
        <v>1585.4638293809846</v>
      </c>
      <c r="T172" s="124">
        <f t="shared" si="48"/>
        <v>4215.4425484860576</v>
      </c>
      <c r="U172" s="124">
        <f t="shared" si="49"/>
        <v>1</v>
      </c>
      <c r="V172" s="124">
        <f t="shared" si="50"/>
        <v>0</v>
      </c>
      <c r="W172" s="124">
        <f t="shared" si="51"/>
        <v>1</v>
      </c>
      <c r="X172" s="124">
        <f t="shared" si="52"/>
        <v>1</v>
      </c>
      <c r="Y172" s="124">
        <f t="shared" si="53"/>
        <v>0</v>
      </c>
      <c r="Z172" s="124">
        <f t="shared" si="54"/>
        <v>1</v>
      </c>
      <c r="AA172" s="124">
        <f t="shared" si="31"/>
        <v>8.3469422131447415E-5</v>
      </c>
      <c r="AB172" s="124">
        <f t="shared" si="55"/>
        <v>0</v>
      </c>
      <c r="AC172" s="124">
        <f t="shared" si="56"/>
        <v>0</v>
      </c>
    </row>
    <row r="173" spans="2:29" s="114" customFormat="1">
      <c r="B173" s="115">
        <f t="shared" si="32"/>
        <v>-4.5800000000000516</v>
      </c>
      <c r="C173" s="124">
        <f t="shared" si="33"/>
        <v>2.6302679918950673E-5</v>
      </c>
      <c r="D173" s="124">
        <f t="shared" si="34"/>
        <v>2215450.2514073262</v>
      </c>
      <c r="E173" s="124">
        <f t="shared" si="35"/>
        <v>1</v>
      </c>
      <c r="F173" s="124">
        <f t="shared" si="36"/>
        <v>1</v>
      </c>
      <c r="G173" s="124">
        <f t="shared" si="37"/>
        <v>2208207.5849349666</v>
      </c>
      <c r="H173" s="124">
        <f t="shared" si="38"/>
        <v>1</v>
      </c>
      <c r="I173" s="124">
        <f t="shared" si="39"/>
        <v>1</v>
      </c>
      <c r="J173" s="124">
        <f t="shared" si="40"/>
        <v>2.022382541160614E-6</v>
      </c>
      <c r="K173" s="124">
        <f t="shared" si="41"/>
        <v>0</v>
      </c>
      <c r="L173" s="124">
        <f t="shared" si="42"/>
        <v>0</v>
      </c>
      <c r="M173" s="120"/>
      <c r="N173" s="132">
        <f t="shared" si="30"/>
        <v>1.6526461200619841E-4</v>
      </c>
      <c r="O173" s="124">
        <f t="shared" si="43"/>
        <v>4353.3111882075691</v>
      </c>
      <c r="P173" s="124">
        <f t="shared" si="44"/>
        <v>1</v>
      </c>
      <c r="Q173" s="124">
        <f t="shared" si="45"/>
        <v>1</v>
      </c>
      <c r="R173" s="124">
        <f t="shared" si="46"/>
        <v>3943.3445789728503</v>
      </c>
      <c r="S173" s="124">
        <f t="shared" si="47"/>
        <v>1608.1774427930732</v>
      </c>
      <c r="T173" s="124">
        <f t="shared" si="48"/>
        <v>4258.661897359666</v>
      </c>
      <c r="U173" s="124">
        <f t="shared" si="49"/>
        <v>1</v>
      </c>
      <c r="V173" s="124">
        <f t="shared" si="50"/>
        <v>0</v>
      </c>
      <c r="W173" s="124">
        <f t="shared" si="51"/>
        <v>1</v>
      </c>
      <c r="X173" s="124">
        <f t="shared" si="52"/>
        <v>1</v>
      </c>
      <c r="Y173" s="124">
        <f t="shared" si="53"/>
        <v>0</v>
      </c>
      <c r="Z173" s="124">
        <f t="shared" si="54"/>
        <v>1</v>
      </c>
      <c r="AA173" s="124">
        <f t="shared" si="31"/>
        <v>9.1136634932831968E-5</v>
      </c>
      <c r="AB173" s="124">
        <f t="shared" si="55"/>
        <v>0</v>
      </c>
      <c r="AC173" s="124">
        <f t="shared" si="56"/>
        <v>0</v>
      </c>
    </row>
    <row r="174" spans="2:29" s="114" customFormat="1">
      <c r="B174" s="115">
        <f t="shared" si="32"/>
        <v>-4.560000000000052</v>
      </c>
      <c r="C174" s="124">
        <f t="shared" si="33"/>
        <v>2.7542287033378363E-5</v>
      </c>
      <c r="D174" s="124">
        <f t="shared" si="34"/>
        <v>2203566.5187346037</v>
      </c>
      <c r="E174" s="124">
        <f t="shared" si="35"/>
        <v>1</v>
      </c>
      <c r="F174" s="124">
        <f t="shared" si="36"/>
        <v>1</v>
      </c>
      <c r="G174" s="124">
        <f t="shared" si="37"/>
        <v>2196974.6128141661</v>
      </c>
      <c r="H174" s="124">
        <f t="shared" si="38"/>
        <v>1</v>
      </c>
      <c r="I174" s="124">
        <f t="shared" si="39"/>
        <v>1</v>
      </c>
      <c r="J174" s="124">
        <f t="shared" si="40"/>
        <v>1.692930367113558E-6</v>
      </c>
      <c r="K174" s="124">
        <f t="shared" si="41"/>
        <v>0</v>
      </c>
      <c r="L174" s="124">
        <f t="shared" si="42"/>
        <v>0</v>
      </c>
      <c r="M174" s="120"/>
      <c r="N174" s="132">
        <f t="shared" si="30"/>
        <v>1.7305329321424577E-4</v>
      </c>
      <c r="O174" s="124">
        <f t="shared" si="43"/>
        <v>4402.4846719519683</v>
      </c>
      <c r="P174" s="124">
        <f t="shared" si="44"/>
        <v>1</v>
      </c>
      <c r="Q174" s="124">
        <f t="shared" si="45"/>
        <v>1</v>
      </c>
      <c r="R174" s="124">
        <f t="shared" si="46"/>
        <v>3980.3972088906453</v>
      </c>
      <c r="S174" s="124">
        <f t="shared" si="47"/>
        <v>1631.7809893155611</v>
      </c>
      <c r="T174" s="124">
        <f t="shared" si="48"/>
        <v>4301.8915766946184</v>
      </c>
      <c r="U174" s="124">
        <f t="shared" si="49"/>
        <v>1</v>
      </c>
      <c r="V174" s="124">
        <f t="shared" si="50"/>
        <v>0</v>
      </c>
      <c r="W174" s="124">
        <f t="shared" si="51"/>
        <v>1</v>
      </c>
      <c r="X174" s="124">
        <f t="shared" si="52"/>
        <v>1</v>
      </c>
      <c r="Y174" s="124">
        <f t="shared" si="53"/>
        <v>0</v>
      </c>
      <c r="Z174" s="124">
        <f t="shared" si="54"/>
        <v>1</v>
      </c>
      <c r="AA174" s="124">
        <f t="shared" si="31"/>
        <v>1.0076931750479111E-4</v>
      </c>
      <c r="AB174" s="124">
        <f t="shared" si="55"/>
        <v>0</v>
      </c>
      <c r="AC174" s="124">
        <f t="shared" si="56"/>
        <v>0</v>
      </c>
    </row>
    <row r="175" spans="2:29" s="114" customFormat="1">
      <c r="B175" s="115">
        <f t="shared" si="32"/>
        <v>-4.5400000000000524</v>
      </c>
      <c r="C175" s="124">
        <f t="shared" si="33"/>
        <v>2.884031503126255E-5</v>
      </c>
      <c r="D175" s="124">
        <f t="shared" si="34"/>
        <v>2191632.4769563335</v>
      </c>
      <c r="E175" s="124">
        <f t="shared" si="35"/>
        <v>1</v>
      </c>
      <c r="F175" s="124">
        <f t="shared" si="36"/>
        <v>1</v>
      </c>
      <c r="G175" s="124">
        <f t="shared" si="37"/>
        <v>2185812.5662767761</v>
      </c>
      <c r="H175" s="124">
        <f t="shared" si="38"/>
        <v>1</v>
      </c>
      <c r="I175" s="124">
        <f t="shared" si="39"/>
        <v>1</v>
      </c>
      <c r="J175" s="124">
        <f t="shared" si="40"/>
        <v>1.3335839489918498E-6</v>
      </c>
      <c r="K175" s="124">
        <f t="shared" si="41"/>
        <v>0</v>
      </c>
      <c r="L175" s="124">
        <f t="shared" si="42"/>
        <v>0</v>
      </c>
      <c r="M175" s="120"/>
      <c r="N175" s="132">
        <f t="shared" si="30"/>
        <v>1.8120904365885942E-4</v>
      </c>
      <c r="O175" s="124">
        <f t="shared" si="43"/>
        <v>4452.6021730790726</v>
      </c>
      <c r="P175" s="124">
        <f t="shared" si="44"/>
        <v>1</v>
      </c>
      <c r="Q175" s="124">
        <f t="shared" si="45"/>
        <v>1</v>
      </c>
      <c r="R175" s="124">
        <f t="shared" si="46"/>
        <v>4017.1221998577739</v>
      </c>
      <c r="S175" s="124">
        <f t="shared" si="47"/>
        <v>1656.4310800940434</v>
      </c>
      <c r="T175" s="124">
        <f t="shared" si="48"/>
        <v>4345.2312587124388</v>
      </c>
      <c r="U175" s="124">
        <f t="shared" si="49"/>
        <v>1</v>
      </c>
      <c r="V175" s="124">
        <f t="shared" si="50"/>
        <v>0</v>
      </c>
      <c r="W175" s="124">
        <f t="shared" si="51"/>
        <v>1</v>
      </c>
      <c r="X175" s="124">
        <f t="shared" si="52"/>
        <v>1</v>
      </c>
      <c r="Y175" s="124">
        <f t="shared" si="53"/>
        <v>0</v>
      </c>
      <c r="Z175" s="124">
        <f t="shared" si="54"/>
        <v>1</v>
      </c>
      <c r="AA175" s="124">
        <f t="shared" si="31"/>
        <v>1.1238117611794569E-4</v>
      </c>
      <c r="AB175" s="124">
        <f t="shared" si="55"/>
        <v>0</v>
      </c>
      <c r="AC175" s="124">
        <f t="shared" si="56"/>
        <v>0</v>
      </c>
    </row>
    <row r="176" spans="2:29" s="114" customFormat="1">
      <c r="B176" s="115">
        <f t="shared" si="32"/>
        <v>-4.5200000000000529</v>
      </c>
      <c r="C176" s="124">
        <f t="shared" si="33"/>
        <v>3.0199517204016479E-5</v>
      </c>
      <c r="D176" s="124">
        <f t="shared" si="34"/>
        <v>2179648.721109801</v>
      </c>
      <c r="E176" s="124">
        <f t="shared" si="35"/>
        <v>1</v>
      </c>
      <c r="F176" s="124">
        <f t="shared" si="36"/>
        <v>1</v>
      </c>
      <c r="G176" s="124">
        <f t="shared" si="37"/>
        <v>2174712.4818564411</v>
      </c>
      <c r="H176" s="124">
        <f t="shared" si="38"/>
        <v>1</v>
      </c>
      <c r="I176" s="124">
        <f t="shared" si="39"/>
        <v>1</v>
      </c>
      <c r="J176" s="124">
        <f t="shared" si="40"/>
        <v>9.6955507714128551E-7</v>
      </c>
      <c r="K176" s="124">
        <f t="shared" si="41"/>
        <v>0</v>
      </c>
      <c r="L176" s="124">
        <f t="shared" si="42"/>
        <v>0</v>
      </c>
      <c r="M176" s="120"/>
      <c r="N176" s="132">
        <f t="shared" si="30"/>
        <v>1.8974916278019347E-4</v>
      </c>
      <c r="O176" s="124">
        <f t="shared" si="43"/>
        <v>4503.6846648968913</v>
      </c>
      <c r="P176" s="124">
        <f t="shared" si="44"/>
        <v>1</v>
      </c>
      <c r="Q176" s="124">
        <f t="shared" si="45"/>
        <v>1</v>
      </c>
      <c r="R176" s="124">
        <f t="shared" si="46"/>
        <v>4053.5753470832319</v>
      </c>
      <c r="S176" s="124">
        <f t="shared" si="47"/>
        <v>1682.2815095082542</v>
      </c>
      <c r="T176" s="124">
        <f t="shared" si="48"/>
        <v>4388.7975769810018</v>
      </c>
      <c r="U176" s="124">
        <f t="shared" si="49"/>
        <v>1</v>
      </c>
      <c r="V176" s="124">
        <f t="shared" si="50"/>
        <v>0</v>
      </c>
      <c r="W176" s="124">
        <f t="shared" si="51"/>
        <v>1</v>
      </c>
      <c r="X176" s="124">
        <f t="shared" si="52"/>
        <v>1</v>
      </c>
      <c r="Y176" s="124">
        <f t="shared" si="53"/>
        <v>0</v>
      </c>
      <c r="Z176" s="124">
        <f t="shared" si="54"/>
        <v>1</v>
      </c>
      <c r="AA176" s="124">
        <f t="shared" si="31"/>
        <v>1.2594280855470711E-4</v>
      </c>
      <c r="AB176" s="124">
        <f t="shared" si="55"/>
        <v>0</v>
      </c>
      <c r="AC176" s="124">
        <f t="shared" si="56"/>
        <v>0</v>
      </c>
    </row>
    <row r="177" spans="2:29" s="114" customFormat="1">
      <c r="B177" s="115">
        <f t="shared" si="32"/>
        <v>-4.5000000000000533</v>
      </c>
      <c r="C177" s="124">
        <f t="shared" si="33"/>
        <v>3.1622776601679872E-5</v>
      </c>
      <c r="D177" s="124">
        <f t="shared" si="34"/>
        <v>2167615.8622597964</v>
      </c>
      <c r="E177" s="124">
        <f t="shared" si="35"/>
        <v>1</v>
      </c>
      <c r="F177" s="124">
        <f t="shared" si="36"/>
        <v>1</v>
      </c>
      <c r="G177" s="124">
        <f t="shared" si="37"/>
        <v>2163663.2616708437</v>
      </c>
      <c r="H177" s="124">
        <f t="shared" si="38"/>
        <v>1</v>
      </c>
      <c r="I177" s="124">
        <f t="shared" si="39"/>
        <v>1</v>
      </c>
      <c r="J177" s="124">
        <f t="shared" si="40"/>
        <v>6.2829321923251589E-7</v>
      </c>
      <c r="K177" s="124">
        <f t="shared" si="41"/>
        <v>0</v>
      </c>
      <c r="L177" s="124">
        <f t="shared" si="42"/>
        <v>0</v>
      </c>
      <c r="M177" s="120"/>
      <c r="N177" s="132">
        <f t="shared" si="30"/>
        <v>1.9869176531589738E-4</v>
      </c>
      <c r="O177" s="124">
        <f t="shared" si="43"/>
        <v>4555.7536369001782</v>
      </c>
      <c r="P177" s="124">
        <f t="shared" si="44"/>
        <v>1</v>
      </c>
      <c r="Q177" s="124">
        <f t="shared" si="45"/>
        <v>1</v>
      </c>
      <c r="R177" s="124">
        <f t="shared" si="46"/>
        <v>4089.8295872482208</v>
      </c>
      <c r="S177" s="124">
        <f t="shared" si="47"/>
        <v>1709.481243360354</v>
      </c>
      <c r="T177" s="124">
        <f t="shared" si="48"/>
        <v>4432.7228848792038</v>
      </c>
      <c r="U177" s="124">
        <f t="shared" si="49"/>
        <v>1</v>
      </c>
      <c r="V177" s="124">
        <f t="shared" si="50"/>
        <v>0</v>
      </c>
      <c r="W177" s="124">
        <f t="shared" si="51"/>
        <v>1</v>
      </c>
      <c r="X177" s="124">
        <f t="shared" si="52"/>
        <v>1</v>
      </c>
      <c r="Y177" s="124">
        <f t="shared" si="53"/>
        <v>0</v>
      </c>
      <c r="Z177" s="124">
        <f t="shared" si="54"/>
        <v>1</v>
      </c>
      <c r="AA177" s="124">
        <f t="shared" si="31"/>
        <v>1.4136374514877288E-4</v>
      </c>
      <c r="AB177" s="124">
        <f t="shared" si="55"/>
        <v>0</v>
      </c>
      <c r="AC177" s="124">
        <f t="shared" si="56"/>
        <v>0</v>
      </c>
    </row>
    <row r="178" spans="2:29" s="114" customFormat="1">
      <c r="B178" s="115">
        <f t="shared" si="32"/>
        <v>-4.4800000000000537</v>
      </c>
      <c r="C178" s="124">
        <f t="shared" si="33"/>
        <v>3.3113112148254997E-5</v>
      </c>
      <c r="D178" s="124">
        <f t="shared" si="34"/>
        <v>2155534.5275581991</v>
      </c>
      <c r="E178" s="124">
        <f t="shared" si="35"/>
        <v>1</v>
      </c>
      <c r="F178" s="124">
        <f t="shared" si="36"/>
        <v>1</v>
      </c>
      <c r="G178" s="124">
        <f t="shared" si="37"/>
        <v>2152651.8210052396</v>
      </c>
      <c r="H178" s="124">
        <f t="shared" si="38"/>
        <v>1</v>
      </c>
      <c r="I178" s="124">
        <f t="shared" si="39"/>
        <v>1</v>
      </c>
      <c r="J178" s="124">
        <f t="shared" si="40"/>
        <v>3.3778522851148562E-7</v>
      </c>
      <c r="K178" s="124">
        <f t="shared" si="41"/>
        <v>0</v>
      </c>
      <c r="L178" s="124">
        <f t="shared" si="42"/>
        <v>0</v>
      </c>
      <c r="M178" s="120"/>
      <c r="N178" s="132">
        <f t="shared" si="30"/>
        <v>2.0805581972490567E-4</v>
      </c>
      <c r="O178" s="124">
        <f t="shared" si="43"/>
        <v>4608.8311082019627</v>
      </c>
      <c r="P178" s="124">
        <f t="shared" si="44"/>
        <v>1</v>
      </c>
      <c r="Q178" s="124">
        <f t="shared" si="45"/>
        <v>1</v>
      </c>
      <c r="R178" s="124">
        <f t="shared" si="46"/>
        <v>4125.9741540418263</v>
      </c>
      <c r="S178" s="124">
        <f t="shared" si="47"/>
        <v>1738.1725692387456</v>
      </c>
      <c r="T178" s="124">
        <f t="shared" si="48"/>
        <v>4477.153850413808</v>
      </c>
      <c r="U178" s="124">
        <f t="shared" si="49"/>
        <v>1</v>
      </c>
      <c r="V178" s="124">
        <f t="shared" si="50"/>
        <v>0</v>
      </c>
      <c r="W178" s="124">
        <f t="shared" si="51"/>
        <v>1</v>
      </c>
      <c r="X178" s="124">
        <f t="shared" si="52"/>
        <v>1</v>
      </c>
      <c r="Y178" s="124">
        <f t="shared" si="53"/>
        <v>0</v>
      </c>
      <c r="Z178" s="124">
        <f t="shared" si="54"/>
        <v>1</v>
      </c>
      <c r="AA178" s="124">
        <f t="shared" si="31"/>
        <v>1.584772582818612E-4</v>
      </c>
      <c r="AB178" s="124">
        <f t="shared" si="55"/>
        <v>0</v>
      </c>
      <c r="AC178" s="124">
        <f t="shared" si="56"/>
        <v>0</v>
      </c>
    </row>
    <row r="179" spans="2:29" s="114" customFormat="1">
      <c r="B179" s="115">
        <f t="shared" si="32"/>
        <v>-4.4600000000000541</v>
      </c>
      <c r="C179" s="124">
        <f t="shared" si="33"/>
        <v>3.467368504524879E-5</v>
      </c>
      <c r="D179" s="124">
        <f t="shared" si="34"/>
        <v>2143405.3602974783</v>
      </c>
      <c r="E179" s="124">
        <f t="shared" si="35"/>
        <v>1</v>
      </c>
      <c r="F179" s="124">
        <f t="shared" si="36"/>
        <v>1</v>
      </c>
      <c r="G179" s="124">
        <f t="shared" si="37"/>
        <v>2141663.2835502643</v>
      </c>
      <c r="H179" s="124">
        <f t="shared" si="38"/>
        <v>1</v>
      </c>
      <c r="I179" s="124">
        <f t="shared" si="39"/>
        <v>1</v>
      </c>
      <c r="J179" s="124">
        <f t="shared" si="40"/>
        <v>1.2469460471692632E-7</v>
      </c>
      <c r="K179" s="124">
        <f t="shared" si="41"/>
        <v>0</v>
      </c>
      <c r="L179" s="124">
        <f t="shared" si="42"/>
        <v>0</v>
      </c>
      <c r="M179" s="120"/>
      <c r="N179" s="132">
        <f t="shared" si="30"/>
        <v>2.1786118842207974E-4</v>
      </c>
      <c r="O179" s="124">
        <f t="shared" si="43"/>
        <v>4662.9396413175909</v>
      </c>
      <c r="P179" s="124">
        <f t="shared" si="44"/>
        <v>1</v>
      </c>
      <c r="Q179" s="124">
        <f t="shared" si="45"/>
        <v>1</v>
      </c>
      <c r="R179" s="124">
        <f t="shared" si="46"/>
        <v>4162.1135809980933</v>
      </c>
      <c r="S179" s="124">
        <f t="shared" si="47"/>
        <v>1768.489414141718</v>
      </c>
      <c r="T179" s="124">
        <f t="shared" si="48"/>
        <v>4522.2499122737663</v>
      </c>
      <c r="U179" s="124">
        <f t="shared" si="49"/>
        <v>1</v>
      </c>
      <c r="V179" s="124">
        <f t="shared" si="50"/>
        <v>0</v>
      </c>
      <c r="W179" s="124">
        <f t="shared" si="51"/>
        <v>1</v>
      </c>
      <c r="X179" s="124">
        <f t="shared" si="52"/>
        <v>1</v>
      </c>
      <c r="Y179" s="124">
        <f t="shared" si="53"/>
        <v>0</v>
      </c>
      <c r="Z179" s="124">
        <f t="shared" si="54"/>
        <v>1</v>
      </c>
      <c r="AA179" s="124">
        <f t="shared" si="31"/>
        <v>1.7702927375967282E-4</v>
      </c>
      <c r="AB179" s="124">
        <f t="shared" si="55"/>
        <v>0</v>
      </c>
      <c r="AC179" s="124">
        <f t="shared" si="56"/>
        <v>0</v>
      </c>
    </row>
    <row r="180" spans="2:29" s="114" customFormat="1">
      <c r="B180" s="115">
        <f t="shared" si="32"/>
        <v>-4.4400000000000546</v>
      </c>
      <c r="C180" s="124">
        <f t="shared" si="33"/>
        <v>3.6307805477005552E-5</v>
      </c>
      <c r="D180" s="124">
        <f t="shared" si="34"/>
        <v>2131229.0199579685</v>
      </c>
      <c r="E180" s="124">
        <f t="shared" si="35"/>
        <v>1</v>
      </c>
      <c r="F180" s="124">
        <f t="shared" si="36"/>
        <v>1</v>
      </c>
      <c r="G180" s="124">
        <f t="shared" si="37"/>
        <v>2130681.2220076914</v>
      </c>
      <c r="H180" s="124">
        <f t="shared" si="38"/>
        <v>1</v>
      </c>
      <c r="I180" s="124">
        <f t="shared" si="39"/>
        <v>1</v>
      </c>
      <c r="J180" s="124">
        <f t="shared" si="40"/>
        <v>1.246409718132601E-8</v>
      </c>
      <c r="K180" s="124">
        <f t="shared" si="41"/>
        <v>0</v>
      </c>
      <c r="L180" s="124">
        <f t="shared" si="42"/>
        <v>0</v>
      </c>
      <c r="M180" s="120"/>
      <c r="N180" s="132">
        <f t="shared" ref="N180:N243" si="57">2*PI()*C180</f>
        <v>2.2812866990905579E-4</v>
      </c>
      <c r="O180" s="124">
        <f t="shared" si="43"/>
        <v>4718.1023563102453</v>
      </c>
      <c r="P180" s="124">
        <f t="shared" si="44"/>
        <v>1</v>
      </c>
      <c r="Q180" s="124">
        <f t="shared" si="45"/>
        <v>1</v>
      </c>
      <c r="R180" s="124">
        <f t="shared" si="46"/>
        <v>4198.3665865980547</v>
      </c>
      <c r="S180" s="124">
        <f t="shared" si="47"/>
        <v>1800.5558254368714</v>
      </c>
      <c r="T180" s="124">
        <f t="shared" si="48"/>
        <v>4568.18161591433</v>
      </c>
      <c r="U180" s="124">
        <f t="shared" si="49"/>
        <v>1</v>
      </c>
      <c r="V180" s="124">
        <f t="shared" si="50"/>
        <v>0</v>
      </c>
      <c r="W180" s="124">
        <f t="shared" si="51"/>
        <v>1</v>
      </c>
      <c r="X180" s="124">
        <f t="shared" si="52"/>
        <v>1</v>
      </c>
      <c r="Y180" s="124">
        <f t="shared" si="53"/>
        <v>0</v>
      </c>
      <c r="Z180" s="124">
        <f t="shared" si="54"/>
        <v>1</v>
      </c>
      <c r="AA180" s="124">
        <f t="shared" ref="AA180:AA243" si="58">(LOG10(O180)-LOG10(T180))^2</f>
        <v>1.9667248335471251E-4</v>
      </c>
      <c r="AB180" s="124">
        <f t="shared" si="55"/>
        <v>0</v>
      </c>
      <c r="AC180" s="124">
        <f t="shared" si="56"/>
        <v>0</v>
      </c>
    </row>
    <row r="181" spans="2:29" s="114" customFormat="1">
      <c r="B181" s="115">
        <f t="shared" ref="B181:B244" si="59">B180+0.02</f>
        <v>-4.420000000000055</v>
      </c>
      <c r="C181" s="124">
        <f t="shared" ref="C181:C244" si="60">10^B181</f>
        <v>3.8018939632051245E-5</v>
      </c>
      <c r="D181" s="124">
        <f t="shared" ref="D181:D244" si="61">IF(AND($D$12&lt;&gt;"",$E$12&lt;&gt;"",$F$12&lt;&gt;"",$G$12&lt;&gt;""),10^($D$12+$E$12/(1+EXP($F$12+$G$12*LOG10($C181)))),1)</f>
        <v>2119006.182248665</v>
      </c>
      <c r="E181" s="124">
        <f t="shared" ref="E181:E244" si="62">IF(AND($D$13&lt;&gt;"",$E$13&lt;&gt;"",$F$13&lt;&gt;"",$G$13&lt;&gt;""),10^($D$13+$E$13/(1+EXP($F$13+$G$13*LOG10($C181)))),1)</f>
        <v>1</v>
      </c>
      <c r="F181" s="124">
        <f t="shared" ref="F181:F244" si="63">IF(AND($D$14&lt;&gt;"",$E$14&lt;&gt;"",$F$14&lt;&gt;"",$G$14&lt;&gt;""),10^($D$14+$E$14/(1+EXP($F$14+$G$14*LOG10($C181)))),1)</f>
        <v>1</v>
      </c>
      <c r="G181" s="124">
        <f t="shared" ref="G181:G244" si="64">IF(OR($C$28="",$C$28=0),1,$C$28+$C$29*EXP(-C181/$F$29)+$C$30*EXP(-C181/$F$30)+$C$31*EXP(-C181/$F$31)+$C$32*EXP(-C181/$F$32)+$C$33*EXP(-C181/$F$33)+$C$34*EXP(-C181/$F$34)+$C$35*EXP(-C181/$F$35)+$C$36*EXP(-C181/$F$36)+$C$37*EXP(-C181/$F$37)+$C$38*EXP(-C181/$F$38)+$C$39*EXP(-C181/$F$39)+$C$40*EXP(-C181/$F$40)+$C$41*EXP(-C181/$F$41)+$C$42*EXP(-C181/$F$42))</f>
        <v>2119687.9401707021</v>
      </c>
      <c r="H181" s="124">
        <f t="shared" ref="H181:H244" si="65">IF(OR($D$28="",$D$28=0),1,$D$28+$D$29*EXP(-C181/$F$29)+$D$30*EXP(-C181/$F$30)+$D$31*EXP(-C181/$F$31)+$D$32*EXP(-C181/$F$32)+$D$33*EXP(-C181/$F$33)+$D$34*EXP(-C181/$F$34)+$D$35*EXP(-C181/$F$35)+$D$36*EXP(-C181/$F$36)+$D$37*EXP(-C181/$F$37)+$D$38*EXP(-C181/$F$38)+$D$39*EXP(-C181/$F$39)+$D$40*EXP(-C181/$F$40)+$D$41*EXP(-C181/$F$41)+$D$42*EXP(-C181/$F$42))</f>
        <v>1</v>
      </c>
      <c r="I181" s="124">
        <f t="shared" ref="I181:I244" si="66">IF(OR($E$28="",$E$28=0),1,$E$28+$E$29*EXP(-C181/$F$29)+$E$30*EXP(-C181/$F$30)+$E$31*EXP(-C181/$F$31)+$E$32*EXP(-C181/$F$32)+$E$33*EXP(-C181/$F$33)+$E$34*EXP(-C181/$F$34)+$E$35*EXP(-C181/$F$35)+$E$36*EXP(-C181/$F$36)+$E$37*EXP(-C181/$F$37)+$E$38*EXP(-C181/$F$38)+$E$39*EXP(-C181/$F$39)+$E$40*EXP(-C181/$F$40)+$E$41*EXP(-C181/$F$41)+$E$42*EXP(-C181/$F$42))</f>
        <v>1</v>
      </c>
      <c r="J181" s="124">
        <f t="shared" ref="J181:J244" si="67">(LOG10(D181)-LOG10(G181))^2</f>
        <v>1.9517529859344699E-8</v>
      </c>
      <c r="K181" s="124">
        <f t="shared" ref="K181:K244" si="68">(LOG10(E181)-LOG10(H181))^2</f>
        <v>0</v>
      </c>
      <c r="L181" s="124">
        <f t="shared" ref="L181:L244" si="69">(LOG10(F181)-LOG10(I181))^2</f>
        <v>0</v>
      </c>
      <c r="M181" s="120"/>
      <c r="N181" s="132">
        <f t="shared" si="57"/>
        <v>2.3888004289065204E-4</v>
      </c>
      <c r="O181" s="124">
        <f t="shared" ref="O181:O244" si="70">IF(AND($L$12&lt;&gt;"",$M$12&lt;&gt;"",$N$12&lt;&gt;"",$O$12&lt;&gt;""),10^($L$12+$M$12/(1+EXP($N$12+$O$12*LOG10($C181)))),1)</f>
        <v>4774.342945306722</v>
      </c>
      <c r="P181" s="124">
        <f t="shared" ref="P181:P244" si="71">IF(AND($L$13&lt;&gt;"",$M$13&lt;&gt;"",$N$13&lt;&gt;"",$O$13&lt;&gt;""),10^($L$13+$M$13/(1+EXP($N$13+$O$13*LOG10($C181)))),1)</f>
        <v>1</v>
      </c>
      <c r="Q181" s="124">
        <f t="shared" ref="Q181:Q244" si="72">IF(AND($L$14&lt;&gt;"",$M$14&lt;&gt;"",$N$14&lt;&gt;"",$O$14&lt;&gt;""),10^($L$14+$M$14/(1+EXP($N$14+$O$14*LOG10($C181)))),1)</f>
        <v>1</v>
      </c>
      <c r="R181" s="124">
        <f t="shared" ref="R181:R244" si="73">IF(OR($C$28="",$C$28=0),1,$C$28+($N181^2*$F$29^2*$C$29)/($N181^2*$F$29^2+1)+($N181^2*$F$30^2*$C$30)/($N181^2*$F$30^2+1)+($N181^2*$F$31^2*$C$31)/($N181^2*$F$31^2+1)+($N181^2*$F$32^2*$C$32)/($N181^2*$F$32^2+1)+($N181^2*$F$33^2*$C$33)/($N181^2*$F$33^2+1)+($N181^2*$F$34^2*$C$34)/($N181^2*$F$34^2+1)+($N181^2*$F$35^2*$C$35)/($N181^2*$F$35^2+1)+($N181^2*$F$36^2*$C$36)/($N181^2*$F$36^2+1)+($N181^2*$F$37^2*$C$37)/($N181^2*$F$37^2+1)+($N181^2*$F$38^2*$C$38)/($N181^2*$F$38^2+1)+($N181^2*$F$39^2*$C$39)/($N181^2*$F$39^2+1)+($N181^2*$F$40^2*$C$40)/($N181^2*$F$40^2+1)+($N181^2*$F$41^2*$C$41)/($N181^2*$F$41^2+1)+($N181^2*$F$42^2*$C$42)/($N181^2*$F$42^2+1))</f>
        <v>4234.8648699607938</v>
      </c>
      <c r="S181" s="124">
        <f t="shared" ref="S181:S244" si="74">IF(OR($C$28="",$C$28=0),0,($N181*$F$29*$C$29)/($N181^2*$F$29^2+1)+($N181*$F$30*$C$30)/($N181^2*$F$30^2+1)+($N181*$F$31*$C$31)/($N181^2*$F$31^2+1)+($N181*$F$32*$C$32)/($N181^2*$F$32^2+1)+($N181*$F$33*$C$33)/($N181^2*$F$33^2+1)+($N181*$F$34*$C$34)/($N181^2*$F$34^2+1)+($N181*$F$35*$C$35)/($N181^2*$F$35^2+1)+($N181*$F$36*$C$36)/($N181^2*$F$36^2+1)+($N181*$F$37*$C$37)/($N181^2*$F$37^2+1)+($N181*$F$38*$C$38)/($N181^2*$F$38^2+1)+($N181*$F$39*$C$39)/($N181^2*$F$39^2+1)+($N181*$F$40*$C$40)/($N181^2*$F$40^2+1)+($N181*$F$41*$C$41)/($N181^2*$F$41^2+1)+($N181*$F$42*$C$42)/($N181^2*$F$42^2+1))</f>
        <v>1834.4846043719415</v>
      </c>
      <c r="T181" s="124">
        <f t="shared" ref="T181:T244" si="75">SQRT(R181^2+S181^2)</f>
        <v>4615.1288422432726</v>
      </c>
      <c r="U181" s="124">
        <f t="shared" ref="U181:U244" si="76">IF(OR($D$28="",$D$28=0),1,$D$28+($N181^2*$F$29^2*$D$29)/($N181^2*$F$29^2+1)+($N181^2*$F$30^2*$D$30)/($N181^2*$F$30^2+1)+($N181^2*$F$31^2*$D$31)/($N181^2*$F$31^2+1)+($N181^2*$F$32^2*$D$32)/($N181^2*$F$32^2+1)+($N181^2*$F$33^2*$D$33)/($N181^2*$F$33^2+1)+($N181^2*$F$34^2*$D$34)/($N181^2*$F$34^2+1)+($N181^2*$F$35^2*$D$35)/($N181^2*$F$35^2+1)+($N181^2*$F$36^2*$D$36)/($N181^2*$F$36^2+1)+($N181^2*$F$37^2*$D$37)/($N181^2*$F$37^2+1)+($N181^2*$F$38^2*$D$38)/($N181^2*$F$38^2+1)+($N181^2*$F$39^2*$D$39)/($N181^2*$F$39^2+1)+($N181^2*$F$40^2*$D$40)/($N181^2*$F$40^2+1)+($N181^2*$F$41^2*$D$41)/($N181^2*$F$41^2+1)+($N181^2*$F$42^2*$D$42)/($N181^2*$F$42^2+1))</f>
        <v>1</v>
      </c>
      <c r="V181" s="124">
        <f t="shared" ref="V181:V244" si="77">IF(OR($D$28="",$D$28=0),0,($N181*$F$29*$D$29)/($N181^2*$F$29^2+1)+($N181*$F$30*$D$30)/($N181^2*$F$30^2+1)+($N181*$F$31*$D$31)/($N181^2*$F$31^2+1)+($N181*$F$32*$D$32)/($N181^2*$F$32^2+1)+($N181*$F$33*$D$33)/($N181^2*$F$33^2+1)+($N181*$F$34*$D$34)/($N181^2*$F$34^2+1)+($N181*$F$35*$D$35)/($N181^2*$F$35^2+1)+($N181*$F$36*$D$36)/($N181^2*$F$36^2+1)+($N181*$F$37*$D$37)/($N181^2*$F$37^2+1)+($N181*$F$38*$D$38)/($N181^2*$F$38^2+1)+($N181*$F$39*$D$39)/($N181^2*$F$39^2+1)+($N181*$F$40*$D$40)/($N181^2*$F$40^2+1)+($N181*$F$41*$D$41)/($N181^2*$F$41^2+1)+($N181*$F$42*$D$42)/($N181^2*$F$42^2+1))</f>
        <v>0</v>
      </c>
      <c r="W181" s="124">
        <f t="shared" ref="W181:W244" si="78">SQRT(U181^2+V181^2)</f>
        <v>1</v>
      </c>
      <c r="X181" s="124">
        <f t="shared" ref="X181:X244" si="79">IF(OR($E$28="",$E$28=0),1,$E$28+($N181^2*$F$29^2*$E$29)/($N181^2*$F$29^2+1)+($N181^2*$F$30^2*$E$30)/($N181^2*$F$30^2+1)+($N181^2*$F$31^2*$E$31)/($N181^2*$F$31^2+1)+($N181^2*$F$32^2*$E$32)/($N181^2*$F$32^2+1)+($N181^2*$F$33^2*$E$33)/($N181^2*$F$33^2+1)+($N181^2*$F$34^2*$E$34)/($N181^2*$F$34^2+1)+($N181^2*$F$35^2*$E$35)/($N181^2*$F$35^2+1)+($N181^2*$F$36^2*$E$36)/($N181^2*$F$36^2+1)+($N181^2*$F$37^2*$E$37)/($N181^2*$F$37^2+1)+($N181^2*$F$38^2*$E$38)/($N181^2*$F$38^2+1)+($N181^2*$F$39^2*$E$39)/($N181^2*$F$39^2+1)+($N181^2*$F$40^2*$E$40)/($N181^2*$F$40^2+1)+($N181^2*$F$41^2*$E$41)/($N181^2*$F$41^2+1)+($N181^2*$F$42^2*$E$42)/($N181^2*$F$42^2+1))</f>
        <v>1</v>
      </c>
      <c r="Y181" s="124">
        <f t="shared" ref="Y181:Y244" si="80">IF(OR($E$28="",$E$28=0),0,($N181*$F$29*$E$29)/($N181^2*$F$29^2+1)+($N181*$F$30*$E$30)/($N181^2*$F$30^2+1)+($N181*$F$31*$E$31)/($N181^2*$F$31^2+1)+($N181*$F$32*$E$32)/($N181^2*$F$32^2+1)+($N181*$F$33*$E$33)/($N181^2*$F$33^2+1)+($N181*$F$34*$E$34)/($N181^2*$F$34^2+1)+($N181*$F$35*$E$35)/($N181^2*$F$35^2+1)+($N181*$F$36*$E$36)/($N181^2*$F$36^2+1)+($N181*$F$37*$E$37)/($N181^2*$F$37^2+1)+($N181*$F$38*$E$38)/($N181^2*$F$38^2+1)+($N181*$F$39*$E$39)/($N181^2*$F$39^2+1)+($N181*$F$40*$E$40)/($N181^2*$F$40^2+1)+($N181*$F$41*$E$41)/($N181^2*$F$41^2+1)+($N181*$F$42*$E$42)/($N181^2*$F$42^2+1))</f>
        <v>0</v>
      </c>
      <c r="Z181" s="124">
        <f t="shared" ref="Z181:Z244" si="81">SQRT(X181^2+Y181^2)</f>
        <v>1</v>
      </c>
      <c r="AA181" s="124">
        <f t="shared" si="58"/>
        <v>2.1696646778993973E-4</v>
      </c>
      <c r="AB181" s="124">
        <f t="shared" ref="AB181:AB244" si="82">(LOG10(P181)-LOG10(W181))^2</f>
        <v>0</v>
      </c>
      <c r="AC181" s="124">
        <f t="shared" ref="AC181:AC244" si="83">(LOG10(Q181)-LOG10(Z181))^2</f>
        <v>0</v>
      </c>
    </row>
    <row r="182" spans="2:29" s="114" customFormat="1">
      <c r="B182" s="115">
        <f t="shared" si="59"/>
        <v>-4.4000000000000554</v>
      </c>
      <c r="C182" s="124">
        <f t="shared" si="60"/>
        <v>3.9810717055344612E-5</v>
      </c>
      <c r="D182" s="124">
        <f t="shared" si="61"/>
        <v>2106737.5391414394</v>
      </c>
      <c r="E182" s="124">
        <f t="shared" si="62"/>
        <v>1</v>
      </c>
      <c r="F182" s="124">
        <f t="shared" si="63"/>
        <v>1</v>
      </c>
      <c r="G182" s="124">
        <f t="shared" si="64"/>
        <v>2108664.7909985711</v>
      </c>
      <c r="H182" s="124">
        <f t="shared" si="65"/>
        <v>1</v>
      </c>
      <c r="I182" s="124">
        <f t="shared" si="66"/>
        <v>1</v>
      </c>
      <c r="J182" s="124">
        <f t="shared" si="67"/>
        <v>1.5769849825493272E-7</v>
      </c>
      <c r="K182" s="124">
        <f t="shared" si="68"/>
        <v>0</v>
      </c>
      <c r="L182" s="124">
        <f t="shared" si="69"/>
        <v>0</v>
      </c>
      <c r="M182" s="120"/>
      <c r="N182" s="132">
        <f t="shared" si="57"/>
        <v>2.5013811247042502E-4</v>
      </c>
      <c r="O182" s="124">
        <f t="shared" si="70"/>
        <v>4831.6856873927336</v>
      </c>
      <c r="P182" s="124">
        <f t="shared" si="71"/>
        <v>1</v>
      </c>
      <c r="Q182" s="124">
        <f t="shared" si="72"/>
        <v>1</v>
      </c>
      <c r="R182" s="124">
        <f t="shared" si="73"/>
        <v>4271.7518377596789</v>
      </c>
      <c r="S182" s="124">
        <f t="shared" si="74"/>
        <v>1870.3760768302502</v>
      </c>
      <c r="T182" s="124">
        <f t="shared" si="75"/>
        <v>4663.2789357041584</v>
      </c>
      <c r="U182" s="124">
        <f t="shared" si="76"/>
        <v>1</v>
      </c>
      <c r="V182" s="124">
        <f t="shared" si="77"/>
        <v>0</v>
      </c>
      <c r="W182" s="124">
        <f t="shared" si="78"/>
        <v>1</v>
      </c>
      <c r="X182" s="124">
        <f t="shared" si="79"/>
        <v>1</v>
      </c>
      <c r="Y182" s="124">
        <f t="shared" si="80"/>
        <v>0</v>
      </c>
      <c r="Z182" s="124">
        <f t="shared" si="81"/>
        <v>1</v>
      </c>
      <c r="AA182" s="124">
        <f t="shared" si="58"/>
        <v>2.3738430579753054E-4</v>
      </c>
      <c r="AB182" s="124">
        <f t="shared" si="82"/>
        <v>0</v>
      </c>
      <c r="AC182" s="124">
        <f t="shared" si="83"/>
        <v>0</v>
      </c>
    </row>
    <row r="183" spans="2:29" s="114" customFormat="1">
      <c r="B183" s="115">
        <f t="shared" si="59"/>
        <v>-4.3800000000000558</v>
      </c>
      <c r="C183" s="124">
        <f t="shared" si="60"/>
        <v>4.1686938347028178E-5</v>
      </c>
      <c r="D183" s="124">
        <f t="shared" si="61"/>
        <v>2094423.7988984834</v>
      </c>
      <c r="E183" s="124">
        <f t="shared" si="62"/>
        <v>1</v>
      </c>
      <c r="F183" s="124">
        <f t="shared" si="63"/>
        <v>1</v>
      </c>
      <c r="G183" s="124">
        <f t="shared" si="64"/>
        <v>2097592.5237208232</v>
      </c>
      <c r="H183" s="124">
        <f t="shared" si="65"/>
        <v>1</v>
      </c>
      <c r="I183" s="124">
        <f t="shared" si="66"/>
        <v>1</v>
      </c>
      <c r="J183" s="124">
        <f t="shared" si="67"/>
        <v>4.3107407126468557E-7</v>
      </c>
      <c r="K183" s="124">
        <f t="shared" si="68"/>
        <v>0</v>
      </c>
      <c r="L183" s="124">
        <f t="shared" si="69"/>
        <v>0</v>
      </c>
      <c r="M183" s="120"/>
      <c r="N183" s="132">
        <f t="shared" si="57"/>
        <v>2.6192675852334873E-4</v>
      </c>
      <c r="O183" s="124">
        <f t="shared" si="70"/>
        <v>4890.155463897001</v>
      </c>
      <c r="P183" s="124">
        <f t="shared" si="71"/>
        <v>1</v>
      </c>
      <c r="Q183" s="124">
        <f t="shared" si="72"/>
        <v>1</v>
      </c>
      <c r="R183" s="124">
        <f t="shared" si="73"/>
        <v>4309.1812748741477</v>
      </c>
      <c r="S183" s="124">
        <f t="shared" si="74"/>
        <v>1908.3169838705442</v>
      </c>
      <c r="T183" s="124">
        <f t="shared" si="75"/>
        <v>4712.8247337085168</v>
      </c>
      <c r="U183" s="124">
        <f t="shared" si="76"/>
        <v>1</v>
      </c>
      <c r="V183" s="124">
        <f t="shared" si="77"/>
        <v>0</v>
      </c>
      <c r="W183" s="124">
        <f t="shared" si="78"/>
        <v>1</v>
      </c>
      <c r="X183" s="124">
        <f t="shared" si="79"/>
        <v>1</v>
      </c>
      <c r="Y183" s="124">
        <f t="shared" si="80"/>
        <v>0</v>
      </c>
      <c r="Z183" s="124">
        <f t="shared" si="81"/>
        <v>1</v>
      </c>
      <c r="AA183" s="124">
        <f t="shared" si="58"/>
        <v>2.5732577923739372E-4</v>
      </c>
      <c r="AB183" s="124">
        <f t="shared" si="82"/>
        <v>0</v>
      </c>
      <c r="AC183" s="124">
        <f t="shared" si="83"/>
        <v>0</v>
      </c>
    </row>
    <row r="184" spans="2:29" s="114" customFormat="1">
      <c r="B184" s="115">
        <f t="shared" si="59"/>
        <v>-4.3600000000000563</v>
      </c>
      <c r="C184" s="124">
        <f t="shared" si="60"/>
        <v>4.3651583224010894E-5</v>
      </c>
      <c r="D184" s="124">
        <f t="shared" si="61"/>
        <v>2082065.6860927369</v>
      </c>
      <c r="E184" s="124">
        <f t="shared" si="62"/>
        <v>1</v>
      </c>
      <c r="F184" s="124">
        <f t="shared" si="63"/>
        <v>1</v>
      </c>
      <c r="G184" s="124">
        <f t="shared" si="64"/>
        <v>2086451.6517082143</v>
      </c>
      <c r="H184" s="124">
        <f t="shared" si="65"/>
        <v>1</v>
      </c>
      <c r="I184" s="124">
        <f t="shared" si="66"/>
        <v>1</v>
      </c>
      <c r="J184" s="124">
        <f t="shared" si="67"/>
        <v>8.3521090362353199E-7</v>
      </c>
      <c r="K184" s="124">
        <f t="shared" si="68"/>
        <v>0</v>
      </c>
      <c r="L184" s="124">
        <f t="shared" si="69"/>
        <v>0</v>
      </c>
      <c r="M184" s="120"/>
      <c r="N184" s="132">
        <f t="shared" si="57"/>
        <v>2.7427098634823216E-4</v>
      </c>
      <c r="O184" s="124">
        <f t="shared" si="70"/>
        <v>4949.7777740735837</v>
      </c>
      <c r="P184" s="124">
        <f t="shared" si="71"/>
        <v>1</v>
      </c>
      <c r="Q184" s="124">
        <f t="shared" si="72"/>
        <v>1</v>
      </c>
      <c r="R184" s="124">
        <f t="shared" si="73"/>
        <v>4347.3159632721063</v>
      </c>
      <c r="S184" s="124">
        <f t="shared" si="74"/>
        <v>1948.3794747159227</v>
      </c>
      <c r="T184" s="124">
        <f t="shared" si="75"/>
        <v>4763.9624958656814</v>
      </c>
      <c r="U184" s="124">
        <f t="shared" si="76"/>
        <v>1</v>
      </c>
      <c r="V184" s="124">
        <f t="shared" si="77"/>
        <v>0</v>
      </c>
      <c r="W184" s="124">
        <f t="shared" si="78"/>
        <v>1</v>
      </c>
      <c r="X184" s="124">
        <f t="shared" si="79"/>
        <v>1</v>
      </c>
      <c r="Y184" s="124">
        <f t="shared" si="80"/>
        <v>0</v>
      </c>
      <c r="Z184" s="124">
        <f t="shared" si="81"/>
        <v>1</v>
      </c>
      <c r="AA184" s="124">
        <f t="shared" si="58"/>
        <v>2.7613689827480763E-4</v>
      </c>
      <c r="AB184" s="124">
        <f t="shared" si="82"/>
        <v>0</v>
      </c>
      <c r="AC184" s="124">
        <f t="shared" si="83"/>
        <v>0</v>
      </c>
    </row>
    <row r="185" spans="2:29" s="114" customFormat="1">
      <c r="B185" s="115">
        <f t="shared" si="59"/>
        <v>-4.3400000000000567</v>
      </c>
      <c r="C185" s="124">
        <f t="shared" si="60"/>
        <v>4.5708818961481526E-5</v>
      </c>
      <c r="D185" s="124">
        <f t="shared" si="61"/>
        <v>2069663.9416212901</v>
      </c>
      <c r="E185" s="124">
        <f t="shared" si="62"/>
        <v>1</v>
      </c>
      <c r="F185" s="124">
        <f t="shared" si="63"/>
        <v>1</v>
      </c>
      <c r="G185" s="124">
        <f t="shared" si="64"/>
        <v>2075222.8318216528</v>
      </c>
      <c r="H185" s="124">
        <f t="shared" si="65"/>
        <v>1</v>
      </c>
      <c r="I185" s="124">
        <f t="shared" si="66"/>
        <v>1</v>
      </c>
      <c r="J185" s="124">
        <f t="shared" si="67"/>
        <v>1.3570004253780395E-6</v>
      </c>
      <c r="K185" s="124">
        <f t="shared" si="68"/>
        <v>0</v>
      </c>
      <c r="L185" s="124">
        <f t="shared" si="69"/>
        <v>0</v>
      </c>
      <c r="M185" s="120"/>
      <c r="N185" s="132">
        <f t="shared" si="57"/>
        <v>2.8719697970731238E-4</v>
      </c>
      <c r="O185" s="124">
        <f t="shared" si="70"/>
        <v>5010.5787511923336</v>
      </c>
      <c r="P185" s="124">
        <f t="shared" si="71"/>
        <v>1</v>
      </c>
      <c r="Q185" s="124">
        <f t="shared" si="72"/>
        <v>1</v>
      </c>
      <c r="R185" s="124">
        <f t="shared" si="73"/>
        <v>4386.3262461841568</v>
      </c>
      <c r="S185" s="124">
        <f t="shared" si="74"/>
        <v>1990.6201870813993</v>
      </c>
      <c r="T185" s="124">
        <f t="shared" si="75"/>
        <v>4816.8897296056075</v>
      </c>
      <c r="U185" s="124">
        <f t="shared" si="76"/>
        <v>1</v>
      </c>
      <c r="V185" s="124">
        <f t="shared" si="77"/>
        <v>0</v>
      </c>
      <c r="W185" s="124">
        <f t="shared" si="78"/>
        <v>1</v>
      </c>
      <c r="X185" s="124">
        <f t="shared" si="79"/>
        <v>1</v>
      </c>
      <c r="Y185" s="124">
        <f t="shared" si="80"/>
        <v>0</v>
      </c>
      <c r="Z185" s="124">
        <f t="shared" si="81"/>
        <v>1</v>
      </c>
      <c r="AA185" s="124">
        <f t="shared" si="58"/>
        <v>2.9313507703042894E-4</v>
      </c>
      <c r="AB185" s="124">
        <f t="shared" si="82"/>
        <v>0</v>
      </c>
      <c r="AC185" s="124">
        <f t="shared" si="83"/>
        <v>0</v>
      </c>
    </row>
    <row r="186" spans="2:29" s="114" customFormat="1">
      <c r="B186" s="115">
        <f t="shared" si="59"/>
        <v>-4.3200000000000571</v>
      </c>
      <c r="C186" s="124">
        <f t="shared" si="60"/>
        <v>4.7863009232257475E-5</v>
      </c>
      <c r="D186" s="124">
        <f t="shared" si="61"/>
        <v>2057219.3227114037</v>
      </c>
      <c r="E186" s="124">
        <f t="shared" si="62"/>
        <v>1</v>
      </c>
      <c r="F186" s="124">
        <f t="shared" si="63"/>
        <v>1</v>
      </c>
      <c r="G186" s="124">
        <f t="shared" si="64"/>
        <v>2063887.2452717882</v>
      </c>
      <c r="H186" s="124">
        <f t="shared" si="65"/>
        <v>1</v>
      </c>
      <c r="I186" s="124">
        <f t="shared" si="66"/>
        <v>1</v>
      </c>
      <c r="J186" s="124">
        <f t="shared" si="67"/>
        <v>1.9750712917183709E-6</v>
      </c>
      <c r="K186" s="124">
        <f t="shared" si="68"/>
        <v>0</v>
      </c>
      <c r="L186" s="124">
        <f t="shared" si="69"/>
        <v>0</v>
      </c>
      <c r="M186" s="120"/>
      <c r="N186" s="132">
        <f t="shared" si="57"/>
        <v>3.0073215636552107E-4</v>
      </c>
      <c r="O186" s="124">
        <f t="shared" si="70"/>
        <v>5072.5851790470178</v>
      </c>
      <c r="P186" s="124">
        <f t="shared" si="71"/>
        <v>1</v>
      </c>
      <c r="Q186" s="124">
        <f t="shared" si="72"/>
        <v>1</v>
      </c>
      <c r="R186" s="124">
        <f t="shared" si="73"/>
        <v>4426.3885281758048</v>
      </c>
      <c r="S186" s="124">
        <f t="shared" si="74"/>
        <v>2035.0794038189481</v>
      </c>
      <c r="T186" s="124">
        <f t="shared" si="75"/>
        <v>4871.8029088022895</v>
      </c>
      <c r="U186" s="124">
        <f t="shared" si="76"/>
        <v>1</v>
      </c>
      <c r="V186" s="124">
        <f t="shared" si="77"/>
        <v>0</v>
      </c>
      <c r="W186" s="124">
        <f t="shared" si="78"/>
        <v>1</v>
      </c>
      <c r="X186" s="124">
        <f t="shared" si="79"/>
        <v>1</v>
      </c>
      <c r="Y186" s="124">
        <f t="shared" si="80"/>
        <v>0</v>
      </c>
      <c r="Z186" s="124">
        <f t="shared" si="81"/>
        <v>1</v>
      </c>
      <c r="AA186" s="124">
        <f t="shared" si="58"/>
        <v>3.0763890378049657E-4</v>
      </c>
      <c r="AB186" s="124">
        <f t="shared" si="82"/>
        <v>0</v>
      </c>
      <c r="AC186" s="124">
        <f t="shared" si="83"/>
        <v>0</v>
      </c>
    </row>
    <row r="187" spans="2:29" s="114" customFormat="1">
      <c r="B187" s="115">
        <f t="shared" si="59"/>
        <v>-4.3000000000000576</v>
      </c>
      <c r="C187" s="124">
        <f t="shared" si="60"/>
        <v>5.0118723362720556E-5</v>
      </c>
      <c r="D187" s="124">
        <f t="shared" si="61"/>
        <v>2044732.6029190999</v>
      </c>
      <c r="E187" s="124">
        <f t="shared" si="62"/>
        <v>1</v>
      </c>
      <c r="F187" s="124">
        <f t="shared" si="63"/>
        <v>1</v>
      </c>
      <c r="G187" s="124">
        <f t="shared" si="64"/>
        <v>2052426.9697534908</v>
      </c>
      <c r="H187" s="124">
        <f t="shared" si="65"/>
        <v>1</v>
      </c>
      <c r="I187" s="124">
        <f t="shared" si="66"/>
        <v>1</v>
      </c>
      <c r="J187" s="124">
        <f t="shared" si="67"/>
        <v>2.6607841996271817E-6</v>
      </c>
      <c r="K187" s="124">
        <f t="shared" si="68"/>
        <v>0</v>
      </c>
      <c r="L187" s="124">
        <f t="shared" si="69"/>
        <v>0</v>
      </c>
      <c r="M187" s="120"/>
      <c r="N187" s="132">
        <f t="shared" si="57"/>
        <v>3.1490522624724406E-4</v>
      </c>
      <c r="O187" s="124">
        <f t="shared" si="70"/>
        <v>5135.8245088915937</v>
      </c>
      <c r="P187" s="124">
        <f t="shared" si="71"/>
        <v>1</v>
      </c>
      <c r="Q187" s="124">
        <f t="shared" si="72"/>
        <v>1</v>
      </c>
      <c r="R187" s="124">
        <f t="shared" si="73"/>
        <v>4467.6836965782632</v>
      </c>
      <c r="S187" s="124">
        <f t="shared" si="74"/>
        <v>2081.7802805413858</v>
      </c>
      <c r="T187" s="124">
        <f t="shared" si="75"/>
        <v>4928.8950840043435</v>
      </c>
      <c r="U187" s="124">
        <f t="shared" si="76"/>
        <v>1</v>
      </c>
      <c r="V187" s="124">
        <f t="shared" si="77"/>
        <v>0</v>
      </c>
      <c r="W187" s="124">
        <f t="shared" si="78"/>
        <v>1</v>
      </c>
      <c r="X187" s="124">
        <f t="shared" si="79"/>
        <v>1</v>
      </c>
      <c r="Y187" s="124">
        <f t="shared" si="80"/>
        <v>0</v>
      </c>
      <c r="Z187" s="124">
        <f t="shared" si="81"/>
        <v>1</v>
      </c>
      <c r="AA187" s="124">
        <f t="shared" si="58"/>
        <v>3.1900108849256632E-4</v>
      </c>
      <c r="AB187" s="124">
        <f t="shared" si="82"/>
        <v>0</v>
      </c>
      <c r="AC187" s="124">
        <f t="shared" si="83"/>
        <v>0</v>
      </c>
    </row>
    <row r="188" spans="2:29" s="114" customFormat="1">
      <c r="B188" s="115">
        <f t="shared" si="59"/>
        <v>-4.280000000000058</v>
      </c>
      <c r="C188" s="124">
        <f t="shared" si="60"/>
        <v>5.2480746024970172E-5</v>
      </c>
      <c r="D188" s="124">
        <f t="shared" si="61"/>
        <v>2032204.5721201499</v>
      </c>
      <c r="E188" s="124">
        <f t="shared" si="62"/>
        <v>1</v>
      </c>
      <c r="F188" s="124">
        <f t="shared" si="63"/>
        <v>1</v>
      </c>
      <c r="G188" s="124">
        <f t="shared" si="64"/>
        <v>2040825.3328016743</v>
      </c>
      <c r="H188" s="124">
        <f t="shared" si="65"/>
        <v>1</v>
      </c>
      <c r="I188" s="124">
        <f t="shared" si="66"/>
        <v>1</v>
      </c>
      <c r="J188" s="124">
        <f t="shared" si="67"/>
        <v>3.3797602302872379E-6</v>
      </c>
      <c r="K188" s="124">
        <f t="shared" si="68"/>
        <v>0</v>
      </c>
      <c r="L188" s="124">
        <f t="shared" si="69"/>
        <v>0</v>
      </c>
      <c r="M188" s="120"/>
      <c r="N188" s="132">
        <f t="shared" si="57"/>
        <v>3.2974625233391603E-4</v>
      </c>
      <c r="O188" s="124">
        <f t="shared" si="70"/>
        <v>5200.3248768144776</v>
      </c>
      <c r="P188" s="124">
        <f t="shared" si="71"/>
        <v>1</v>
      </c>
      <c r="Q188" s="124">
        <f t="shared" si="72"/>
        <v>1</v>
      </c>
      <c r="R188" s="124">
        <f t="shared" si="73"/>
        <v>4510.3954461811036</v>
      </c>
      <c r="S188" s="124">
        <f t="shared" si="74"/>
        <v>2130.7281458669027</v>
      </c>
      <c r="T188" s="124">
        <f t="shared" si="75"/>
        <v>4988.3533868923769</v>
      </c>
      <c r="U188" s="124">
        <f t="shared" si="76"/>
        <v>1</v>
      </c>
      <c r="V188" s="124">
        <f t="shared" si="77"/>
        <v>0</v>
      </c>
      <c r="W188" s="124">
        <f t="shared" si="78"/>
        <v>1</v>
      </c>
      <c r="X188" s="124">
        <f t="shared" si="79"/>
        <v>1</v>
      </c>
      <c r="Y188" s="124">
        <f t="shared" si="80"/>
        <v>0</v>
      </c>
      <c r="Z188" s="124">
        <f t="shared" si="81"/>
        <v>1</v>
      </c>
      <c r="AA188" s="124">
        <f t="shared" si="58"/>
        <v>3.2664285525070032E-4</v>
      </c>
      <c r="AB188" s="124">
        <f t="shared" si="82"/>
        <v>0</v>
      </c>
      <c r="AC188" s="124">
        <f t="shared" si="83"/>
        <v>0</v>
      </c>
    </row>
    <row r="189" spans="2:29" s="114" customFormat="1">
      <c r="B189" s="115">
        <f t="shared" si="59"/>
        <v>-4.2600000000000584</v>
      </c>
      <c r="C189" s="124">
        <f t="shared" si="60"/>
        <v>5.4954087385755034E-5</v>
      </c>
      <c r="D189" s="124">
        <f t="shared" si="61"/>
        <v>2019636.0364932106</v>
      </c>
      <c r="E189" s="124">
        <f t="shared" si="62"/>
        <v>1</v>
      </c>
      <c r="F189" s="124">
        <f t="shared" si="63"/>
        <v>1</v>
      </c>
      <c r="G189" s="124">
        <f t="shared" si="64"/>
        <v>2029067.2369616278</v>
      </c>
      <c r="H189" s="124">
        <f t="shared" si="65"/>
        <v>1</v>
      </c>
      <c r="I189" s="124">
        <f t="shared" si="66"/>
        <v>1</v>
      </c>
      <c r="J189" s="124">
        <f t="shared" si="67"/>
        <v>4.0938529597724483E-6</v>
      </c>
      <c r="K189" s="124">
        <f t="shared" si="68"/>
        <v>0</v>
      </c>
      <c r="L189" s="124">
        <f t="shared" si="69"/>
        <v>0</v>
      </c>
      <c r="M189" s="120"/>
      <c r="N189" s="132">
        <f t="shared" si="57"/>
        <v>3.4528671443163905E-4</v>
      </c>
      <c r="O189" s="124">
        <f t="shared" si="70"/>
        <v>5266.11512156154</v>
      </c>
      <c r="P189" s="124">
        <f t="shared" si="71"/>
        <v>1</v>
      </c>
      <c r="Q189" s="124">
        <f t="shared" si="72"/>
        <v>1</v>
      </c>
      <c r="R189" s="124">
        <f t="shared" si="73"/>
        <v>4554.7084873587983</v>
      </c>
      <c r="S189" s="124">
        <f t="shared" si="74"/>
        <v>2181.9098838889286</v>
      </c>
      <c r="T189" s="124">
        <f t="shared" si="75"/>
        <v>5050.3564375428459</v>
      </c>
      <c r="U189" s="124">
        <f t="shared" si="76"/>
        <v>1</v>
      </c>
      <c r="V189" s="124">
        <f t="shared" si="77"/>
        <v>0</v>
      </c>
      <c r="W189" s="124">
        <f t="shared" si="78"/>
        <v>1</v>
      </c>
      <c r="X189" s="124">
        <f t="shared" si="79"/>
        <v>1</v>
      </c>
      <c r="Y189" s="124">
        <f t="shared" si="80"/>
        <v>0</v>
      </c>
      <c r="Z189" s="124">
        <f t="shared" si="81"/>
        <v>1</v>
      </c>
      <c r="AA189" s="124">
        <f t="shared" si="58"/>
        <v>3.3008780178444874E-4</v>
      </c>
      <c r="AB189" s="124">
        <f t="shared" si="82"/>
        <v>0</v>
      </c>
      <c r="AC189" s="124">
        <f t="shared" si="83"/>
        <v>0</v>
      </c>
    </row>
    <row r="190" spans="2:29" s="114" customFormat="1">
      <c r="B190" s="115">
        <f t="shared" si="59"/>
        <v>-4.2400000000000588</v>
      </c>
      <c r="C190" s="124">
        <f t="shared" si="60"/>
        <v>5.7543993733707804E-5</v>
      </c>
      <c r="D190" s="124">
        <f t="shared" si="61"/>
        <v>2007027.8184950454</v>
      </c>
      <c r="E190" s="124">
        <f t="shared" si="62"/>
        <v>1</v>
      </c>
      <c r="F190" s="124">
        <f t="shared" si="63"/>
        <v>1</v>
      </c>
      <c r="G190" s="124">
        <f t="shared" si="64"/>
        <v>2017139.4484608914</v>
      </c>
      <c r="H190" s="124">
        <f t="shared" si="65"/>
        <v>1</v>
      </c>
      <c r="I190" s="124">
        <f t="shared" si="66"/>
        <v>1</v>
      </c>
      <c r="J190" s="124">
        <f t="shared" si="67"/>
        <v>4.7634403397459395E-6</v>
      </c>
      <c r="K190" s="124">
        <f t="shared" si="68"/>
        <v>0</v>
      </c>
      <c r="L190" s="124">
        <f t="shared" si="69"/>
        <v>0</v>
      </c>
      <c r="M190" s="120"/>
      <c r="N190" s="132">
        <f t="shared" si="57"/>
        <v>3.6155957594406703E-4</v>
      </c>
      <c r="O190" s="124">
        <f t="shared" si="70"/>
        <v>5333.2248028183267</v>
      </c>
      <c r="P190" s="124">
        <f t="shared" si="71"/>
        <v>1</v>
      </c>
      <c r="Q190" s="124">
        <f t="shared" si="72"/>
        <v>1</v>
      </c>
      <c r="R190" s="124">
        <f t="shared" si="73"/>
        <v>4600.8066181059712</v>
      </c>
      <c r="S190" s="124">
        <f t="shared" si="74"/>
        <v>2235.2934170789704</v>
      </c>
      <c r="T190" s="124">
        <f t="shared" si="75"/>
        <v>5115.0716708218552</v>
      </c>
      <c r="U190" s="124">
        <f t="shared" si="76"/>
        <v>1</v>
      </c>
      <c r="V190" s="124">
        <f t="shared" si="77"/>
        <v>0</v>
      </c>
      <c r="W190" s="124">
        <f t="shared" si="78"/>
        <v>1</v>
      </c>
      <c r="X190" s="124">
        <f t="shared" si="79"/>
        <v>1</v>
      </c>
      <c r="Y190" s="124">
        <f t="shared" si="80"/>
        <v>0</v>
      </c>
      <c r="Z190" s="124">
        <f t="shared" si="81"/>
        <v>1</v>
      </c>
      <c r="AA190" s="124">
        <f t="shared" si="58"/>
        <v>3.2899309815465706E-4</v>
      </c>
      <c r="AB190" s="124">
        <f t="shared" si="82"/>
        <v>0</v>
      </c>
      <c r="AC190" s="124">
        <f t="shared" si="83"/>
        <v>0</v>
      </c>
    </row>
    <row r="191" spans="2:29" s="114" customFormat="1">
      <c r="B191" s="115">
        <f t="shared" si="59"/>
        <v>-4.2200000000000593</v>
      </c>
      <c r="C191" s="124">
        <f t="shared" si="60"/>
        <v>6.0255958607427498E-5</v>
      </c>
      <c r="D191" s="124">
        <f t="shared" si="61"/>
        <v>1994380.7568276185</v>
      </c>
      <c r="E191" s="124">
        <f t="shared" si="62"/>
        <v>1</v>
      </c>
      <c r="F191" s="124">
        <f t="shared" si="63"/>
        <v>1</v>
      </c>
      <c r="G191" s="124">
        <f t="shared" si="64"/>
        <v>2005030.8425602135</v>
      </c>
      <c r="H191" s="124">
        <f t="shared" si="65"/>
        <v>1</v>
      </c>
      <c r="I191" s="124">
        <f t="shared" si="66"/>
        <v>1</v>
      </c>
      <c r="J191" s="124">
        <f t="shared" si="67"/>
        <v>5.3498877640931663E-6</v>
      </c>
      <c r="K191" s="124">
        <f t="shared" si="68"/>
        <v>0</v>
      </c>
      <c r="L191" s="124">
        <f t="shared" si="69"/>
        <v>0</v>
      </c>
      <c r="M191" s="120"/>
      <c r="N191" s="132">
        <f t="shared" si="57"/>
        <v>3.785993537922098E-4</v>
      </c>
      <c r="O191" s="124">
        <f t="shared" si="70"/>
        <v>5401.6842199623597</v>
      </c>
      <c r="P191" s="124">
        <f t="shared" si="71"/>
        <v>1</v>
      </c>
      <c r="Q191" s="124">
        <f t="shared" si="72"/>
        <v>1</v>
      </c>
      <c r="R191" s="124">
        <f t="shared" si="73"/>
        <v>4648.8706429724152</v>
      </c>
      <c r="S191" s="124">
        <f t="shared" si="74"/>
        <v>2290.827316694621</v>
      </c>
      <c r="T191" s="124">
        <f t="shared" si="75"/>
        <v>5182.6526074979247</v>
      </c>
      <c r="U191" s="124">
        <f t="shared" si="76"/>
        <v>1</v>
      </c>
      <c r="V191" s="124">
        <f t="shared" si="77"/>
        <v>0</v>
      </c>
      <c r="W191" s="124">
        <f t="shared" si="78"/>
        <v>1</v>
      </c>
      <c r="X191" s="124">
        <f t="shared" si="79"/>
        <v>1</v>
      </c>
      <c r="Y191" s="124">
        <f t="shared" si="80"/>
        <v>0</v>
      </c>
      <c r="Z191" s="124">
        <f t="shared" si="81"/>
        <v>1</v>
      </c>
      <c r="AA191" s="124">
        <f t="shared" si="58"/>
        <v>3.2317586618558515E-4</v>
      </c>
      <c r="AB191" s="124">
        <f t="shared" si="82"/>
        <v>0</v>
      </c>
      <c r="AC191" s="124">
        <f t="shared" si="83"/>
        <v>0</v>
      </c>
    </row>
    <row r="192" spans="2:29" s="114" customFormat="1">
      <c r="B192" s="115">
        <f t="shared" si="59"/>
        <v>-4.2000000000000597</v>
      </c>
      <c r="C192" s="124">
        <f t="shared" si="60"/>
        <v>6.3095734448010646E-5</v>
      </c>
      <c r="D192" s="124">
        <f t="shared" si="61"/>
        <v>1981695.7063969139</v>
      </c>
      <c r="E192" s="124">
        <f t="shared" si="62"/>
        <v>1</v>
      </c>
      <c r="F192" s="124">
        <f t="shared" si="63"/>
        <v>1</v>
      </c>
      <c r="G192" s="124">
        <f t="shared" si="64"/>
        <v>1992732.600565894</v>
      </c>
      <c r="H192" s="124">
        <f t="shared" si="65"/>
        <v>1</v>
      </c>
      <c r="I192" s="124">
        <f t="shared" si="66"/>
        <v>1</v>
      </c>
      <c r="J192" s="124">
        <f t="shared" si="67"/>
        <v>5.8180207842313739E-6</v>
      </c>
      <c r="K192" s="124">
        <f t="shared" si="68"/>
        <v>0</v>
      </c>
      <c r="L192" s="124">
        <f t="shared" si="69"/>
        <v>0</v>
      </c>
      <c r="M192" s="120"/>
      <c r="N192" s="132">
        <f t="shared" si="57"/>
        <v>3.9644219162944538E-4</v>
      </c>
      <c r="O192" s="124">
        <f t="shared" si="70"/>
        <v>5471.5244312964332</v>
      </c>
      <c r="P192" s="124">
        <f t="shared" si="71"/>
        <v>1</v>
      </c>
      <c r="Q192" s="124">
        <f t="shared" si="72"/>
        <v>1</v>
      </c>
      <c r="R192" s="124">
        <f t="shared" si="73"/>
        <v>4699.0761267639264</v>
      </c>
      <c r="S192" s="124">
        <f t="shared" si="74"/>
        <v>2348.4405764612197</v>
      </c>
      <c r="T192" s="124">
        <f t="shared" si="75"/>
        <v>5253.2361060866251</v>
      </c>
      <c r="U192" s="124">
        <f t="shared" si="76"/>
        <v>1</v>
      </c>
      <c r="V192" s="124">
        <f t="shared" si="77"/>
        <v>0</v>
      </c>
      <c r="W192" s="124">
        <f t="shared" si="78"/>
        <v>1</v>
      </c>
      <c r="X192" s="124">
        <f t="shared" si="79"/>
        <v>1</v>
      </c>
      <c r="Y192" s="124">
        <f t="shared" si="80"/>
        <v>0</v>
      </c>
      <c r="Z192" s="124">
        <f t="shared" si="81"/>
        <v>1</v>
      </c>
      <c r="AA192" s="124">
        <f t="shared" si="58"/>
        <v>3.1263269119465178E-4</v>
      </c>
      <c r="AB192" s="124">
        <f t="shared" si="82"/>
        <v>0</v>
      </c>
      <c r="AC192" s="124">
        <f t="shared" si="83"/>
        <v>0</v>
      </c>
    </row>
    <row r="193" spans="2:29" s="114" customFormat="1">
      <c r="B193" s="115">
        <f t="shared" si="59"/>
        <v>-4.1800000000000601</v>
      </c>
      <c r="C193" s="124">
        <f t="shared" si="60"/>
        <v>6.6069344800750391E-5</v>
      </c>
      <c r="D193" s="124">
        <f t="shared" si="61"/>
        <v>1968973.53826331</v>
      </c>
      <c r="E193" s="124">
        <f t="shared" si="62"/>
        <v>1</v>
      </c>
      <c r="F193" s="124">
        <f t="shared" si="63"/>
        <v>1</v>
      </c>
      <c r="G193" s="124">
        <f t="shared" si="64"/>
        <v>1980238.3554945281</v>
      </c>
      <c r="H193" s="124">
        <f t="shared" si="65"/>
        <v>1</v>
      </c>
      <c r="I193" s="124">
        <f t="shared" si="66"/>
        <v>1</v>
      </c>
      <c r="J193" s="124">
        <f t="shared" si="67"/>
        <v>6.1384453913808501E-6</v>
      </c>
      <c r="K193" s="124">
        <f t="shared" si="68"/>
        <v>0</v>
      </c>
      <c r="L193" s="124">
        <f t="shared" si="69"/>
        <v>0</v>
      </c>
      <c r="M193" s="120"/>
      <c r="N193" s="132">
        <f t="shared" si="57"/>
        <v>4.1512593650705682E-4</v>
      </c>
      <c r="O193" s="124">
        <f t="shared" si="70"/>
        <v>5542.7772737743153</v>
      </c>
      <c r="P193" s="124">
        <f t="shared" si="71"/>
        <v>1</v>
      </c>
      <c r="Q193" s="124">
        <f t="shared" si="72"/>
        <v>1</v>
      </c>
      <c r="R193" s="124">
        <f t="shared" si="73"/>
        <v>4751.5909782050894</v>
      </c>
      <c r="S193" s="124">
        <f t="shared" si="74"/>
        <v>2408.0425933311581</v>
      </c>
      <c r="T193" s="124">
        <f t="shared" si="75"/>
        <v>5326.9396425581026</v>
      </c>
      <c r="U193" s="124">
        <f t="shared" si="76"/>
        <v>1</v>
      </c>
      <c r="V193" s="124">
        <f t="shared" si="77"/>
        <v>0</v>
      </c>
      <c r="W193" s="124">
        <f t="shared" si="78"/>
        <v>1</v>
      </c>
      <c r="X193" s="124">
        <f t="shared" si="79"/>
        <v>1</v>
      </c>
      <c r="Y193" s="124">
        <f t="shared" si="80"/>
        <v>0</v>
      </c>
      <c r="Z193" s="124">
        <f t="shared" si="81"/>
        <v>1</v>
      </c>
      <c r="AA193" s="124">
        <f t="shared" si="58"/>
        <v>2.9755048137929021E-4</v>
      </c>
      <c r="AB193" s="124">
        <f t="shared" si="82"/>
        <v>0</v>
      </c>
      <c r="AC193" s="124">
        <f t="shared" si="83"/>
        <v>0</v>
      </c>
    </row>
    <row r="194" spans="2:29" s="114" customFormat="1">
      <c r="B194" s="115">
        <f t="shared" si="59"/>
        <v>-4.1600000000000605</v>
      </c>
      <c r="C194" s="124">
        <f t="shared" si="60"/>
        <v>6.918309709188399E-5</v>
      </c>
      <c r="D194" s="124">
        <f t="shared" si="61"/>
        <v>1956215.1395833923</v>
      </c>
      <c r="E194" s="124">
        <f t="shared" si="62"/>
        <v>1</v>
      </c>
      <c r="F194" s="124">
        <f t="shared" si="63"/>
        <v>1</v>
      </c>
      <c r="G194" s="124">
        <f t="shared" si="64"/>
        <v>1967544.2854636833</v>
      </c>
      <c r="H194" s="124">
        <f t="shared" si="65"/>
        <v>1</v>
      </c>
      <c r="I194" s="124">
        <f t="shared" si="66"/>
        <v>1</v>
      </c>
      <c r="J194" s="124">
        <f t="shared" si="67"/>
        <v>6.2895651764749947E-6</v>
      </c>
      <c r="K194" s="124">
        <f t="shared" si="68"/>
        <v>0</v>
      </c>
      <c r="L194" s="124">
        <f t="shared" si="69"/>
        <v>0</v>
      </c>
      <c r="M194" s="120"/>
      <c r="N194" s="132">
        <f t="shared" si="57"/>
        <v>4.3469021915290427E-4</v>
      </c>
      <c r="O194" s="124">
        <f t="shared" si="70"/>
        <v>5615.4753832299139</v>
      </c>
      <c r="P194" s="124">
        <f t="shared" si="71"/>
        <v>1</v>
      </c>
      <c r="Q194" s="124">
        <f t="shared" si="72"/>
        <v>1</v>
      </c>
      <c r="R194" s="124">
        <f t="shared" si="73"/>
        <v>4806.5728685663371</v>
      </c>
      <c r="S194" s="124">
        <f t="shared" si="74"/>
        <v>2469.5234059351587</v>
      </c>
      <c r="T194" s="124">
        <f t="shared" si="75"/>
        <v>5403.8586762886034</v>
      </c>
      <c r="U194" s="124">
        <f t="shared" si="76"/>
        <v>1</v>
      </c>
      <c r="V194" s="124">
        <f t="shared" si="77"/>
        <v>0</v>
      </c>
      <c r="W194" s="124">
        <f t="shared" si="78"/>
        <v>1</v>
      </c>
      <c r="X194" s="124">
        <f t="shared" si="79"/>
        <v>1</v>
      </c>
      <c r="Y194" s="124">
        <f t="shared" si="80"/>
        <v>0</v>
      </c>
      <c r="Z194" s="124">
        <f t="shared" si="81"/>
        <v>1</v>
      </c>
      <c r="AA194" s="124">
        <f t="shared" si="58"/>
        <v>2.7830731047225515E-4</v>
      </c>
      <c r="AB194" s="124">
        <f t="shared" si="82"/>
        <v>0</v>
      </c>
      <c r="AC194" s="124">
        <f t="shared" si="83"/>
        <v>0</v>
      </c>
    </row>
    <row r="195" spans="2:29" s="114" customFormat="1">
      <c r="B195" s="115">
        <f t="shared" si="59"/>
        <v>-4.140000000000061</v>
      </c>
      <c r="C195" s="124">
        <f t="shared" si="60"/>
        <v>7.2443596007488748E-5</v>
      </c>
      <c r="D195" s="124">
        <f t="shared" si="61"/>
        <v>1943421.4135430346</v>
      </c>
      <c r="E195" s="124">
        <f t="shared" si="62"/>
        <v>1</v>
      </c>
      <c r="F195" s="124">
        <f t="shared" si="63"/>
        <v>1</v>
      </c>
      <c r="G195" s="124">
        <f t="shared" si="64"/>
        <v>1954649.1558981661</v>
      </c>
      <c r="H195" s="124">
        <f t="shared" si="65"/>
        <v>1</v>
      </c>
      <c r="I195" s="124">
        <f t="shared" si="66"/>
        <v>1</v>
      </c>
      <c r="J195" s="124">
        <f t="shared" si="67"/>
        <v>6.2591664096600476E-6</v>
      </c>
      <c r="K195" s="124">
        <f t="shared" si="68"/>
        <v>0</v>
      </c>
      <c r="L195" s="124">
        <f t="shared" si="69"/>
        <v>0</v>
      </c>
      <c r="M195" s="120"/>
      <c r="N195" s="132">
        <f t="shared" si="57"/>
        <v>4.5517653803350702E-4</v>
      </c>
      <c r="O195" s="124">
        <f t="shared" si="70"/>
        <v>5689.6522151217378</v>
      </c>
      <c r="P195" s="124">
        <f t="shared" si="71"/>
        <v>1</v>
      </c>
      <c r="Q195" s="124">
        <f t="shared" si="72"/>
        <v>1</v>
      </c>
      <c r="R195" s="124">
        <f t="shared" si="73"/>
        <v>4864.1665024525755</v>
      </c>
      <c r="S195" s="124">
        <f t="shared" si="74"/>
        <v>2532.7542462904285</v>
      </c>
      <c r="T195" s="124">
        <f t="shared" si="75"/>
        <v>5484.064171368158</v>
      </c>
      <c r="U195" s="124">
        <f t="shared" si="76"/>
        <v>1</v>
      </c>
      <c r="V195" s="124">
        <f t="shared" si="77"/>
        <v>0</v>
      </c>
      <c r="W195" s="124">
        <f t="shared" si="78"/>
        <v>1</v>
      </c>
      <c r="X195" s="124">
        <f t="shared" si="79"/>
        <v>1</v>
      </c>
      <c r="Y195" s="124">
        <f t="shared" si="80"/>
        <v>0</v>
      </c>
      <c r="Z195" s="124">
        <f t="shared" si="81"/>
        <v>1</v>
      </c>
      <c r="AA195" s="124">
        <f t="shared" si="58"/>
        <v>2.5546244477630219E-4</v>
      </c>
      <c r="AB195" s="124">
        <f t="shared" si="82"/>
        <v>0</v>
      </c>
      <c r="AC195" s="124">
        <f t="shared" si="83"/>
        <v>0</v>
      </c>
    </row>
    <row r="196" spans="2:29" s="114" customFormat="1">
      <c r="B196" s="115">
        <f t="shared" si="59"/>
        <v>-4.1200000000000614</v>
      </c>
      <c r="C196" s="124">
        <f t="shared" si="60"/>
        <v>7.5857757502907625E-5</v>
      </c>
      <c r="D196" s="124">
        <f t="shared" si="61"/>
        <v>1930593.2792815813</v>
      </c>
      <c r="E196" s="124">
        <f t="shared" si="62"/>
        <v>1</v>
      </c>
      <c r="F196" s="124">
        <f t="shared" si="63"/>
        <v>1</v>
      </c>
      <c r="G196" s="124">
        <f t="shared" si="64"/>
        <v>1941554.31345379</v>
      </c>
      <c r="H196" s="124">
        <f t="shared" si="65"/>
        <v>1</v>
      </c>
      <c r="I196" s="124">
        <f t="shared" si="66"/>
        <v>1</v>
      </c>
      <c r="J196" s="124">
        <f t="shared" si="67"/>
        <v>6.0454716917764004E-6</v>
      </c>
      <c r="K196" s="124">
        <f t="shared" si="68"/>
        <v>0</v>
      </c>
      <c r="L196" s="124">
        <f t="shared" si="69"/>
        <v>0</v>
      </c>
      <c r="M196" s="120"/>
      <c r="N196" s="132">
        <f t="shared" si="57"/>
        <v>4.7662834737786122E-4</v>
      </c>
      <c r="O196" s="124">
        <f t="shared" si="70"/>
        <v>5765.3420658043124</v>
      </c>
      <c r="P196" s="124">
        <f t="shared" si="71"/>
        <v>1</v>
      </c>
      <c r="Q196" s="124">
        <f t="shared" si="72"/>
        <v>1</v>
      </c>
      <c r="R196" s="124">
        <f t="shared" si="73"/>
        <v>4924.5007722988794</v>
      </c>
      <c r="S196" s="124">
        <f t="shared" si="74"/>
        <v>2597.5884627309788</v>
      </c>
      <c r="T196" s="124">
        <f t="shared" si="75"/>
        <v>5567.6003518648276</v>
      </c>
      <c r="U196" s="124">
        <f t="shared" si="76"/>
        <v>1</v>
      </c>
      <c r="V196" s="124">
        <f t="shared" si="77"/>
        <v>0</v>
      </c>
      <c r="W196" s="124">
        <f t="shared" si="78"/>
        <v>1</v>
      </c>
      <c r="X196" s="124">
        <f t="shared" si="79"/>
        <v>1</v>
      </c>
      <c r="Y196" s="124">
        <f t="shared" si="80"/>
        <v>0</v>
      </c>
      <c r="Z196" s="124">
        <f t="shared" si="81"/>
        <v>1</v>
      </c>
      <c r="AA196" s="124">
        <f t="shared" si="58"/>
        <v>2.2973543963508082E-4</v>
      </c>
      <c r="AB196" s="124">
        <f t="shared" si="82"/>
        <v>0</v>
      </c>
      <c r="AC196" s="124">
        <f t="shared" si="83"/>
        <v>0</v>
      </c>
    </row>
    <row r="197" spans="2:29" s="114" customFormat="1">
      <c r="B197" s="115">
        <f t="shared" si="59"/>
        <v>-4.1000000000000618</v>
      </c>
      <c r="C197" s="124">
        <f t="shared" si="60"/>
        <v>7.9432823472416728E-5</v>
      </c>
      <c r="D197" s="124">
        <f t="shared" si="61"/>
        <v>1917731.6718070521</v>
      </c>
      <c r="E197" s="124">
        <f t="shared" si="62"/>
        <v>1</v>
      </c>
      <c r="F197" s="124">
        <f t="shared" si="63"/>
        <v>1</v>
      </c>
      <c r="G197" s="124">
        <f t="shared" si="64"/>
        <v>1928263.6360471465</v>
      </c>
      <c r="H197" s="124">
        <f t="shared" si="65"/>
        <v>1</v>
      </c>
      <c r="I197" s="124">
        <f t="shared" si="66"/>
        <v>1</v>
      </c>
      <c r="J197" s="124">
        <f t="shared" si="67"/>
        <v>5.6575973644170375E-6</v>
      </c>
      <c r="K197" s="124">
        <f t="shared" si="68"/>
        <v>0</v>
      </c>
      <c r="L197" s="124">
        <f t="shared" si="69"/>
        <v>0</v>
      </c>
      <c r="M197" s="120"/>
      <c r="N197" s="132">
        <f t="shared" si="57"/>
        <v>4.9909114934967858E-4</v>
      </c>
      <c r="O197" s="124">
        <f t="shared" si="70"/>
        <v>5842.5800943383292</v>
      </c>
      <c r="P197" s="124">
        <f t="shared" si="71"/>
        <v>1</v>
      </c>
      <c r="Q197" s="124">
        <f t="shared" si="72"/>
        <v>1</v>
      </c>
      <c r="R197" s="124">
        <f t="shared" si="73"/>
        <v>4987.6858441944978</v>
      </c>
      <c r="S197" s="124">
        <f t="shared" si="74"/>
        <v>2663.8628711599354</v>
      </c>
      <c r="T197" s="124">
        <f t="shared" si="75"/>
        <v>5654.4827771178707</v>
      </c>
      <c r="U197" s="124">
        <f t="shared" si="76"/>
        <v>1</v>
      </c>
      <c r="V197" s="124">
        <f t="shared" si="77"/>
        <v>0</v>
      </c>
      <c r="W197" s="124">
        <f t="shared" si="78"/>
        <v>1</v>
      </c>
      <c r="X197" s="124">
        <f t="shared" si="79"/>
        <v>1</v>
      </c>
      <c r="Y197" s="124">
        <f t="shared" si="80"/>
        <v>0</v>
      </c>
      <c r="Z197" s="124">
        <f t="shared" si="81"/>
        <v>1</v>
      </c>
      <c r="AA197" s="124">
        <f t="shared" si="58"/>
        <v>2.019749503251547E-4</v>
      </c>
      <c r="AB197" s="124">
        <f t="shared" si="82"/>
        <v>0</v>
      </c>
      <c r="AC197" s="124">
        <f t="shared" si="83"/>
        <v>0</v>
      </c>
    </row>
    <row r="198" spans="2:29" s="114" customFormat="1">
      <c r="B198" s="115">
        <f t="shared" si="59"/>
        <v>-4.0800000000000622</v>
      </c>
      <c r="C198" s="124">
        <f t="shared" si="60"/>
        <v>8.3176377110255124E-5</v>
      </c>
      <c r="D198" s="124">
        <f t="shared" si="61"/>
        <v>1904837.5419021659</v>
      </c>
      <c r="E198" s="124">
        <f t="shared" si="62"/>
        <v>1</v>
      </c>
      <c r="F198" s="124">
        <f t="shared" si="63"/>
        <v>1</v>
      </c>
      <c r="G198" s="124">
        <f t="shared" si="64"/>
        <v>1914783.4444466692</v>
      </c>
      <c r="H198" s="124">
        <f t="shared" si="65"/>
        <v>1</v>
      </c>
      <c r="I198" s="124">
        <f t="shared" si="66"/>
        <v>1</v>
      </c>
      <c r="J198" s="124">
        <f t="shared" si="67"/>
        <v>5.1153862792514426E-6</v>
      </c>
      <c r="K198" s="124">
        <f t="shared" si="68"/>
        <v>0</v>
      </c>
      <c r="L198" s="124">
        <f t="shared" si="69"/>
        <v>0</v>
      </c>
      <c r="M198" s="120"/>
      <c r="N198" s="132">
        <f t="shared" si="57"/>
        <v>5.2261259056358349E-4</v>
      </c>
      <c r="O198" s="124">
        <f t="shared" si="70"/>
        <v>5921.4023448519329</v>
      </c>
      <c r="P198" s="124">
        <f t="shared" si="71"/>
        <v>1</v>
      </c>
      <c r="Q198" s="124">
        <f t="shared" si="72"/>
        <v>1</v>
      </c>
      <c r="R198" s="124">
        <f t="shared" si="73"/>
        <v>5053.8102398090577</v>
      </c>
      <c r="S198" s="124">
        <f t="shared" si="74"/>
        <v>2731.3995869036753</v>
      </c>
      <c r="T198" s="124">
        <f t="shared" si="75"/>
        <v>5744.6968278000932</v>
      </c>
      <c r="U198" s="124">
        <f t="shared" si="76"/>
        <v>1</v>
      </c>
      <c r="V198" s="124">
        <f t="shared" si="77"/>
        <v>0</v>
      </c>
      <c r="W198" s="124">
        <f t="shared" si="78"/>
        <v>1</v>
      </c>
      <c r="X198" s="124">
        <f t="shared" si="79"/>
        <v>1</v>
      </c>
      <c r="Y198" s="124">
        <f t="shared" si="80"/>
        <v>0</v>
      </c>
      <c r="Z198" s="124">
        <f t="shared" si="81"/>
        <v>1</v>
      </c>
      <c r="AA198" s="124">
        <f t="shared" si="58"/>
        <v>1.7311868213619496E-4</v>
      </c>
      <c r="AB198" s="124">
        <f t="shared" si="82"/>
        <v>0</v>
      </c>
      <c r="AC198" s="124">
        <f t="shared" si="83"/>
        <v>0</v>
      </c>
    </row>
    <row r="199" spans="2:29" s="114" customFormat="1">
      <c r="B199" s="115">
        <f t="shared" si="59"/>
        <v>-4.0600000000000627</v>
      </c>
      <c r="C199" s="124">
        <f t="shared" si="60"/>
        <v>8.7096358995595357E-5</v>
      </c>
      <c r="D199" s="124">
        <f t="shared" si="61"/>
        <v>1891911.8560210848</v>
      </c>
      <c r="E199" s="124">
        <f t="shared" si="62"/>
        <v>1</v>
      </c>
      <c r="F199" s="124">
        <f t="shared" si="63"/>
        <v>1</v>
      </c>
      <c r="G199" s="124">
        <f t="shared" si="64"/>
        <v>1901122.38147128</v>
      </c>
      <c r="H199" s="124">
        <f t="shared" si="65"/>
        <v>1</v>
      </c>
      <c r="I199" s="124">
        <f t="shared" si="66"/>
        <v>1</v>
      </c>
      <c r="J199" s="124">
        <f t="shared" si="67"/>
        <v>4.4486230657913687E-6</v>
      </c>
      <c r="K199" s="124">
        <f t="shared" si="68"/>
        <v>0</v>
      </c>
      <c r="L199" s="124">
        <f t="shared" si="69"/>
        <v>0</v>
      </c>
      <c r="M199" s="120"/>
      <c r="N199" s="132">
        <f t="shared" si="57"/>
        <v>5.4724256314996338E-4</v>
      </c>
      <c r="O199" s="124">
        <f t="shared" si="70"/>
        <v>6001.8457694650224</v>
      </c>
      <c r="P199" s="124">
        <f t="shared" si="71"/>
        <v>1</v>
      </c>
      <c r="Q199" s="124">
        <f t="shared" si="72"/>
        <v>1</v>
      </c>
      <c r="R199" s="124">
        <f t="shared" si="73"/>
        <v>5122.93799652302</v>
      </c>
      <c r="S199" s="124">
        <f t="shared" si="74"/>
        <v>2800.0083800805078</v>
      </c>
      <c r="T199" s="124">
        <f t="shared" si="75"/>
        <v>5838.1966945916074</v>
      </c>
      <c r="U199" s="124">
        <f t="shared" si="76"/>
        <v>1</v>
      </c>
      <c r="V199" s="124">
        <f t="shared" si="77"/>
        <v>0</v>
      </c>
      <c r="W199" s="124">
        <f t="shared" si="78"/>
        <v>1</v>
      </c>
      <c r="X199" s="124">
        <f t="shared" si="79"/>
        <v>1</v>
      </c>
      <c r="Y199" s="124">
        <f t="shared" si="80"/>
        <v>0</v>
      </c>
      <c r="Z199" s="124">
        <f t="shared" si="81"/>
        <v>1</v>
      </c>
      <c r="AA199" s="124">
        <f t="shared" si="58"/>
        <v>1.4414663843430144E-4</v>
      </c>
      <c r="AB199" s="124">
        <f t="shared" si="82"/>
        <v>0</v>
      </c>
      <c r="AC199" s="124">
        <f t="shared" si="83"/>
        <v>0</v>
      </c>
    </row>
    <row r="200" spans="2:29" s="114" customFormat="1">
      <c r="B200" s="115">
        <f t="shared" si="59"/>
        <v>-4.0400000000000631</v>
      </c>
      <c r="C200" s="124">
        <f t="shared" si="60"/>
        <v>9.1201083935577642E-5</v>
      </c>
      <c r="D200" s="124">
        <f t="shared" si="61"/>
        <v>1878955.5961767598</v>
      </c>
      <c r="E200" s="124">
        <f t="shared" si="62"/>
        <v>1</v>
      </c>
      <c r="F200" s="124">
        <f t="shared" si="63"/>
        <v>1</v>
      </c>
      <c r="G200" s="124">
        <f t="shared" si="64"/>
        <v>1887291.2649456838</v>
      </c>
      <c r="H200" s="124">
        <f t="shared" si="65"/>
        <v>1</v>
      </c>
      <c r="I200" s="124">
        <f t="shared" si="66"/>
        <v>1</v>
      </c>
      <c r="J200" s="124">
        <f t="shared" si="67"/>
        <v>3.6956715320646791E-6</v>
      </c>
      <c r="K200" s="124">
        <f t="shared" si="68"/>
        <v>0</v>
      </c>
      <c r="L200" s="124">
        <f t="shared" si="69"/>
        <v>0</v>
      </c>
      <c r="M200" s="120"/>
      <c r="N200" s="132">
        <f t="shared" si="57"/>
        <v>5.7303331058287368E-4</v>
      </c>
      <c r="O200" s="124">
        <f t="shared" si="70"/>
        <v>6083.9482517894648</v>
      </c>
      <c r="P200" s="124">
        <f t="shared" si="71"/>
        <v>1</v>
      </c>
      <c r="Q200" s="124">
        <f t="shared" si="72"/>
        <v>1</v>
      </c>
      <c r="R200" s="124">
        <f t="shared" si="73"/>
        <v>5195.1060042172658</v>
      </c>
      <c r="S200" s="124">
        <f t="shared" si="74"/>
        <v>2869.489583076816</v>
      </c>
      <c r="T200" s="124">
        <f t="shared" si="75"/>
        <v>5934.9049581640857</v>
      </c>
      <c r="U200" s="124">
        <f t="shared" si="76"/>
        <v>1</v>
      </c>
      <c r="V200" s="124">
        <f t="shared" si="77"/>
        <v>0</v>
      </c>
      <c r="W200" s="124">
        <f t="shared" si="78"/>
        <v>1</v>
      </c>
      <c r="X200" s="124">
        <f t="shared" si="79"/>
        <v>1</v>
      </c>
      <c r="Y200" s="124">
        <f t="shared" si="80"/>
        <v>0</v>
      </c>
      <c r="Z200" s="124">
        <f t="shared" si="81"/>
        <v>1</v>
      </c>
      <c r="AA200" s="124">
        <f t="shared" si="58"/>
        <v>1.1603044478580632E-4</v>
      </c>
      <c r="AB200" s="124">
        <f t="shared" si="82"/>
        <v>0</v>
      </c>
      <c r="AC200" s="124">
        <f t="shared" si="83"/>
        <v>0</v>
      </c>
    </row>
    <row r="201" spans="2:29" s="114" customFormat="1">
      <c r="B201" s="115">
        <f t="shared" si="59"/>
        <v>-4.0200000000000635</v>
      </c>
      <c r="C201" s="124">
        <f t="shared" si="60"/>
        <v>9.5499258602129621E-5</v>
      </c>
      <c r="D201" s="124">
        <f t="shared" si="61"/>
        <v>1865969.7598187414</v>
      </c>
      <c r="E201" s="124">
        <f t="shared" si="62"/>
        <v>1</v>
      </c>
      <c r="F201" s="124">
        <f t="shared" si="63"/>
        <v>1</v>
      </c>
      <c r="G201" s="124">
        <f t="shared" si="64"/>
        <v>1873302.9202091789</v>
      </c>
      <c r="H201" s="124">
        <f t="shared" si="65"/>
        <v>1</v>
      </c>
      <c r="I201" s="124">
        <f t="shared" si="66"/>
        <v>1</v>
      </c>
      <c r="J201" s="124">
        <f t="shared" si="67"/>
        <v>2.9016018696368246E-6</v>
      </c>
      <c r="K201" s="124">
        <f t="shared" si="68"/>
        <v>0</v>
      </c>
      <c r="L201" s="124">
        <f t="shared" si="69"/>
        <v>0</v>
      </c>
      <c r="M201" s="120"/>
      <c r="N201" s="132">
        <f t="shared" si="57"/>
        <v>6.0003953849544454E-4</v>
      </c>
      <c r="O201" s="124">
        <f t="shared" si="70"/>
        <v>6167.7486310174172</v>
      </c>
      <c r="P201" s="124">
        <f t="shared" si="71"/>
        <v>1</v>
      </c>
      <c r="Q201" s="124">
        <f t="shared" si="72"/>
        <v>1</v>
      </c>
      <c r="R201" s="124">
        <f t="shared" si="73"/>
        <v>5270.321631180208</v>
      </c>
      <c r="S201" s="124">
        <f t="shared" si="74"/>
        <v>2939.6375593293751</v>
      </c>
      <c r="T201" s="124">
        <f t="shared" si="75"/>
        <v>6034.7128412465472</v>
      </c>
      <c r="U201" s="124">
        <f t="shared" si="76"/>
        <v>1</v>
      </c>
      <c r="V201" s="124">
        <f t="shared" si="77"/>
        <v>0</v>
      </c>
      <c r="W201" s="124">
        <f t="shared" si="78"/>
        <v>1</v>
      </c>
      <c r="X201" s="124">
        <f t="shared" si="79"/>
        <v>1</v>
      </c>
      <c r="Y201" s="124">
        <f t="shared" si="80"/>
        <v>0</v>
      </c>
      <c r="Z201" s="124">
        <f t="shared" si="81"/>
        <v>1</v>
      </c>
      <c r="AA201" s="124">
        <f t="shared" si="58"/>
        <v>8.9681966737214245E-5</v>
      </c>
      <c r="AB201" s="124">
        <f t="shared" si="82"/>
        <v>0</v>
      </c>
      <c r="AC201" s="124">
        <f t="shared" si="83"/>
        <v>0</v>
      </c>
    </row>
    <row r="202" spans="2:29" s="114" customFormat="1">
      <c r="B202" s="115">
        <f t="shared" si="59"/>
        <v>-4.0000000000000639</v>
      </c>
      <c r="C202" s="124">
        <f t="shared" si="60"/>
        <v>9.9999999999985178E-5</v>
      </c>
      <c r="D202" s="124">
        <f t="shared" si="61"/>
        <v>1852955.3597012965</v>
      </c>
      <c r="E202" s="124">
        <f t="shared" si="62"/>
        <v>1</v>
      </c>
      <c r="F202" s="124">
        <f t="shared" si="63"/>
        <v>1</v>
      </c>
      <c r="G202" s="124">
        <f t="shared" si="64"/>
        <v>1859171.9972419983</v>
      </c>
      <c r="H202" s="124">
        <f t="shared" si="65"/>
        <v>1</v>
      </c>
      <c r="I202" s="124">
        <f t="shared" si="66"/>
        <v>1</v>
      </c>
      <c r="J202" s="124">
        <f t="shared" si="67"/>
        <v>2.1158982718623279E-6</v>
      </c>
      <c r="K202" s="124">
        <f t="shared" si="68"/>
        <v>0</v>
      </c>
      <c r="L202" s="124">
        <f t="shared" si="69"/>
        <v>0</v>
      </c>
      <c r="M202" s="120"/>
      <c r="N202" s="132">
        <f t="shared" si="57"/>
        <v>6.2831853071786549E-4</v>
      </c>
      <c r="O202" s="124">
        <f t="shared" si="70"/>
        <v>6253.286726610856</v>
      </c>
      <c r="P202" s="124">
        <f t="shared" si="71"/>
        <v>1</v>
      </c>
      <c r="Q202" s="124">
        <f t="shared" si="72"/>
        <v>1</v>
      </c>
      <c r="R202" s="124">
        <f t="shared" si="73"/>
        <v>5348.5607617196474</v>
      </c>
      <c r="S202" s="124">
        <f t="shared" si="74"/>
        <v>3010.2447184095386</v>
      </c>
      <c r="T202" s="124">
        <f t="shared" si="75"/>
        <v>6137.4812005023341</v>
      </c>
      <c r="U202" s="124">
        <f t="shared" si="76"/>
        <v>1</v>
      </c>
      <c r="V202" s="124">
        <f t="shared" si="77"/>
        <v>0</v>
      </c>
      <c r="W202" s="124">
        <f t="shared" si="78"/>
        <v>1</v>
      </c>
      <c r="X202" s="124">
        <f t="shared" si="79"/>
        <v>1</v>
      </c>
      <c r="Y202" s="124">
        <f t="shared" si="80"/>
        <v>0</v>
      </c>
      <c r="Z202" s="124">
        <f t="shared" si="81"/>
        <v>1</v>
      </c>
      <c r="AA202" s="124">
        <f t="shared" si="58"/>
        <v>6.5904645337242084E-5</v>
      </c>
      <c r="AB202" s="124">
        <f t="shared" si="82"/>
        <v>0</v>
      </c>
      <c r="AC202" s="124">
        <f t="shared" si="83"/>
        <v>0</v>
      </c>
    </row>
    <row r="203" spans="2:29" s="114" customFormat="1">
      <c r="B203" s="115">
        <f t="shared" si="59"/>
        <v>-3.9800000000000639</v>
      </c>
      <c r="C203" s="124">
        <f t="shared" si="60"/>
        <v>1.0471285480507442E-4</v>
      </c>
      <c r="D203" s="124">
        <f t="shared" si="61"/>
        <v>1839913.4237418543</v>
      </c>
      <c r="E203" s="124">
        <f t="shared" si="62"/>
        <v>1</v>
      </c>
      <c r="F203" s="124">
        <f t="shared" si="63"/>
        <v>1</v>
      </c>
      <c r="G203" s="124">
        <f t="shared" si="64"/>
        <v>1844914.7764671056</v>
      </c>
      <c r="H203" s="124">
        <f t="shared" si="65"/>
        <v>1</v>
      </c>
      <c r="I203" s="124">
        <f t="shared" si="66"/>
        <v>1</v>
      </c>
      <c r="J203" s="124">
        <f t="shared" si="67"/>
        <v>1.3898554295439328E-6</v>
      </c>
      <c r="K203" s="124">
        <f t="shared" si="68"/>
        <v>0</v>
      </c>
      <c r="L203" s="124">
        <f t="shared" si="69"/>
        <v>0</v>
      </c>
      <c r="M203" s="120"/>
      <c r="N203" s="132">
        <f t="shared" si="57"/>
        <v>6.5793027078407294E-4</v>
      </c>
      <c r="O203" s="124">
        <f t="shared" si="70"/>
        <v>6340.6033636050452</v>
      </c>
      <c r="P203" s="124">
        <f t="shared" si="71"/>
        <v>1</v>
      </c>
      <c r="Q203" s="124">
        <f t="shared" si="72"/>
        <v>1</v>
      </c>
      <c r="R203" s="124">
        <f t="shared" si="73"/>
        <v>5429.7663727523741</v>
      </c>
      <c r="S203" s="124">
        <f t="shared" si="74"/>
        <v>3081.1060341279745</v>
      </c>
      <c r="T203" s="124">
        <f t="shared" si="75"/>
        <v>6243.0423077384548</v>
      </c>
      <c r="U203" s="124">
        <f t="shared" si="76"/>
        <v>1</v>
      </c>
      <c r="V203" s="124">
        <f t="shared" si="77"/>
        <v>0</v>
      </c>
      <c r="W203" s="124">
        <f t="shared" si="78"/>
        <v>1</v>
      </c>
      <c r="X203" s="124">
        <f t="shared" si="79"/>
        <v>1</v>
      </c>
      <c r="Y203" s="124">
        <f t="shared" si="80"/>
        <v>0</v>
      </c>
      <c r="Z203" s="124">
        <f t="shared" si="81"/>
        <v>1</v>
      </c>
      <c r="AA203" s="124">
        <f t="shared" si="58"/>
        <v>4.5350913508571865E-5</v>
      </c>
      <c r="AB203" s="124">
        <f t="shared" si="82"/>
        <v>0</v>
      </c>
      <c r="AC203" s="124">
        <f t="shared" si="83"/>
        <v>0</v>
      </c>
    </row>
    <row r="204" spans="2:29" s="114" customFormat="1">
      <c r="B204" s="115">
        <f t="shared" si="59"/>
        <v>-3.9600000000000639</v>
      </c>
      <c r="C204" s="124">
        <f t="shared" si="60"/>
        <v>1.0964781961430221E-4</v>
      </c>
      <c r="D204" s="124">
        <f t="shared" si="61"/>
        <v>1826844.9948694713</v>
      </c>
      <c r="E204" s="124">
        <f t="shared" si="62"/>
        <v>1</v>
      </c>
      <c r="F204" s="124">
        <f t="shared" si="63"/>
        <v>1</v>
      </c>
      <c r="G204" s="124">
        <f t="shared" si="64"/>
        <v>1830548.9661334581</v>
      </c>
      <c r="H204" s="124">
        <f t="shared" si="65"/>
        <v>1</v>
      </c>
      <c r="I204" s="124">
        <f t="shared" si="66"/>
        <v>1</v>
      </c>
      <c r="J204" s="124">
        <f t="shared" si="67"/>
        <v>7.7378559648746879E-7</v>
      </c>
      <c r="K204" s="124">
        <f t="shared" si="68"/>
        <v>0</v>
      </c>
      <c r="L204" s="124">
        <f t="shared" si="69"/>
        <v>0</v>
      </c>
      <c r="M204" s="120"/>
      <c r="N204" s="132">
        <f t="shared" si="57"/>
        <v>6.8893756916486133E-4</v>
      </c>
      <c r="O204" s="124">
        <f t="shared" si="70"/>
        <v>6429.7403985391738</v>
      </c>
      <c r="P204" s="124">
        <f t="shared" si="71"/>
        <v>1</v>
      </c>
      <c r="Q204" s="124">
        <f t="shared" si="72"/>
        <v>1</v>
      </c>
      <c r="R204" s="124">
        <f t="shared" si="73"/>
        <v>5513.8477744297334</v>
      </c>
      <c r="S204" s="124">
        <f t="shared" si="74"/>
        <v>3152.0239912873299</v>
      </c>
      <c r="T204" s="124">
        <f t="shared" si="75"/>
        <v>6351.2024468784357</v>
      </c>
      <c r="U204" s="124">
        <f t="shared" si="76"/>
        <v>1</v>
      </c>
      <c r="V204" s="124">
        <f t="shared" si="77"/>
        <v>0</v>
      </c>
      <c r="W204" s="124">
        <f t="shared" si="78"/>
        <v>1</v>
      </c>
      <c r="X204" s="124">
        <f t="shared" si="79"/>
        <v>1</v>
      </c>
      <c r="Y204" s="124">
        <f t="shared" si="80"/>
        <v>0</v>
      </c>
      <c r="Z204" s="124">
        <f t="shared" si="81"/>
        <v>1</v>
      </c>
      <c r="AA204" s="124">
        <f t="shared" si="58"/>
        <v>2.8488717709615333E-5</v>
      </c>
      <c r="AB204" s="124">
        <f t="shared" si="82"/>
        <v>0</v>
      </c>
      <c r="AC204" s="124">
        <f t="shared" si="83"/>
        <v>0</v>
      </c>
    </row>
    <row r="205" spans="2:29" s="114" customFormat="1">
      <c r="B205" s="115">
        <f t="shared" si="59"/>
        <v>-3.9400000000000639</v>
      </c>
      <c r="C205" s="124">
        <f t="shared" si="60"/>
        <v>1.1481536214967139E-4</v>
      </c>
      <c r="D205" s="124">
        <f t="shared" si="61"/>
        <v>1813751.1308634121</v>
      </c>
      <c r="E205" s="124">
        <f t="shared" si="62"/>
        <v>1</v>
      </c>
      <c r="F205" s="124">
        <f t="shared" si="63"/>
        <v>1</v>
      </c>
      <c r="G205" s="124">
        <f t="shared" si="64"/>
        <v>1816093.4930222731</v>
      </c>
      <c r="H205" s="124">
        <f t="shared" si="65"/>
        <v>1</v>
      </c>
      <c r="I205" s="124">
        <f t="shared" si="66"/>
        <v>1</v>
      </c>
      <c r="J205" s="124">
        <f t="shared" si="67"/>
        <v>3.1416713418272692E-7</v>
      </c>
      <c r="K205" s="124">
        <f t="shared" si="68"/>
        <v>0</v>
      </c>
      <c r="L205" s="124">
        <f t="shared" si="69"/>
        <v>0</v>
      </c>
      <c r="M205" s="120"/>
      <c r="N205" s="132">
        <f t="shared" si="57"/>
        <v>7.2140619649731848E-4</v>
      </c>
      <c r="O205" s="124">
        <f t="shared" si="70"/>
        <v>6520.740746027328</v>
      </c>
      <c r="P205" s="124">
        <f t="shared" si="71"/>
        <v>1</v>
      </c>
      <c r="Q205" s="124">
        <f t="shared" si="72"/>
        <v>1</v>
      </c>
      <c r="R205" s="124">
        <f t="shared" si="73"/>
        <v>5600.680629578992</v>
      </c>
      <c r="S205" s="124">
        <f t="shared" si="74"/>
        <v>3222.8138545881761</v>
      </c>
      <c r="T205" s="124">
        <f t="shared" si="75"/>
        <v>6461.7453258285277</v>
      </c>
      <c r="U205" s="124">
        <f t="shared" si="76"/>
        <v>1</v>
      </c>
      <c r="V205" s="124">
        <f t="shared" si="77"/>
        <v>0</v>
      </c>
      <c r="W205" s="124">
        <f t="shared" si="78"/>
        <v>1</v>
      </c>
      <c r="X205" s="124">
        <f t="shared" si="79"/>
        <v>1</v>
      </c>
      <c r="Y205" s="124">
        <f t="shared" si="80"/>
        <v>0</v>
      </c>
      <c r="Z205" s="124">
        <f t="shared" si="81"/>
        <v>1</v>
      </c>
      <c r="AA205" s="124">
        <f t="shared" si="58"/>
        <v>1.5579569740756924E-5</v>
      </c>
      <c r="AB205" s="124">
        <f t="shared" si="82"/>
        <v>0</v>
      </c>
      <c r="AC205" s="124">
        <f t="shared" si="83"/>
        <v>0</v>
      </c>
    </row>
    <row r="206" spans="2:29" s="114" customFormat="1">
      <c r="B206" s="115">
        <f t="shared" si="59"/>
        <v>-3.9200000000000639</v>
      </c>
      <c r="C206" s="124">
        <f t="shared" si="60"/>
        <v>1.2022644346172358E-4</v>
      </c>
      <c r="D206" s="124">
        <f t="shared" si="61"/>
        <v>1800632.9041816415</v>
      </c>
      <c r="E206" s="124">
        <f t="shared" si="62"/>
        <v>1</v>
      </c>
      <c r="F206" s="124">
        <f t="shared" si="63"/>
        <v>1</v>
      </c>
      <c r="G206" s="124">
        <f t="shared" si="64"/>
        <v>1801568.287165056</v>
      </c>
      <c r="H206" s="124">
        <f t="shared" si="65"/>
        <v>1</v>
      </c>
      <c r="I206" s="124">
        <f t="shared" si="66"/>
        <v>1</v>
      </c>
      <c r="J206" s="124">
        <f t="shared" si="67"/>
        <v>5.0871158992909289E-8</v>
      </c>
      <c r="K206" s="124">
        <f t="shared" si="68"/>
        <v>0</v>
      </c>
      <c r="L206" s="124">
        <f t="shared" si="69"/>
        <v>0</v>
      </c>
      <c r="M206" s="120"/>
      <c r="N206" s="132">
        <f t="shared" si="57"/>
        <v>7.554050230931589E-4</v>
      </c>
      <c r="O206" s="124">
        <f t="shared" si="70"/>
        <v>6613.6484059832774</v>
      </c>
      <c r="P206" s="124">
        <f t="shared" si="71"/>
        <v>1</v>
      </c>
      <c r="Q206" s="124">
        <f t="shared" si="72"/>
        <v>1</v>
      </c>
      <c r="R206" s="124">
        <f t="shared" si="73"/>
        <v>5690.1078477238862</v>
      </c>
      <c r="S206" s="124">
        <f t="shared" si="74"/>
        <v>3293.309122281466</v>
      </c>
      <c r="T206" s="124">
        <f t="shared" si="75"/>
        <v>6574.4362719271439</v>
      </c>
      <c r="U206" s="124">
        <f t="shared" si="76"/>
        <v>1</v>
      </c>
      <c r="V206" s="124">
        <f t="shared" si="77"/>
        <v>0</v>
      </c>
      <c r="W206" s="124">
        <f t="shared" si="78"/>
        <v>1</v>
      </c>
      <c r="X206" s="124">
        <f t="shared" si="79"/>
        <v>1</v>
      </c>
      <c r="Y206" s="124">
        <f t="shared" si="80"/>
        <v>0</v>
      </c>
      <c r="Z206" s="124">
        <f t="shared" si="81"/>
        <v>1</v>
      </c>
      <c r="AA206" s="124">
        <f t="shared" si="58"/>
        <v>6.6697365045157111E-6</v>
      </c>
      <c r="AB206" s="124">
        <f t="shared" si="82"/>
        <v>0</v>
      </c>
      <c r="AC206" s="124">
        <f t="shared" si="83"/>
        <v>0</v>
      </c>
    </row>
    <row r="207" spans="2:29" s="114" customFormat="1">
      <c r="B207" s="115">
        <f t="shared" si="59"/>
        <v>-3.9000000000000639</v>
      </c>
      <c r="C207" s="124">
        <f t="shared" si="60"/>
        <v>1.2589254117939815E-4</v>
      </c>
      <c r="D207" s="124">
        <f t="shared" si="61"/>
        <v>1787491.4017791324</v>
      </c>
      <c r="E207" s="124">
        <f t="shared" si="62"/>
        <v>1</v>
      </c>
      <c r="F207" s="124">
        <f t="shared" si="63"/>
        <v>1</v>
      </c>
      <c r="G207" s="124">
        <f t="shared" si="64"/>
        <v>1786994.060423539</v>
      </c>
      <c r="H207" s="124">
        <f t="shared" si="65"/>
        <v>1</v>
      </c>
      <c r="I207" s="124">
        <f t="shared" si="66"/>
        <v>1</v>
      </c>
      <c r="J207" s="124">
        <f t="shared" si="67"/>
        <v>1.4605307226280912E-8</v>
      </c>
      <c r="K207" s="124">
        <f t="shared" si="68"/>
        <v>0</v>
      </c>
      <c r="L207" s="124">
        <f t="shared" si="69"/>
        <v>0</v>
      </c>
      <c r="M207" s="120"/>
      <c r="N207" s="132">
        <f t="shared" si="57"/>
        <v>7.9100616502189548E-4</v>
      </c>
      <c r="O207" s="124">
        <f t="shared" si="70"/>
        <v>6708.5084915124189</v>
      </c>
      <c r="P207" s="124">
        <f t="shared" si="71"/>
        <v>1</v>
      </c>
      <c r="Q207" s="124">
        <f t="shared" si="72"/>
        <v>1</v>
      </c>
      <c r="R207" s="124">
        <f t="shared" si="73"/>
        <v>5781.9414216931546</v>
      </c>
      <c r="S207" s="124">
        <f t="shared" si="74"/>
        <v>3363.3670000133393</v>
      </c>
      <c r="T207" s="124">
        <f t="shared" si="75"/>
        <v>6689.0271475506652</v>
      </c>
      <c r="U207" s="124">
        <f t="shared" si="76"/>
        <v>1</v>
      </c>
      <c r="V207" s="124">
        <f t="shared" si="77"/>
        <v>0</v>
      </c>
      <c r="W207" s="124">
        <f t="shared" si="78"/>
        <v>1</v>
      </c>
      <c r="X207" s="124">
        <f t="shared" si="79"/>
        <v>1</v>
      </c>
      <c r="Y207" s="124">
        <f t="shared" si="80"/>
        <v>0</v>
      </c>
      <c r="Z207" s="124">
        <f t="shared" si="81"/>
        <v>1</v>
      </c>
      <c r="AA207" s="124">
        <f t="shared" si="58"/>
        <v>1.5952076097637727E-6</v>
      </c>
      <c r="AB207" s="124">
        <f t="shared" si="82"/>
        <v>0</v>
      </c>
      <c r="AC207" s="124">
        <f t="shared" si="83"/>
        <v>0</v>
      </c>
    </row>
    <row r="208" spans="2:29" s="114" customFormat="1">
      <c r="B208" s="115">
        <f t="shared" si="59"/>
        <v>-3.8800000000000638</v>
      </c>
      <c r="C208" s="124">
        <f t="shared" si="60"/>
        <v>1.3182567385562125E-4</v>
      </c>
      <c r="D208" s="124">
        <f t="shared" si="61"/>
        <v>1774327.7249160169</v>
      </c>
      <c r="E208" s="124">
        <f t="shared" si="62"/>
        <v>1</v>
      </c>
      <c r="F208" s="124">
        <f t="shared" si="63"/>
        <v>1</v>
      </c>
      <c r="G208" s="124">
        <f t="shared" si="64"/>
        <v>1772392.0782291759</v>
      </c>
      <c r="H208" s="124">
        <f t="shared" si="65"/>
        <v>1</v>
      </c>
      <c r="I208" s="124">
        <f t="shared" si="66"/>
        <v>1</v>
      </c>
      <c r="J208" s="124">
        <f t="shared" si="67"/>
        <v>2.247124410854405E-7</v>
      </c>
      <c r="K208" s="124">
        <f t="shared" si="68"/>
        <v>0</v>
      </c>
      <c r="L208" s="124">
        <f t="shared" si="69"/>
        <v>0</v>
      </c>
      <c r="M208" s="120"/>
      <c r="N208" s="132">
        <f t="shared" si="57"/>
        <v>8.282851370786876E-4</v>
      </c>
      <c r="O208" s="124">
        <f t="shared" si="70"/>
        <v>6805.3672574847915</v>
      </c>
      <c r="P208" s="124">
        <f t="shared" si="71"/>
        <v>1</v>
      </c>
      <c r="Q208" s="124">
        <f t="shared" si="72"/>
        <v>1</v>
      </c>
      <c r="R208" s="124">
        <f t="shared" si="73"/>
        <v>5875.9652391405143</v>
      </c>
      <c r="S208" s="124">
        <f t="shared" si="74"/>
        <v>3432.8737095729712</v>
      </c>
      <c r="T208" s="124">
        <f t="shared" si="75"/>
        <v>6805.2618904392602</v>
      </c>
      <c r="U208" s="124">
        <f t="shared" si="76"/>
        <v>1</v>
      </c>
      <c r="V208" s="124">
        <f t="shared" si="77"/>
        <v>0</v>
      </c>
      <c r="W208" s="124">
        <f t="shared" si="78"/>
        <v>1</v>
      </c>
      <c r="X208" s="124">
        <f t="shared" si="79"/>
        <v>1</v>
      </c>
      <c r="Y208" s="124">
        <f t="shared" si="80"/>
        <v>0</v>
      </c>
      <c r="Z208" s="124">
        <f t="shared" si="81"/>
        <v>1</v>
      </c>
      <c r="AA208" s="124">
        <f t="shared" si="58"/>
        <v>4.5214925302101072E-11</v>
      </c>
      <c r="AB208" s="124">
        <f t="shared" si="82"/>
        <v>0</v>
      </c>
      <c r="AC208" s="124">
        <f t="shared" si="83"/>
        <v>0</v>
      </c>
    </row>
    <row r="209" spans="2:29" s="114" customFormat="1">
      <c r="B209" s="115">
        <f t="shared" si="59"/>
        <v>-3.8600000000000638</v>
      </c>
      <c r="C209" s="124">
        <f t="shared" si="60"/>
        <v>1.3803842646026805E-4</v>
      </c>
      <c r="D209" s="124">
        <f t="shared" si="61"/>
        <v>1761142.9889553676</v>
      </c>
      <c r="E209" s="124">
        <f t="shared" si="62"/>
        <v>1</v>
      </c>
      <c r="F209" s="124">
        <f t="shared" si="63"/>
        <v>1</v>
      </c>
      <c r="G209" s="124">
        <f t="shared" si="64"/>
        <v>1757783.9235499322</v>
      </c>
      <c r="H209" s="124">
        <f t="shared" si="65"/>
        <v>1</v>
      </c>
      <c r="I209" s="124">
        <f t="shared" si="66"/>
        <v>1</v>
      </c>
      <c r="J209" s="124">
        <f t="shared" si="67"/>
        <v>6.8745662998565634E-7</v>
      </c>
      <c r="K209" s="124">
        <f t="shared" si="68"/>
        <v>0</v>
      </c>
      <c r="L209" s="124">
        <f t="shared" si="69"/>
        <v>0</v>
      </c>
      <c r="M209" s="120"/>
      <c r="N209" s="132">
        <f t="shared" si="57"/>
        <v>8.6732101296134608E-4</v>
      </c>
      <c r="O209" s="124">
        <f t="shared" si="70"/>
        <v>6904.2721298027554</v>
      </c>
      <c r="P209" s="124">
        <f t="shared" si="71"/>
        <v>1</v>
      </c>
      <c r="Q209" s="124">
        <f t="shared" si="72"/>
        <v>1</v>
      </c>
      <c r="R209" s="124">
        <f t="shared" si="73"/>
        <v>5971.938859359434</v>
      </c>
      <c r="S209" s="124">
        <f t="shared" si="74"/>
        <v>3501.7494353949355</v>
      </c>
      <c r="T209" s="124">
        <f t="shared" si="75"/>
        <v>6922.8825534033149</v>
      </c>
      <c r="U209" s="124">
        <f t="shared" si="76"/>
        <v>1</v>
      </c>
      <c r="V209" s="124">
        <f t="shared" si="77"/>
        <v>0</v>
      </c>
      <c r="W209" s="124">
        <f t="shared" si="78"/>
        <v>1</v>
      </c>
      <c r="X209" s="124">
        <f t="shared" si="79"/>
        <v>1</v>
      </c>
      <c r="Y209" s="124">
        <f t="shared" si="80"/>
        <v>0</v>
      </c>
      <c r="Z209" s="124">
        <f t="shared" si="81"/>
        <v>1</v>
      </c>
      <c r="AA209" s="124">
        <f t="shared" si="58"/>
        <v>1.3667088689832138E-6</v>
      </c>
      <c r="AB209" s="124">
        <f t="shared" si="82"/>
        <v>0</v>
      </c>
      <c r="AC209" s="124">
        <f t="shared" si="83"/>
        <v>0</v>
      </c>
    </row>
    <row r="210" spans="2:29" s="114" customFormat="1">
      <c r="B210" s="115">
        <f t="shared" si="59"/>
        <v>-3.8400000000000638</v>
      </c>
      <c r="C210" s="124">
        <f t="shared" si="60"/>
        <v>1.4454397707457136E-4</v>
      </c>
      <c r="D210" s="124">
        <f t="shared" si="61"/>
        <v>1747938.3231506462</v>
      </c>
      <c r="E210" s="124">
        <f t="shared" si="62"/>
        <v>1</v>
      </c>
      <c r="F210" s="124">
        <f t="shared" si="63"/>
        <v>1</v>
      </c>
      <c r="G210" s="124">
        <f t="shared" si="64"/>
        <v>1743191.2522469254</v>
      </c>
      <c r="H210" s="124">
        <f t="shared" si="65"/>
        <v>1</v>
      </c>
      <c r="I210" s="124">
        <f t="shared" si="66"/>
        <v>1</v>
      </c>
      <c r="J210" s="124">
        <f t="shared" si="67"/>
        <v>1.3949179082127371E-6</v>
      </c>
      <c r="K210" s="124">
        <f t="shared" si="68"/>
        <v>0</v>
      </c>
      <c r="L210" s="124">
        <f t="shared" si="69"/>
        <v>0</v>
      </c>
      <c r="M210" s="120"/>
      <c r="N210" s="132">
        <f t="shared" si="57"/>
        <v>9.0819659299624976E-4</v>
      </c>
      <c r="O210" s="124">
        <f t="shared" si="70"/>
        <v>7005.2717353772669</v>
      </c>
      <c r="P210" s="124">
        <f t="shared" si="71"/>
        <v>1</v>
      </c>
      <c r="Q210" s="124">
        <f t="shared" si="72"/>
        <v>1</v>
      </c>
      <c r="R210" s="124">
        <f t="shared" si="73"/>
        <v>6069.6022000784233</v>
      </c>
      <c r="S210" s="124">
        <f t="shared" si="74"/>
        <v>3569.9527106543751</v>
      </c>
      <c r="T210" s="124">
        <f t="shared" si="75"/>
        <v>7041.6356923306785</v>
      </c>
      <c r="U210" s="124">
        <f t="shared" si="76"/>
        <v>1</v>
      </c>
      <c r="V210" s="124">
        <f t="shared" si="77"/>
        <v>0</v>
      </c>
      <c r="W210" s="124">
        <f t="shared" si="78"/>
        <v>1</v>
      </c>
      <c r="X210" s="124">
        <f t="shared" si="79"/>
        <v>1</v>
      </c>
      <c r="Y210" s="124">
        <f t="shared" si="80"/>
        <v>0</v>
      </c>
      <c r="Z210" s="124">
        <f t="shared" si="81"/>
        <v>1</v>
      </c>
      <c r="AA210" s="124">
        <f t="shared" si="58"/>
        <v>5.0560502732679835E-6</v>
      </c>
      <c r="AB210" s="124">
        <f t="shared" si="82"/>
        <v>0</v>
      </c>
      <c r="AC210" s="124">
        <f t="shared" si="83"/>
        <v>0</v>
      </c>
    </row>
    <row r="211" spans="2:29" s="114" customFormat="1">
      <c r="B211" s="115">
        <f t="shared" si="59"/>
        <v>-3.8200000000000638</v>
      </c>
      <c r="C211" s="124">
        <f t="shared" si="60"/>
        <v>1.5135612484359838E-4</v>
      </c>
      <c r="D211" s="124">
        <f t="shared" si="61"/>
        <v>1734714.8704227314</v>
      </c>
      <c r="E211" s="124">
        <f t="shared" si="62"/>
        <v>1</v>
      </c>
      <c r="F211" s="124">
        <f t="shared" si="63"/>
        <v>1</v>
      </c>
      <c r="G211" s="124">
        <f t="shared" si="64"/>
        <v>1728635.5393747902</v>
      </c>
      <c r="H211" s="124">
        <f t="shared" si="65"/>
        <v>1</v>
      </c>
      <c r="I211" s="124">
        <f t="shared" si="66"/>
        <v>1</v>
      </c>
      <c r="J211" s="124">
        <f t="shared" si="67"/>
        <v>2.3245999516639536E-6</v>
      </c>
      <c r="K211" s="124">
        <f t="shared" si="68"/>
        <v>0</v>
      </c>
      <c r="L211" s="124">
        <f t="shared" si="69"/>
        <v>0</v>
      </c>
      <c r="M211" s="120"/>
      <c r="N211" s="132">
        <f t="shared" si="57"/>
        <v>9.5099857976893652E-4</v>
      </c>
      <c r="O211" s="124">
        <f t="shared" si="70"/>
        <v>7108.4159328267724</v>
      </c>
      <c r="P211" s="124">
        <f t="shared" si="71"/>
        <v>1</v>
      </c>
      <c r="Q211" s="124">
        <f t="shared" si="72"/>
        <v>1</v>
      </c>
      <c r="R211" s="124">
        <f t="shared" si="73"/>
        <v>6168.681032622032</v>
      </c>
      <c r="S211" s="124">
        <f t="shared" si="74"/>
        <v>3637.4840558104174</v>
      </c>
      <c r="T211" s="124">
        <f t="shared" si="75"/>
        <v>7161.2789317625266</v>
      </c>
      <c r="U211" s="124">
        <f t="shared" si="76"/>
        <v>1</v>
      </c>
      <c r="V211" s="124">
        <f t="shared" si="77"/>
        <v>0</v>
      </c>
      <c r="W211" s="124">
        <f t="shared" si="78"/>
        <v>1</v>
      </c>
      <c r="X211" s="124">
        <f t="shared" si="79"/>
        <v>1</v>
      </c>
      <c r="Y211" s="124">
        <f t="shared" si="80"/>
        <v>0</v>
      </c>
      <c r="Z211" s="124">
        <f t="shared" si="81"/>
        <v>1</v>
      </c>
      <c r="AA211" s="124">
        <f t="shared" si="58"/>
        <v>1.0353967769294412E-5</v>
      </c>
      <c r="AB211" s="124">
        <f t="shared" si="82"/>
        <v>0</v>
      </c>
      <c r="AC211" s="124">
        <f t="shared" si="83"/>
        <v>0</v>
      </c>
    </row>
    <row r="212" spans="2:29" s="114" customFormat="1">
      <c r="B212" s="115">
        <f t="shared" si="59"/>
        <v>-3.8000000000000638</v>
      </c>
      <c r="C212" s="124">
        <f t="shared" si="60"/>
        <v>1.5848931924608784E-4</v>
      </c>
      <c r="D212" s="124">
        <f t="shared" si="61"/>
        <v>1721473.7871264427</v>
      </c>
      <c r="E212" s="124">
        <f t="shared" si="62"/>
        <v>1</v>
      </c>
      <c r="F212" s="124">
        <f t="shared" si="63"/>
        <v>1</v>
      </c>
      <c r="G212" s="124">
        <f t="shared" si="64"/>
        <v>1714137.816617091</v>
      </c>
      <c r="H212" s="124">
        <f t="shared" si="65"/>
        <v>1</v>
      </c>
      <c r="I212" s="124">
        <f t="shared" si="66"/>
        <v>1</v>
      </c>
      <c r="J212" s="124">
        <f t="shared" si="67"/>
        <v>3.4398298891226588E-6</v>
      </c>
      <c r="K212" s="124">
        <f t="shared" si="68"/>
        <v>0</v>
      </c>
      <c r="L212" s="124">
        <f t="shared" si="69"/>
        <v>0</v>
      </c>
      <c r="M212" s="120"/>
      <c r="N212" s="132">
        <f t="shared" si="57"/>
        <v>9.9581776203191389E-4</v>
      </c>
      <c r="O212" s="124">
        <f t="shared" si="70"/>
        <v>7213.7558439127997</v>
      </c>
      <c r="P212" s="124">
        <f t="shared" si="71"/>
        <v>1</v>
      </c>
      <c r="Q212" s="124">
        <f t="shared" si="72"/>
        <v>1</v>
      </c>
      <c r="R212" s="124">
        <f t="shared" si="73"/>
        <v>6268.8931404564737</v>
      </c>
      <c r="S212" s="124">
        <f t="shared" si="74"/>
        <v>3704.3887056655208</v>
      </c>
      <c r="T212" s="124">
        <f t="shared" si="75"/>
        <v>7281.5875253357008</v>
      </c>
      <c r="U212" s="124">
        <f t="shared" si="76"/>
        <v>1</v>
      </c>
      <c r="V212" s="124">
        <f t="shared" si="77"/>
        <v>0</v>
      </c>
      <c r="W212" s="124">
        <f t="shared" si="78"/>
        <v>1</v>
      </c>
      <c r="X212" s="124">
        <f t="shared" si="79"/>
        <v>1</v>
      </c>
      <c r="Y212" s="124">
        <f t="shared" si="80"/>
        <v>0</v>
      </c>
      <c r="Z212" s="124">
        <f t="shared" si="81"/>
        <v>1</v>
      </c>
      <c r="AA212" s="124">
        <f t="shared" si="58"/>
        <v>1.6521257658013581E-5</v>
      </c>
      <c r="AB212" s="124">
        <f t="shared" si="82"/>
        <v>0</v>
      </c>
      <c r="AC212" s="124">
        <f t="shared" si="83"/>
        <v>0</v>
      </c>
    </row>
    <row r="213" spans="2:29" s="114" customFormat="1">
      <c r="B213" s="115">
        <f t="shared" si="59"/>
        <v>-3.7800000000000638</v>
      </c>
      <c r="C213" s="124">
        <f t="shared" si="60"/>
        <v>1.6595869074373168E-4</v>
      </c>
      <c r="D213" s="124">
        <f t="shared" si="61"/>
        <v>1708216.2428065911</v>
      </c>
      <c r="E213" s="124">
        <f t="shared" si="62"/>
        <v>1</v>
      </c>
      <c r="F213" s="124">
        <f t="shared" si="63"/>
        <v>1</v>
      </c>
      <c r="G213" s="124">
        <f t="shared" si="64"/>
        <v>1699718.4018675748</v>
      </c>
      <c r="H213" s="124">
        <f t="shared" si="65"/>
        <v>1</v>
      </c>
      <c r="I213" s="124">
        <f t="shared" si="66"/>
        <v>1</v>
      </c>
      <c r="J213" s="124">
        <f t="shared" si="67"/>
        <v>4.6909963460879446E-6</v>
      </c>
      <c r="K213" s="124">
        <f t="shared" si="68"/>
        <v>0</v>
      </c>
      <c r="L213" s="124">
        <f t="shared" si="69"/>
        <v>0</v>
      </c>
      <c r="M213" s="120"/>
      <c r="N213" s="132">
        <f t="shared" si="57"/>
        <v>1.0427492072797757E-3</v>
      </c>
      <c r="O213" s="124">
        <f t="shared" si="70"/>
        <v>7321.3438857264318</v>
      </c>
      <c r="P213" s="124">
        <f t="shared" si="71"/>
        <v>1</v>
      </c>
      <c r="Q213" s="124">
        <f t="shared" si="72"/>
        <v>1</v>
      </c>
      <c r="R213" s="124">
        <f t="shared" si="73"/>
        <v>6369.9549592625981</v>
      </c>
      <c r="S213" s="124">
        <f t="shared" si="74"/>
        <v>3770.7582954378026</v>
      </c>
      <c r="T213" s="124">
        <f t="shared" si="75"/>
        <v>7402.3607251772846</v>
      </c>
      <c r="U213" s="124">
        <f t="shared" si="76"/>
        <v>1</v>
      </c>
      <c r="V213" s="124">
        <f t="shared" si="77"/>
        <v>0</v>
      </c>
      <c r="W213" s="124">
        <f t="shared" si="78"/>
        <v>1</v>
      </c>
      <c r="X213" s="124">
        <f t="shared" si="79"/>
        <v>1</v>
      </c>
      <c r="Y213" s="124">
        <f t="shared" si="80"/>
        <v>0</v>
      </c>
      <c r="Z213" s="124">
        <f t="shared" si="81"/>
        <v>1</v>
      </c>
      <c r="AA213" s="124">
        <f t="shared" si="58"/>
        <v>2.2843033783494971E-5</v>
      </c>
      <c r="AB213" s="124">
        <f t="shared" si="82"/>
        <v>0</v>
      </c>
      <c r="AC213" s="124">
        <f t="shared" si="83"/>
        <v>0</v>
      </c>
    </row>
    <row r="214" spans="2:29" s="114" customFormat="1">
      <c r="B214" s="115">
        <f t="shared" si="59"/>
        <v>-3.7600000000000637</v>
      </c>
      <c r="C214" s="124">
        <f t="shared" si="60"/>
        <v>1.7378008287491199E-4</v>
      </c>
      <c r="D214" s="124">
        <f t="shared" si="61"/>
        <v>1694943.4199434421</v>
      </c>
      <c r="E214" s="124">
        <f t="shared" si="62"/>
        <v>1</v>
      </c>
      <c r="F214" s="124">
        <f t="shared" si="63"/>
        <v>1</v>
      </c>
      <c r="G214" s="124">
        <f t="shared" si="64"/>
        <v>1685396.6229004825</v>
      </c>
      <c r="H214" s="124">
        <f t="shared" si="65"/>
        <v>1</v>
      </c>
      <c r="I214" s="124">
        <f t="shared" si="66"/>
        <v>1</v>
      </c>
      <c r="J214" s="124">
        <f t="shared" si="67"/>
        <v>6.017630580535015E-6</v>
      </c>
      <c r="K214" s="124">
        <f t="shared" si="68"/>
        <v>0</v>
      </c>
      <c r="L214" s="124">
        <f t="shared" si="69"/>
        <v>0</v>
      </c>
      <c r="M214" s="120"/>
      <c r="N214" s="132">
        <f t="shared" si="57"/>
        <v>1.0918924634000979E-3</v>
      </c>
      <c r="O214" s="124">
        <f t="shared" si="70"/>
        <v>7431.2338036398032</v>
      </c>
      <c r="P214" s="124">
        <f t="shared" si="71"/>
        <v>1</v>
      </c>
      <c r="Q214" s="124">
        <f t="shared" si="72"/>
        <v>1</v>
      </c>
      <c r="R214" s="124">
        <f t="shared" si="73"/>
        <v>6471.5884894683277</v>
      </c>
      <c r="S214" s="124">
        <f t="shared" si="74"/>
        <v>3836.7314198832228</v>
      </c>
      <c r="T214" s="124">
        <f t="shared" si="75"/>
        <v>7523.4277802965635</v>
      </c>
      <c r="U214" s="124">
        <f t="shared" si="76"/>
        <v>1</v>
      </c>
      <c r="V214" s="124">
        <f t="shared" si="77"/>
        <v>0</v>
      </c>
      <c r="W214" s="124">
        <f t="shared" si="78"/>
        <v>1</v>
      </c>
      <c r="X214" s="124">
        <f t="shared" si="79"/>
        <v>1</v>
      </c>
      <c r="Y214" s="124">
        <f t="shared" si="80"/>
        <v>0</v>
      </c>
      <c r="Z214" s="124">
        <f t="shared" si="81"/>
        <v>1</v>
      </c>
      <c r="AA214" s="124">
        <f t="shared" si="58"/>
        <v>2.8674214839377869E-5</v>
      </c>
      <c r="AB214" s="124">
        <f t="shared" si="82"/>
        <v>0</v>
      </c>
      <c r="AC214" s="124">
        <f t="shared" si="83"/>
        <v>0</v>
      </c>
    </row>
    <row r="215" spans="2:29" s="114" customFormat="1">
      <c r="B215" s="115">
        <f t="shared" si="59"/>
        <v>-3.7400000000000637</v>
      </c>
      <c r="C215" s="124">
        <f t="shared" si="60"/>
        <v>1.8197008586097157E-4</v>
      </c>
      <c r="D215" s="124">
        <f t="shared" si="61"/>
        <v>1681656.5136876281</v>
      </c>
      <c r="E215" s="124">
        <f t="shared" si="62"/>
        <v>1</v>
      </c>
      <c r="F215" s="124">
        <f t="shared" si="63"/>
        <v>1</v>
      </c>
      <c r="G215" s="124">
        <f t="shared" si="64"/>
        <v>1671190.5380513156</v>
      </c>
      <c r="H215" s="124">
        <f t="shared" si="65"/>
        <v>1</v>
      </c>
      <c r="I215" s="124">
        <f t="shared" si="66"/>
        <v>1</v>
      </c>
      <c r="J215" s="124">
        <f t="shared" si="67"/>
        <v>7.351287180542339E-6</v>
      </c>
      <c r="K215" s="124">
        <f t="shared" si="68"/>
        <v>0</v>
      </c>
      <c r="L215" s="124">
        <f t="shared" si="69"/>
        <v>0</v>
      </c>
      <c r="M215" s="120"/>
      <c r="N215" s="132">
        <f t="shared" si="57"/>
        <v>1.1433517698278643E-3</v>
      </c>
      <c r="O215" s="124">
        <f t="shared" si="70"/>
        <v>7543.4807050372701</v>
      </c>
      <c r="P215" s="124">
        <f t="shared" si="71"/>
        <v>1</v>
      </c>
      <c r="Q215" s="124">
        <f t="shared" si="72"/>
        <v>1</v>
      </c>
      <c r="R215" s="124">
        <f t="shared" si="73"/>
        <v>6573.5282570370318</v>
      </c>
      <c r="S215" s="124">
        <f t="shared" si="74"/>
        <v>3902.4930290873308</v>
      </c>
      <c r="T215" s="124">
        <f t="shared" si="75"/>
        <v>7644.6533988232277</v>
      </c>
      <c r="U215" s="124">
        <f t="shared" si="76"/>
        <v>1</v>
      </c>
      <c r="V215" s="124">
        <f t="shared" si="77"/>
        <v>0</v>
      </c>
      <c r="W215" s="124">
        <f t="shared" si="78"/>
        <v>1</v>
      </c>
      <c r="X215" s="124">
        <f t="shared" si="79"/>
        <v>1</v>
      </c>
      <c r="Y215" s="124">
        <f t="shared" si="80"/>
        <v>0</v>
      </c>
      <c r="Z215" s="124">
        <f t="shared" si="81"/>
        <v>1</v>
      </c>
      <c r="AA215" s="124">
        <f t="shared" si="58"/>
        <v>3.3477979745343562E-5</v>
      </c>
      <c r="AB215" s="124">
        <f t="shared" si="82"/>
        <v>0</v>
      </c>
      <c r="AC215" s="124">
        <f t="shared" si="83"/>
        <v>0</v>
      </c>
    </row>
    <row r="216" spans="2:29" s="114" customFormat="1">
      <c r="B216" s="115">
        <f t="shared" si="59"/>
        <v>-3.7200000000000637</v>
      </c>
      <c r="C216" s="124">
        <f t="shared" si="60"/>
        <v>1.9054607179629662E-4</v>
      </c>
      <c r="D216" s="124">
        <f t="shared" si="61"/>
        <v>1668356.7315845105</v>
      </c>
      <c r="E216" s="124">
        <f t="shared" si="62"/>
        <v>1</v>
      </c>
      <c r="F216" s="124">
        <f t="shared" si="63"/>
        <v>1</v>
      </c>
      <c r="G216" s="124">
        <f t="shared" si="64"/>
        <v>1657116.6577923938</v>
      </c>
      <c r="H216" s="124">
        <f t="shared" si="65"/>
        <v>1</v>
      </c>
      <c r="I216" s="124">
        <f t="shared" si="66"/>
        <v>1</v>
      </c>
      <c r="J216" s="124">
        <f t="shared" si="67"/>
        <v>8.6191272514104366E-6</v>
      </c>
      <c r="K216" s="124">
        <f t="shared" si="68"/>
        <v>0</v>
      </c>
      <c r="L216" s="124">
        <f t="shared" si="69"/>
        <v>0</v>
      </c>
      <c r="M216" s="120"/>
      <c r="N216" s="132">
        <f t="shared" si="57"/>
        <v>1.1972362786512776E-3</v>
      </c>
      <c r="O216" s="124">
        <f t="shared" si="70"/>
        <v>7658.1410938399185</v>
      </c>
      <c r="P216" s="124">
        <f t="shared" si="71"/>
        <v>1</v>
      </c>
      <c r="Q216" s="124">
        <f t="shared" si="72"/>
        <v>1</v>
      </c>
      <c r="R216" s="124">
        <f t="shared" si="73"/>
        <v>6675.5280965892198</v>
      </c>
      <c r="S216" s="124">
        <f t="shared" si="74"/>
        <v>3968.2726764465119</v>
      </c>
      <c r="T216" s="124">
        <f t="shared" si="75"/>
        <v>7765.942531527262</v>
      </c>
      <c r="U216" s="124">
        <f t="shared" si="76"/>
        <v>1</v>
      </c>
      <c r="V216" s="124">
        <f t="shared" si="77"/>
        <v>0</v>
      </c>
      <c r="W216" s="124">
        <f t="shared" si="78"/>
        <v>1</v>
      </c>
      <c r="X216" s="124">
        <f t="shared" si="79"/>
        <v>1</v>
      </c>
      <c r="Y216" s="124">
        <f t="shared" si="80"/>
        <v>0</v>
      </c>
      <c r="Z216" s="124">
        <f t="shared" si="81"/>
        <v>1</v>
      </c>
      <c r="AA216" s="124">
        <f t="shared" si="58"/>
        <v>3.6854720383456578E-5</v>
      </c>
      <c r="AB216" s="124">
        <f t="shared" si="82"/>
        <v>0</v>
      </c>
      <c r="AC216" s="124">
        <f t="shared" si="83"/>
        <v>0</v>
      </c>
    </row>
    <row r="217" spans="2:29" s="114" customFormat="1">
      <c r="B217" s="115">
        <f t="shared" si="59"/>
        <v>-3.7000000000000637</v>
      </c>
      <c r="C217" s="124">
        <f t="shared" si="60"/>
        <v>1.9952623149685849E-4</v>
      </c>
      <c r="D217" s="124">
        <f t="shared" si="61"/>
        <v>1655045.2932878493</v>
      </c>
      <c r="E217" s="124">
        <f t="shared" si="62"/>
        <v>1</v>
      </c>
      <c r="F217" s="124">
        <f t="shared" si="63"/>
        <v>1</v>
      </c>
      <c r="G217" s="124">
        <f t="shared" si="64"/>
        <v>1643189.6719825191</v>
      </c>
      <c r="H217" s="124">
        <f t="shared" si="65"/>
        <v>1</v>
      </c>
      <c r="I217" s="124">
        <f t="shared" si="66"/>
        <v>1</v>
      </c>
      <c r="J217" s="124">
        <f t="shared" si="67"/>
        <v>9.7480513688514101E-6</v>
      </c>
      <c r="K217" s="124">
        <f t="shared" si="68"/>
        <v>0</v>
      </c>
      <c r="L217" s="124">
        <f t="shared" si="69"/>
        <v>0</v>
      </c>
      <c r="M217" s="120"/>
      <c r="N217" s="132">
        <f t="shared" si="57"/>
        <v>1.253660286137974E-3</v>
      </c>
      <c r="O217" s="124">
        <f t="shared" si="70"/>
        <v>7775.2729058387386</v>
      </c>
      <c r="P217" s="124">
        <f t="shared" si="71"/>
        <v>1</v>
      </c>
      <c r="Q217" s="124">
        <f t="shared" si="72"/>
        <v>1</v>
      </c>
      <c r="R217" s="124">
        <f t="shared" si="73"/>
        <v>6777.3675427306007</v>
      </c>
      <c r="S217" s="124">
        <f t="shared" si="74"/>
        <v>4034.3416845946808</v>
      </c>
      <c r="T217" s="124">
        <f t="shared" si="75"/>
        <v>7887.2443627236798</v>
      </c>
      <c r="U217" s="124">
        <f t="shared" si="76"/>
        <v>1</v>
      </c>
      <c r="V217" s="124">
        <f t="shared" si="77"/>
        <v>0</v>
      </c>
      <c r="W217" s="124">
        <f t="shared" si="78"/>
        <v>1</v>
      </c>
      <c r="X217" s="124">
        <f t="shared" si="79"/>
        <v>1</v>
      </c>
      <c r="Y217" s="124">
        <f t="shared" si="80"/>
        <v>0</v>
      </c>
      <c r="Z217" s="124">
        <f t="shared" si="81"/>
        <v>1</v>
      </c>
      <c r="AA217" s="124">
        <f t="shared" si="58"/>
        <v>3.8559815200285898E-5</v>
      </c>
      <c r="AB217" s="124">
        <f t="shared" si="82"/>
        <v>0</v>
      </c>
      <c r="AC217" s="124">
        <f t="shared" si="83"/>
        <v>0</v>
      </c>
    </row>
    <row r="218" spans="2:29" s="114" customFormat="1">
      <c r="B218" s="115">
        <f t="shared" si="59"/>
        <v>-3.6800000000000637</v>
      </c>
      <c r="C218" s="124">
        <f t="shared" si="60"/>
        <v>2.0892961308537308E-4</v>
      </c>
      <c r="D218" s="124">
        <f t="shared" si="61"/>
        <v>1641723.4302630108</v>
      </c>
      <c r="E218" s="124">
        <f t="shared" si="62"/>
        <v>1</v>
      </c>
      <c r="F218" s="124">
        <f t="shared" si="63"/>
        <v>1</v>
      </c>
      <c r="G218" s="124">
        <f t="shared" si="64"/>
        <v>1629422.1883524654</v>
      </c>
      <c r="H218" s="124">
        <f t="shared" si="65"/>
        <v>1</v>
      </c>
      <c r="I218" s="124">
        <f t="shared" si="66"/>
        <v>1</v>
      </c>
      <c r="J218" s="124">
        <f t="shared" si="67"/>
        <v>1.0669175806915757E-5</v>
      </c>
      <c r="K218" s="124">
        <f t="shared" si="68"/>
        <v>0</v>
      </c>
      <c r="L218" s="124">
        <f t="shared" si="69"/>
        <v>0</v>
      </c>
      <c r="M218" s="120"/>
      <c r="N218" s="132">
        <f t="shared" si="57"/>
        <v>1.312743475172732E-3</v>
      </c>
      <c r="O218" s="124">
        <f t="shared" si="70"/>
        <v>7894.9355448499555</v>
      </c>
      <c r="P218" s="124">
        <f t="shared" si="71"/>
        <v>1</v>
      </c>
      <c r="Q218" s="124">
        <f t="shared" si="72"/>
        <v>1</v>
      </c>
      <c r="R218" s="124">
        <f t="shared" si="73"/>
        <v>6878.8576396098097</v>
      </c>
      <c r="S218" s="124">
        <f t="shared" si="74"/>
        <v>4101.0093398040608</v>
      </c>
      <c r="T218" s="124">
        <f t="shared" si="75"/>
        <v>8008.5554272401951</v>
      </c>
      <c r="U218" s="124">
        <f t="shared" si="76"/>
        <v>1</v>
      </c>
      <c r="V218" s="124">
        <f t="shared" si="77"/>
        <v>0</v>
      </c>
      <c r="W218" s="124">
        <f t="shared" si="78"/>
        <v>1</v>
      </c>
      <c r="X218" s="124">
        <f t="shared" si="79"/>
        <v>1</v>
      </c>
      <c r="Y218" s="124">
        <f t="shared" si="80"/>
        <v>0</v>
      </c>
      <c r="Z218" s="124">
        <f t="shared" si="81"/>
        <v>1</v>
      </c>
      <c r="AA218" s="124">
        <f t="shared" si="58"/>
        <v>3.850943348462525E-5</v>
      </c>
      <c r="AB218" s="124">
        <f t="shared" si="82"/>
        <v>0</v>
      </c>
      <c r="AC218" s="124">
        <f t="shared" si="83"/>
        <v>0</v>
      </c>
    </row>
    <row r="219" spans="2:29" s="114" customFormat="1">
      <c r="B219" s="115">
        <f t="shared" si="59"/>
        <v>-3.6600000000000636</v>
      </c>
      <c r="C219" s="124">
        <f t="shared" si="60"/>
        <v>2.1877616239492287E-4</v>
      </c>
      <c r="D219" s="124">
        <f t="shared" si="61"/>
        <v>1628392.3854795184</v>
      </c>
      <c r="E219" s="124">
        <f t="shared" si="62"/>
        <v>1</v>
      </c>
      <c r="F219" s="124">
        <f t="shared" si="63"/>
        <v>1</v>
      </c>
      <c r="G219" s="124">
        <f t="shared" si="64"/>
        <v>1615824.4884199111</v>
      </c>
      <c r="H219" s="124">
        <f t="shared" si="65"/>
        <v>1</v>
      </c>
      <c r="I219" s="124">
        <f t="shared" si="66"/>
        <v>1</v>
      </c>
      <c r="J219" s="124">
        <f t="shared" si="67"/>
        <v>1.1322398368817384E-5</v>
      </c>
      <c r="K219" s="124">
        <f t="shared" si="68"/>
        <v>0</v>
      </c>
      <c r="L219" s="124">
        <f t="shared" si="69"/>
        <v>0</v>
      </c>
      <c r="M219" s="120"/>
      <c r="N219" s="132">
        <f t="shared" si="57"/>
        <v>1.3746111691209145E-3</v>
      </c>
      <c r="O219" s="124">
        <f t="shared" si="70"/>
        <v>8017.189919707479</v>
      </c>
      <c r="P219" s="124">
        <f t="shared" si="71"/>
        <v>1</v>
      </c>
      <c r="Q219" s="124">
        <f t="shared" si="72"/>
        <v>1</v>
      </c>
      <c r="R219" s="124">
        <f t="shared" si="73"/>
        <v>6979.8460129625946</v>
      </c>
      <c r="S219" s="124">
        <f t="shared" si="74"/>
        <v>4168.6182614955014</v>
      </c>
      <c r="T219" s="124">
        <f t="shared" si="75"/>
        <v>8129.9218061887659</v>
      </c>
      <c r="U219" s="124">
        <f t="shared" si="76"/>
        <v>1</v>
      </c>
      <c r="V219" s="124">
        <f t="shared" si="77"/>
        <v>0</v>
      </c>
      <c r="W219" s="124">
        <f t="shared" si="78"/>
        <v>1</v>
      </c>
      <c r="X219" s="124">
        <f t="shared" si="79"/>
        <v>1</v>
      </c>
      <c r="Y219" s="124">
        <f t="shared" si="80"/>
        <v>0</v>
      </c>
      <c r="Z219" s="124">
        <f t="shared" si="81"/>
        <v>1</v>
      </c>
      <c r="AA219" s="124">
        <f t="shared" si="58"/>
        <v>3.6774482948369214E-5</v>
      </c>
      <c r="AB219" s="124">
        <f t="shared" si="82"/>
        <v>0</v>
      </c>
      <c r="AC219" s="124">
        <f t="shared" si="83"/>
        <v>0</v>
      </c>
    </row>
    <row r="220" spans="2:29" s="114" customFormat="1">
      <c r="B220" s="115">
        <f t="shared" si="59"/>
        <v>-3.6400000000000636</v>
      </c>
      <c r="C220" s="124">
        <f t="shared" si="60"/>
        <v>2.2908676527674376E-4</v>
      </c>
      <c r="D220" s="124">
        <f t="shared" si="61"/>
        <v>1615053.4130930882</v>
      </c>
      <c r="E220" s="124">
        <f t="shared" si="62"/>
        <v>1</v>
      </c>
      <c r="F220" s="124">
        <f t="shared" si="63"/>
        <v>1</v>
      </c>
      <c r="G220" s="124">
        <f t="shared" si="64"/>
        <v>1602404.3074755936</v>
      </c>
      <c r="H220" s="124">
        <f t="shared" si="65"/>
        <v>1</v>
      </c>
      <c r="I220" s="124">
        <f t="shared" si="66"/>
        <v>1</v>
      </c>
      <c r="J220" s="124">
        <f t="shared" si="67"/>
        <v>1.1660764627382884E-5</v>
      </c>
      <c r="K220" s="124">
        <f t="shared" si="68"/>
        <v>0</v>
      </c>
      <c r="L220" s="124">
        <f t="shared" si="69"/>
        <v>0</v>
      </c>
      <c r="M220" s="120"/>
      <c r="N220" s="132">
        <f t="shared" si="57"/>
        <v>1.439394597656135E-3</v>
      </c>
      <c r="O220" s="124">
        <f t="shared" si="70"/>
        <v>8142.0984821068369</v>
      </c>
      <c r="P220" s="124">
        <f t="shared" si="71"/>
        <v>1</v>
      </c>
      <c r="Q220" s="124">
        <f t="shared" si="72"/>
        <v>1</v>
      </c>
      <c r="R220" s="124">
        <f t="shared" si="73"/>
        <v>7080.2210901170984</v>
      </c>
      <c r="S220" s="124">
        <f t="shared" si="74"/>
        <v>4237.5391186540082</v>
      </c>
      <c r="T220" s="124">
        <f t="shared" si="75"/>
        <v>8251.4403874149102</v>
      </c>
      <c r="U220" s="124">
        <f t="shared" si="76"/>
        <v>1</v>
      </c>
      <c r="V220" s="124">
        <f t="shared" si="77"/>
        <v>0</v>
      </c>
      <c r="W220" s="124">
        <f t="shared" si="78"/>
        <v>1</v>
      </c>
      <c r="X220" s="124">
        <f t="shared" si="79"/>
        <v>1</v>
      </c>
      <c r="Y220" s="124">
        <f t="shared" si="80"/>
        <v>0</v>
      </c>
      <c r="Z220" s="124">
        <f t="shared" si="81"/>
        <v>1</v>
      </c>
      <c r="AA220" s="124">
        <f t="shared" si="58"/>
        <v>3.3563662041233667E-5</v>
      </c>
      <c r="AB220" s="124">
        <f t="shared" si="82"/>
        <v>0</v>
      </c>
      <c r="AC220" s="124">
        <f t="shared" si="83"/>
        <v>0</v>
      </c>
    </row>
    <row r="221" spans="2:29" s="114" customFormat="1">
      <c r="B221" s="115">
        <f t="shared" si="59"/>
        <v>-3.6200000000000636</v>
      </c>
      <c r="C221" s="124">
        <f t="shared" si="60"/>
        <v>2.3988329190191389E-4</v>
      </c>
      <c r="D221" s="124">
        <f t="shared" si="61"/>
        <v>1601707.7781171526</v>
      </c>
      <c r="E221" s="124">
        <f t="shared" si="62"/>
        <v>1</v>
      </c>
      <c r="F221" s="124">
        <f t="shared" si="63"/>
        <v>1</v>
      </c>
      <c r="G221" s="124">
        <f t="shared" si="64"/>
        <v>1589166.6455171939</v>
      </c>
      <c r="H221" s="124">
        <f t="shared" si="65"/>
        <v>1</v>
      </c>
      <c r="I221" s="124">
        <f t="shared" si="66"/>
        <v>1</v>
      </c>
      <c r="J221" s="124">
        <f t="shared" si="67"/>
        <v>1.1654326479258327E-5</v>
      </c>
      <c r="K221" s="124">
        <f t="shared" si="68"/>
        <v>0</v>
      </c>
      <c r="L221" s="124">
        <f t="shared" si="69"/>
        <v>0</v>
      </c>
      <c r="M221" s="120"/>
      <c r="N221" s="132">
        <f t="shared" si="57"/>
        <v>1.5072311751159772E-3</v>
      </c>
      <c r="O221" s="124">
        <f t="shared" si="70"/>
        <v>8269.7252653145442</v>
      </c>
      <c r="P221" s="124">
        <f t="shared" si="71"/>
        <v>1</v>
      </c>
      <c r="Q221" s="124">
        <f t="shared" si="72"/>
        <v>1</v>
      </c>
      <c r="R221" s="124">
        <f t="shared" si="73"/>
        <v>7179.9153980831406</v>
      </c>
      <c r="S221" s="124">
        <f t="shared" si="74"/>
        <v>4308.1648779932502</v>
      </c>
      <c r="T221" s="124">
        <f t="shared" si="75"/>
        <v>8373.2592065220324</v>
      </c>
      <c r="U221" s="124">
        <f t="shared" si="76"/>
        <v>1</v>
      </c>
      <c r="V221" s="124">
        <f t="shared" si="77"/>
        <v>0</v>
      </c>
      <c r="W221" s="124">
        <f t="shared" si="78"/>
        <v>1</v>
      </c>
      <c r="X221" s="124">
        <f t="shared" si="79"/>
        <v>1</v>
      </c>
      <c r="Y221" s="124">
        <f t="shared" si="80"/>
        <v>0</v>
      </c>
      <c r="Z221" s="124">
        <f t="shared" si="81"/>
        <v>1</v>
      </c>
      <c r="AA221" s="124">
        <f t="shared" si="58"/>
        <v>2.9197313687717591E-5</v>
      </c>
      <c r="AB221" s="124">
        <f t="shared" si="82"/>
        <v>0</v>
      </c>
      <c r="AC221" s="124">
        <f t="shared" si="83"/>
        <v>0</v>
      </c>
    </row>
    <row r="222" spans="2:29" s="114" customFormat="1">
      <c r="B222" s="115">
        <f t="shared" si="59"/>
        <v>-3.6000000000000636</v>
      </c>
      <c r="C222" s="124">
        <f t="shared" si="60"/>
        <v>2.5118864315092115E-4</v>
      </c>
      <c r="D222" s="124">
        <f t="shared" si="61"/>
        <v>1588356.756083908</v>
      </c>
      <c r="E222" s="124">
        <f t="shared" si="62"/>
        <v>1</v>
      </c>
      <c r="F222" s="124">
        <f t="shared" si="63"/>
        <v>1</v>
      </c>
      <c r="G222" s="124">
        <f t="shared" si="64"/>
        <v>1576113.6160015494</v>
      </c>
      <c r="H222" s="124">
        <f t="shared" si="65"/>
        <v>1</v>
      </c>
      <c r="I222" s="124">
        <f t="shared" si="66"/>
        <v>1</v>
      </c>
      <c r="J222" s="124">
        <f t="shared" si="67"/>
        <v>1.1293186941212017E-5</v>
      </c>
      <c r="K222" s="124">
        <f t="shared" si="68"/>
        <v>0</v>
      </c>
      <c r="L222" s="124">
        <f t="shared" si="69"/>
        <v>0</v>
      </c>
      <c r="M222" s="120"/>
      <c r="N222" s="132">
        <f t="shared" si="57"/>
        <v>1.5782647919762439E-3</v>
      </c>
      <c r="O222" s="124">
        <f t="shared" si="70"/>
        <v>8400.135923757729</v>
      </c>
      <c r="P222" s="124">
        <f t="shared" si="71"/>
        <v>1</v>
      </c>
      <c r="Q222" s="124">
        <f t="shared" si="72"/>
        <v>1</v>
      </c>
      <c r="R222" s="124">
        <f t="shared" si="73"/>
        <v>7278.907914323082</v>
      </c>
      <c r="S222" s="124">
        <f t="shared" si="74"/>
        <v>4380.9047696441494</v>
      </c>
      <c r="T222" s="124">
        <f t="shared" si="75"/>
        <v>8495.5769095386368</v>
      </c>
      <c r="U222" s="124">
        <f t="shared" si="76"/>
        <v>1</v>
      </c>
      <c r="V222" s="124">
        <f t="shared" si="77"/>
        <v>0</v>
      </c>
      <c r="W222" s="124">
        <f t="shared" si="78"/>
        <v>1</v>
      </c>
      <c r="X222" s="124">
        <f t="shared" si="79"/>
        <v>1</v>
      </c>
      <c r="Y222" s="124">
        <f t="shared" si="80"/>
        <v>0</v>
      </c>
      <c r="Z222" s="124">
        <f t="shared" si="81"/>
        <v>1</v>
      </c>
      <c r="AA222" s="124">
        <f t="shared" si="58"/>
        <v>2.4074354236905851E-5</v>
      </c>
      <c r="AB222" s="124">
        <f t="shared" si="82"/>
        <v>0</v>
      </c>
      <c r="AC222" s="124">
        <f t="shared" si="83"/>
        <v>0</v>
      </c>
    </row>
    <row r="223" spans="2:29" s="114" customFormat="1">
      <c r="B223" s="115">
        <f t="shared" si="59"/>
        <v>-3.5800000000000636</v>
      </c>
      <c r="C223" s="124">
        <f t="shared" si="60"/>
        <v>2.6302679918949954E-4</v>
      </c>
      <c r="D223" s="124">
        <f t="shared" si="61"/>
        <v>1575001.6326949629</v>
      </c>
      <c r="E223" s="124">
        <f t="shared" si="62"/>
        <v>1</v>
      </c>
      <c r="F223" s="124">
        <f t="shared" si="63"/>
        <v>1</v>
      </c>
      <c r="G223" s="124">
        <f t="shared" si="64"/>
        <v>1563244.3390156024</v>
      </c>
      <c r="H223" s="124">
        <f t="shared" si="65"/>
        <v>1</v>
      </c>
      <c r="I223" s="124">
        <f t="shared" si="66"/>
        <v>1</v>
      </c>
      <c r="J223" s="124">
        <f t="shared" si="67"/>
        <v>1.0589451129186194E-5</v>
      </c>
      <c r="K223" s="124">
        <f t="shared" si="68"/>
        <v>0</v>
      </c>
      <c r="L223" s="124">
        <f t="shared" si="69"/>
        <v>0</v>
      </c>
      <c r="M223" s="120"/>
      <c r="N223" s="132">
        <f t="shared" si="57"/>
        <v>1.6526461200619389E-3</v>
      </c>
      <c r="O223" s="124">
        <f t="shared" si="70"/>
        <v>8533.397773507877</v>
      </c>
      <c r="P223" s="124">
        <f t="shared" si="71"/>
        <v>1</v>
      </c>
      <c r="Q223" s="124">
        <f t="shared" si="72"/>
        <v>1</v>
      </c>
      <c r="R223" s="124">
        <f t="shared" si="73"/>
        <v>7377.2254858197393</v>
      </c>
      <c r="S223" s="124">
        <f t="shared" si="74"/>
        <v>4456.1781460109705</v>
      </c>
      <c r="T223" s="124">
        <f t="shared" si="75"/>
        <v>8618.6413974369552</v>
      </c>
      <c r="U223" s="124">
        <f t="shared" si="76"/>
        <v>1</v>
      </c>
      <c r="V223" s="124">
        <f t="shared" si="77"/>
        <v>0</v>
      </c>
      <c r="W223" s="124">
        <f t="shared" si="78"/>
        <v>1</v>
      </c>
      <c r="X223" s="124">
        <f t="shared" si="79"/>
        <v>1</v>
      </c>
      <c r="Y223" s="124">
        <f t="shared" si="80"/>
        <v>0</v>
      </c>
      <c r="Z223" s="124">
        <f t="shared" si="81"/>
        <v>1</v>
      </c>
      <c r="AA223" s="124">
        <f t="shared" si="58"/>
        <v>1.8634942391313099E-5</v>
      </c>
      <c r="AB223" s="124">
        <f t="shared" si="82"/>
        <v>0</v>
      </c>
      <c r="AC223" s="124">
        <f t="shared" si="83"/>
        <v>0</v>
      </c>
    </row>
    <row r="224" spans="2:29" s="114" customFormat="1">
      <c r="B224" s="115">
        <f t="shared" si="59"/>
        <v>-3.5600000000000636</v>
      </c>
      <c r="C224" s="124">
        <f t="shared" si="60"/>
        <v>2.7542287033377612E-4</v>
      </c>
      <c r="D224" s="124">
        <f t="shared" si="61"/>
        <v>1561643.7034616249</v>
      </c>
      <c r="E224" s="124">
        <f t="shared" si="62"/>
        <v>1</v>
      </c>
      <c r="F224" s="124">
        <f t="shared" si="63"/>
        <v>1</v>
      </c>
      <c r="G224" s="124">
        <f t="shared" si="64"/>
        <v>1550554.8849129528</v>
      </c>
      <c r="H224" s="124">
        <f t="shared" si="65"/>
        <v>1</v>
      </c>
      <c r="I224" s="124">
        <f t="shared" si="66"/>
        <v>1</v>
      </c>
      <c r="J224" s="124">
        <f t="shared" si="67"/>
        <v>9.5778546205318778E-6</v>
      </c>
      <c r="K224" s="124">
        <f t="shared" si="68"/>
        <v>0</v>
      </c>
      <c r="L224" s="124">
        <f t="shared" si="69"/>
        <v>0</v>
      </c>
      <c r="M224" s="120"/>
      <c r="N224" s="132">
        <f t="shared" si="57"/>
        <v>1.7305329321424105E-3</v>
      </c>
      <c r="O224" s="124">
        <f t="shared" si="70"/>
        <v>8669.5798336731368</v>
      </c>
      <c r="P224" s="124">
        <f t="shared" si="71"/>
        <v>1</v>
      </c>
      <c r="Q224" s="124">
        <f t="shared" si="72"/>
        <v>1</v>
      </c>
      <c r="R224" s="124">
        <f t="shared" si="73"/>
        <v>7474.9433669548089</v>
      </c>
      <c r="S224" s="124">
        <f t="shared" si="74"/>
        <v>4534.4083901440736</v>
      </c>
      <c r="T224" s="124">
        <f t="shared" si="75"/>
        <v>8742.7477252743975</v>
      </c>
      <c r="U224" s="124">
        <f t="shared" si="76"/>
        <v>1</v>
      </c>
      <c r="V224" s="124">
        <f t="shared" si="77"/>
        <v>0</v>
      </c>
      <c r="W224" s="124">
        <f t="shared" si="78"/>
        <v>1</v>
      </c>
      <c r="X224" s="124">
        <f t="shared" si="79"/>
        <v>1</v>
      </c>
      <c r="Y224" s="124">
        <f t="shared" si="80"/>
        <v>0</v>
      </c>
      <c r="Z224" s="124">
        <f t="shared" si="81"/>
        <v>1</v>
      </c>
      <c r="AA224" s="124">
        <f t="shared" si="58"/>
        <v>1.332174605351365E-5</v>
      </c>
      <c r="AB224" s="124">
        <f t="shared" si="82"/>
        <v>0</v>
      </c>
      <c r="AC224" s="124">
        <f t="shared" si="83"/>
        <v>0</v>
      </c>
    </row>
    <row r="225" spans="2:29" s="114" customFormat="1">
      <c r="B225" s="115">
        <f t="shared" si="59"/>
        <v>-3.5400000000000635</v>
      </c>
      <c r="C225" s="124">
        <f t="shared" si="60"/>
        <v>2.884031503126181E-4</v>
      </c>
      <c r="D225" s="124">
        <f t="shared" si="61"/>
        <v>1548284.2733349607</v>
      </c>
      <c r="E225" s="124">
        <f t="shared" si="62"/>
        <v>1</v>
      </c>
      <c r="F225" s="124">
        <f t="shared" si="63"/>
        <v>1</v>
      </c>
      <c r="G225" s="124">
        <f t="shared" si="64"/>
        <v>1538038.2736146208</v>
      </c>
      <c r="H225" s="124">
        <f t="shared" si="65"/>
        <v>1</v>
      </c>
      <c r="I225" s="124">
        <f t="shared" si="66"/>
        <v>1</v>
      </c>
      <c r="J225" s="124">
        <f t="shared" si="67"/>
        <v>8.3149159030717966E-6</v>
      </c>
      <c r="K225" s="124">
        <f t="shared" si="68"/>
        <v>0</v>
      </c>
      <c r="L225" s="124">
        <f t="shared" si="69"/>
        <v>0</v>
      </c>
      <c r="M225" s="120"/>
      <c r="N225" s="132">
        <f t="shared" si="57"/>
        <v>1.8120904365885478E-3</v>
      </c>
      <c r="O225" s="124">
        <f t="shared" si="70"/>
        <v>8808.7528687128724</v>
      </c>
      <c r="P225" s="124">
        <f t="shared" si="71"/>
        <v>1</v>
      </c>
      <c r="Q225" s="124">
        <f t="shared" si="72"/>
        <v>1</v>
      </c>
      <c r="R225" s="124">
        <f t="shared" si="73"/>
        <v>7572.1849536291702</v>
      </c>
      <c r="S225" s="124">
        <f t="shared" si="74"/>
        <v>4616.0170039814575</v>
      </c>
      <c r="T225" s="124">
        <f t="shared" si="75"/>
        <v>8868.2353347785011</v>
      </c>
      <c r="U225" s="124">
        <f t="shared" si="76"/>
        <v>1</v>
      </c>
      <c r="V225" s="124">
        <f t="shared" si="77"/>
        <v>0</v>
      </c>
      <c r="W225" s="124">
        <f t="shared" si="78"/>
        <v>1</v>
      </c>
      <c r="X225" s="124">
        <f t="shared" si="79"/>
        <v>1</v>
      </c>
      <c r="Y225" s="124">
        <f t="shared" si="80"/>
        <v>0</v>
      </c>
      <c r="Z225" s="124">
        <f t="shared" si="81"/>
        <v>1</v>
      </c>
      <c r="AA225" s="124">
        <f t="shared" si="58"/>
        <v>8.5426630965405776E-6</v>
      </c>
      <c r="AB225" s="124">
        <f t="shared" si="82"/>
        <v>0</v>
      </c>
      <c r="AC225" s="124">
        <f t="shared" si="83"/>
        <v>0</v>
      </c>
    </row>
    <row r="226" spans="2:29" s="114" customFormat="1">
      <c r="B226" s="115">
        <f t="shared" si="59"/>
        <v>-3.5200000000000635</v>
      </c>
      <c r="C226" s="124">
        <f t="shared" si="60"/>
        <v>3.0199517204015707E-4</v>
      </c>
      <c r="D226" s="124">
        <f t="shared" si="61"/>
        <v>1534924.656325622</v>
      </c>
      <c r="E226" s="124">
        <f t="shared" si="62"/>
        <v>1</v>
      </c>
      <c r="F226" s="124">
        <f t="shared" si="63"/>
        <v>1</v>
      </c>
      <c r="G226" s="124">
        <f t="shared" si="64"/>
        <v>1525684.5336281403</v>
      </c>
      <c r="H226" s="124">
        <f t="shared" si="65"/>
        <v>1</v>
      </c>
      <c r="I226" s="124">
        <f t="shared" si="66"/>
        <v>1</v>
      </c>
      <c r="J226" s="124">
        <f t="shared" si="67"/>
        <v>6.8765558295923608E-6</v>
      </c>
      <c r="K226" s="124">
        <f t="shared" si="68"/>
        <v>0</v>
      </c>
      <c r="L226" s="124">
        <f t="shared" si="69"/>
        <v>0</v>
      </c>
      <c r="M226" s="120"/>
      <c r="N226" s="132">
        <f t="shared" si="57"/>
        <v>1.8974916278018863E-3</v>
      </c>
      <c r="O226" s="124">
        <f t="shared" si="70"/>
        <v>8950.9894316885984</v>
      </c>
      <c r="P226" s="124">
        <f t="shared" si="71"/>
        <v>1</v>
      </c>
      <c r="Q226" s="124">
        <f t="shared" si="72"/>
        <v>1</v>
      </c>
      <c r="R226" s="124">
        <f t="shared" si="73"/>
        <v>7669.1208090098316</v>
      </c>
      <c r="S226" s="124">
        <f t="shared" si="74"/>
        <v>4701.4179768250206</v>
      </c>
      <c r="T226" s="124">
        <f t="shared" si="75"/>
        <v>8995.4846993367228</v>
      </c>
      <c r="U226" s="124">
        <f t="shared" si="76"/>
        <v>1</v>
      </c>
      <c r="V226" s="124">
        <f t="shared" si="77"/>
        <v>0</v>
      </c>
      <c r="W226" s="124">
        <f t="shared" si="78"/>
        <v>1</v>
      </c>
      <c r="X226" s="124">
        <f t="shared" si="79"/>
        <v>1</v>
      </c>
      <c r="Y226" s="124">
        <f t="shared" si="80"/>
        <v>0</v>
      </c>
      <c r="Z226" s="124">
        <f t="shared" si="81"/>
        <v>1</v>
      </c>
      <c r="AA226" s="124">
        <f t="shared" si="58"/>
        <v>4.6376691838332045E-6</v>
      </c>
      <c r="AB226" s="124">
        <f t="shared" si="82"/>
        <v>0</v>
      </c>
      <c r="AC226" s="124">
        <f t="shared" si="83"/>
        <v>0</v>
      </c>
    </row>
    <row r="227" spans="2:29" s="114" customFormat="1">
      <c r="B227" s="115">
        <f t="shared" si="59"/>
        <v>-3.5000000000000635</v>
      </c>
      <c r="C227" s="124">
        <f t="shared" si="60"/>
        <v>3.1622776601679121E-4</v>
      </c>
      <c r="D227" s="124">
        <f t="shared" si="61"/>
        <v>1521566.1751136631</v>
      </c>
      <c r="E227" s="124">
        <f t="shared" si="62"/>
        <v>1</v>
      </c>
      <c r="F227" s="124">
        <f t="shared" si="63"/>
        <v>1</v>
      </c>
      <c r="G227" s="124">
        <f t="shared" si="64"/>
        <v>1513480.8234103189</v>
      </c>
      <c r="H227" s="124">
        <f t="shared" si="65"/>
        <v>1</v>
      </c>
      <c r="I227" s="124">
        <f t="shared" si="66"/>
        <v>1</v>
      </c>
      <c r="J227" s="124">
        <f t="shared" si="67"/>
        <v>5.3542378438647085E-6</v>
      </c>
      <c r="K227" s="124">
        <f t="shared" si="68"/>
        <v>0</v>
      </c>
      <c r="L227" s="124">
        <f t="shared" si="69"/>
        <v>0</v>
      </c>
      <c r="M227" s="120"/>
      <c r="N227" s="132">
        <f t="shared" si="57"/>
        <v>1.9869176531589266E-3</v>
      </c>
      <c r="O227" s="124">
        <f t="shared" si="70"/>
        <v>9096.3639084651004</v>
      </c>
      <c r="P227" s="124">
        <f t="shared" si="71"/>
        <v>1</v>
      </c>
      <c r="Q227" s="124">
        <f t="shared" si="72"/>
        <v>1</v>
      </c>
      <c r="R227" s="124">
        <f t="shared" si="73"/>
        <v>7765.9670851284764</v>
      </c>
      <c r="S227" s="124">
        <f t="shared" si="74"/>
        <v>4791.01250312298</v>
      </c>
      <c r="T227" s="124">
        <f t="shared" si="75"/>
        <v>9124.9134556103927</v>
      </c>
      <c r="U227" s="124">
        <f t="shared" si="76"/>
        <v>1</v>
      </c>
      <c r="V227" s="124">
        <f t="shared" si="77"/>
        <v>0</v>
      </c>
      <c r="W227" s="124">
        <f t="shared" si="78"/>
        <v>1</v>
      </c>
      <c r="X227" s="124">
        <f t="shared" si="79"/>
        <v>1</v>
      </c>
      <c r="Y227" s="124">
        <f t="shared" si="80"/>
        <v>0</v>
      </c>
      <c r="Z227" s="124">
        <f t="shared" si="81"/>
        <v>1</v>
      </c>
      <c r="AA227" s="124">
        <f t="shared" si="58"/>
        <v>1.8521243196986483E-6</v>
      </c>
      <c r="AB227" s="124">
        <f t="shared" si="82"/>
        <v>0</v>
      </c>
      <c r="AC227" s="124">
        <f t="shared" si="83"/>
        <v>0</v>
      </c>
    </row>
    <row r="228" spans="2:29" s="114" customFormat="1">
      <c r="B228" s="115">
        <f t="shared" si="59"/>
        <v>-3.4800000000000635</v>
      </c>
      <c r="C228" s="124">
        <f t="shared" si="60"/>
        <v>3.3113112148254269E-4</v>
      </c>
      <c r="D228" s="124">
        <f t="shared" si="61"/>
        <v>1508210.1606483422</v>
      </c>
      <c r="E228" s="124">
        <f t="shared" si="62"/>
        <v>1</v>
      </c>
      <c r="F228" s="124">
        <f t="shared" si="63"/>
        <v>1</v>
      </c>
      <c r="G228" s="124">
        <f t="shared" si="64"/>
        <v>1501411.6160134214</v>
      </c>
      <c r="H228" s="124">
        <f t="shared" si="65"/>
        <v>1</v>
      </c>
      <c r="I228" s="124">
        <f t="shared" si="66"/>
        <v>1</v>
      </c>
      <c r="J228" s="124">
        <f t="shared" si="67"/>
        <v>3.8497998962550404E-6</v>
      </c>
      <c r="K228" s="124">
        <f t="shared" si="68"/>
        <v>0</v>
      </c>
      <c r="L228" s="124">
        <f t="shared" si="69"/>
        <v>0</v>
      </c>
      <c r="M228" s="120"/>
      <c r="N228" s="132">
        <f t="shared" si="57"/>
        <v>2.0805581972490107E-3</v>
      </c>
      <c r="O228" s="124">
        <f t="shared" si="70"/>
        <v>9244.9525628749507</v>
      </c>
      <c r="P228" s="124">
        <f t="shared" si="71"/>
        <v>1</v>
      </c>
      <c r="Q228" s="124">
        <f t="shared" si="72"/>
        <v>1</v>
      </c>
      <c r="R228" s="124">
        <f t="shared" si="73"/>
        <v>7862.9834448504516</v>
      </c>
      <c r="S228" s="124">
        <f t="shared" si="74"/>
        <v>4885.1840884450457</v>
      </c>
      <c r="T228" s="124">
        <f t="shared" si="75"/>
        <v>9256.9720876747233</v>
      </c>
      <c r="U228" s="124">
        <f t="shared" si="76"/>
        <v>1</v>
      </c>
      <c r="V228" s="124">
        <f t="shared" si="77"/>
        <v>0</v>
      </c>
      <c r="W228" s="124">
        <f t="shared" si="78"/>
        <v>1</v>
      </c>
      <c r="X228" s="124">
        <f t="shared" si="79"/>
        <v>1</v>
      </c>
      <c r="Y228" s="124">
        <f t="shared" si="80"/>
        <v>0</v>
      </c>
      <c r="Z228" s="124">
        <f t="shared" si="81"/>
        <v>1</v>
      </c>
      <c r="AA228" s="124">
        <f t="shared" si="58"/>
        <v>3.1839740240971671E-7</v>
      </c>
      <c r="AB228" s="124">
        <f t="shared" si="82"/>
        <v>0</v>
      </c>
      <c r="AC228" s="124">
        <f t="shared" si="83"/>
        <v>0</v>
      </c>
    </row>
    <row r="229" spans="2:29" s="114" customFormat="1">
      <c r="B229" s="115">
        <f t="shared" si="59"/>
        <v>-3.4600000000000635</v>
      </c>
      <c r="C229" s="124">
        <f t="shared" si="60"/>
        <v>3.4673685045248057E-4</v>
      </c>
      <c r="D229" s="124">
        <f t="shared" si="61"/>
        <v>1494857.9517381461</v>
      </c>
      <c r="E229" s="124">
        <f t="shared" si="62"/>
        <v>1</v>
      </c>
      <c r="F229" s="124">
        <f t="shared" si="63"/>
        <v>1</v>
      </c>
      <c r="G229" s="124">
        <f t="shared" si="64"/>
        <v>1489458.9460571746</v>
      </c>
      <c r="H229" s="124">
        <f t="shared" si="65"/>
        <v>1</v>
      </c>
      <c r="I229" s="124">
        <f t="shared" si="66"/>
        <v>1</v>
      </c>
      <c r="J229" s="124">
        <f t="shared" si="67"/>
        <v>2.4692624631058297E-6</v>
      </c>
      <c r="K229" s="124">
        <f t="shared" si="68"/>
        <v>0</v>
      </c>
      <c r="L229" s="124">
        <f t="shared" si="69"/>
        <v>0</v>
      </c>
      <c r="M229" s="120"/>
      <c r="N229" s="132">
        <f t="shared" si="57"/>
        <v>2.1786118842207513E-3</v>
      </c>
      <c r="O229" s="124">
        <f t="shared" si="70"/>
        <v>9396.8335828601103</v>
      </c>
      <c r="P229" s="124">
        <f t="shared" si="71"/>
        <v>1</v>
      </c>
      <c r="Q229" s="124">
        <f t="shared" si="72"/>
        <v>1</v>
      </c>
      <c r="R229" s="124">
        <f t="shared" si="73"/>
        <v>7960.4705815921807</v>
      </c>
      <c r="S229" s="124">
        <f t="shared" si="74"/>
        <v>4984.2940554580573</v>
      </c>
      <c r="T229" s="124">
        <f t="shared" si="75"/>
        <v>9392.1392191379418</v>
      </c>
      <c r="U229" s="124">
        <f t="shared" si="76"/>
        <v>1</v>
      </c>
      <c r="V229" s="124">
        <f t="shared" si="77"/>
        <v>0</v>
      </c>
      <c r="W229" s="124">
        <f t="shared" si="78"/>
        <v>1</v>
      </c>
      <c r="X229" s="124">
        <f t="shared" si="79"/>
        <v>1</v>
      </c>
      <c r="Y229" s="124">
        <f t="shared" si="80"/>
        <v>0</v>
      </c>
      <c r="Z229" s="124">
        <f t="shared" si="81"/>
        <v>1</v>
      </c>
      <c r="AA229" s="124">
        <f t="shared" si="58"/>
        <v>4.709513307703341E-8</v>
      </c>
      <c r="AB229" s="124">
        <f t="shared" si="82"/>
        <v>0</v>
      </c>
      <c r="AC229" s="124">
        <f t="shared" si="83"/>
        <v>0</v>
      </c>
    </row>
    <row r="230" spans="2:29" s="114" customFormat="1">
      <c r="B230" s="115">
        <f t="shared" si="59"/>
        <v>-3.4400000000000635</v>
      </c>
      <c r="C230" s="124">
        <f t="shared" si="60"/>
        <v>3.6307805477004811E-4</v>
      </c>
      <c r="D230" s="124">
        <f t="shared" si="61"/>
        <v>1481510.8946310356</v>
      </c>
      <c r="E230" s="124">
        <f t="shared" si="62"/>
        <v>1</v>
      </c>
      <c r="F230" s="124">
        <f t="shared" si="63"/>
        <v>1</v>
      </c>
      <c r="G230" s="124">
        <f t="shared" si="64"/>
        <v>1477602.7160231965</v>
      </c>
      <c r="H230" s="124">
        <f t="shared" si="65"/>
        <v>1</v>
      </c>
      <c r="I230" s="124">
        <f t="shared" si="66"/>
        <v>1</v>
      </c>
      <c r="J230" s="124">
        <f t="shared" si="67"/>
        <v>1.3159962334495005E-6</v>
      </c>
      <c r="K230" s="124">
        <f t="shared" si="68"/>
        <v>0</v>
      </c>
      <c r="L230" s="124">
        <f t="shared" si="69"/>
        <v>0</v>
      </c>
      <c r="M230" s="120"/>
      <c r="N230" s="132">
        <f t="shared" si="57"/>
        <v>2.2812866990905112E-3</v>
      </c>
      <c r="O230" s="124">
        <f t="shared" si="70"/>
        <v>9552.0871276034723</v>
      </c>
      <c r="P230" s="124">
        <f t="shared" si="71"/>
        <v>1</v>
      </c>
      <c r="Q230" s="124">
        <f t="shared" si="72"/>
        <v>1</v>
      </c>
      <c r="R230" s="124">
        <f t="shared" si="73"/>
        <v>8058.7674210546729</v>
      </c>
      <c r="S230" s="124">
        <f t="shared" si="74"/>
        <v>5088.6774392309126</v>
      </c>
      <c r="T230" s="124">
        <f t="shared" si="75"/>
        <v>9530.9165575609695</v>
      </c>
      <c r="U230" s="124">
        <f t="shared" si="76"/>
        <v>1</v>
      </c>
      <c r="V230" s="124">
        <f t="shared" si="77"/>
        <v>0</v>
      </c>
      <c r="W230" s="124">
        <f t="shared" si="78"/>
        <v>1</v>
      </c>
      <c r="X230" s="124">
        <f t="shared" si="79"/>
        <v>1</v>
      </c>
      <c r="Y230" s="124">
        <f t="shared" si="80"/>
        <v>0</v>
      </c>
      <c r="Z230" s="124">
        <f t="shared" si="81"/>
        <v>1</v>
      </c>
      <c r="AA230" s="124">
        <f t="shared" si="58"/>
        <v>9.2853997625258337E-7</v>
      </c>
      <c r="AB230" s="124">
        <f t="shared" si="82"/>
        <v>0</v>
      </c>
      <c r="AC230" s="124">
        <f t="shared" si="83"/>
        <v>0</v>
      </c>
    </row>
    <row r="231" spans="2:29" s="114" customFormat="1">
      <c r="B231" s="115">
        <f t="shared" si="59"/>
        <v>-3.4200000000000634</v>
      </c>
      <c r="C231" s="124">
        <f t="shared" si="60"/>
        <v>3.801893963205054E-4</v>
      </c>
      <c r="D231" s="124">
        <f t="shared" si="61"/>
        <v>1468170.342585224</v>
      </c>
      <c r="E231" s="124">
        <f t="shared" si="62"/>
        <v>1</v>
      </c>
      <c r="F231" s="124">
        <f t="shared" si="63"/>
        <v>1</v>
      </c>
      <c r="G231" s="124">
        <f t="shared" si="64"/>
        <v>1465821.0567550778</v>
      </c>
      <c r="H231" s="124">
        <f t="shared" si="65"/>
        <v>1</v>
      </c>
      <c r="I231" s="124">
        <f t="shared" si="66"/>
        <v>1</v>
      </c>
      <c r="J231" s="124">
        <f t="shared" si="67"/>
        <v>4.837075265911046E-7</v>
      </c>
      <c r="K231" s="124">
        <f t="shared" si="68"/>
        <v>0</v>
      </c>
      <c r="L231" s="124">
        <f t="shared" si="69"/>
        <v>0</v>
      </c>
      <c r="M231" s="120"/>
      <c r="N231" s="132">
        <f t="shared" si="57"/>
        <v>2.3888004289064763E-3</v>
      </c>
      <c r="O231" s="124">
        <f t="shared" si="70"/>
        <v>9710.7953756632451</v>
      </c>
      <c r="P231" s="124">
        <f t="shared" si="71"/>
        <v>1</v>
      </c>
      <c r="Q231" s="124">
        <f t="shared" si="72"/>
        <v>1</v>
      </c>
      <c r="R231" s="124">
        <f t="shared" si="73"/>
        <v>8158.2480718009729</v>
      </c>
      <c r="S231" s="124">
        <f t="shared" si="74"/>
        <v>5198.6392442969691</v>
      </c>
      <c r="T231" s="124">
        <f t="shared" si="75"/>
        <v>9673.8235250281905</v>
      </c>
      <c r="U231" s="124">
        <f t="shared" si="76"/>
        <v>1</v>
      </c>
      <c r="V231" s="124">
        <f t="shared" si="77"/>
        <v>0</v>
      </c>
      <c r="W231" s="124">
        <f t="shared" si="78"/>
        <v>1</v>
      </c>
      <c r="X231" s="124">
        <f t="shared" si="79"/>
        <v>1</v>
      </c>
      <c r="Y231" s="124">
        <f t="shared" si="80"/>
        <v>0</v>
      </c>
      <c r="Z231" s="124">
        <f t="shared" si="81"/>
        <v>1</v>
      </c>
      <c r="AA231" s="124">
        <f t="shared" si="58"/>
        <v>2.7444638353647675E-6</v>
      </c>
      <c r="AB231" s="124">
        <f t="shared" si="82"/>
        <v>0</v>
      </c>
      <c r="AC231" s="124">
        <f t="shared" si="83"/>
        <v>0</v>
      </c>
    </row>
    <row r="232" spans="2:29" s="114" customFormat="1">
      <c r="B232" s="115">
        <f t="shared" si="59"/>
        <v>-3.4000000000000634</v>
      </c>
      <c r="C232" s="124">
        <f t="shared" si="60"/>
        <v>3.9810717055343881E-4</v>
      </c>
      <c r="D232" s="124">
        <f t="shared" si="61"/>
        <v>1454837.6554305197</v>
      </c>
      <c r="E232" s="124">
        <f t="shared" si="62"/>
        <v>1</v>
      </c>
      <c r="F232" s="124">
        <f t="shared" si="63"/>
        <v>1</v>
      </c>
      <c r="G232" s="124">
        <f t="shared" si="64"/>
        <v>1454090.7349624529</v>
      </c>
      <c r="H232" s="124">
        <f t="shared" si="65"/>
        <v>1</v>
      </c>
      <c r="I232" s="124">
        <f t="shared" si="66"/>
        <v>1</v>
      </c>
      <c r="J232" s="124">
        <f t="shared" si="67"/>
        <v>4.9740631402029484E-8</v>
      </c>
      <c r="K232" s="124">
        <f t="shared" si="68"/>
        <v>0</v>
      </c>
      <c r="L232" s="124">
        <f t="shared" si="69"/>
        <v>0</v>
      </c>
      <c r="M232" s="120"/>
      <c r="N232" s="132">
        <f t="shared" si="57"/>
        <v>2.5013811247042044E-3</v>
      </c>
      <c r="O232" s="124">
        <f t="shared" si="70"/>
        <v>9873.0425741227118</v>
      </c>
      <c r="P232" s="124">
        <f t="shared" si="71"/>
        <v>1</v>
      </c>
      <c r="Q232" s="124">
        <f t="shared" si="72"/>
        <v>1</v>
      </c>
      <c r="R232" s="124">
        <f t="shared" si="73"/>
        <v>8259.3185713991479</v>
      </c>
      <c r="S232" s="124">
        <f t="shared" si="74"/>
        <v>5314.4510250843568</v>
      </c>
      <c r="T232" s="124">
        <f t="shared" si="75"/>
        <v>9821.3916000676309</v>
      </c>
      <c r="U232" s="124">
        <f t="shared" si="76"/>
        <v>1</v>
      </c>
      <c r="V232" s="124">
        <f t="shared" si="77"/>
        <v>0</v>
      </c>
      <c r="W232" s="124">
        <f t="shared" si="78"/>
        <v>1</v>
      </c>
      <c r="X232" s="124">
        <f t="shared" si="79"/>
        <v>1</v>
      </c>
      <c r="Y232" s="124">
        <f t="shared" si="80"/>
        <v>0</v>
      </c>
      <c r="Z232" s="124">
        <f t="shared" si="81"/>
        <v>1</v>
      </c>
      <c r="AA232" s="124">
        <f t="shared" si="58"/>
        <v>5.1892025346505953E-6</v>
      </c>
      <c r="AB232" s="124">
        <f t="shared" si="82"/>
        <v>0</v>
      </c>
      <c r="AC232" s="124">
        <f t="shared" si="83"/>
        <v>0</v>
      </c>
    </row>
    <row r="233" spans="2:29" s="114" customFormat="1">
      <c r="B233" s="115">
        <f t="shared" si="59"/>
        <v>-3.3800000000000634</v>
      </c>
      <c r="C233" s="124">
        <f t="shared" si="60"/>
        <v>4.1686938347027409E-4</v>
      </c>
      <c r="D233" s="124">
        <f t="shared" si="61"/>
        <v>1441514.1991204654</v>
      </c>
      <c r="E233" s="124">
        <f t="shared" si="62"/>
        <v>1</v>
      </c>
      <c r="F233" s="124">
        <f t="shared" si="63"/>
        <v>1</v>
      </c>
      <c r="G233" s="124">
        <f t="shared" si="64"/>
        <v>1442387.59857858</v>
      </c>
      <c r="H233" s="124">
        <f t="shared" si="65"/>
        <v>1</v>
      </c>
      <c r="I233" s="124">
        <f t="shared" si="66"/>
        <v>1</v>
      </c>
      <c r="J233" s="124">
        <f t="shared" si="67"/>
        <v>6.9197999814923773E-8</v>
      </c>
      <c r="K233" s="124">
        <f t="shared" si="68"/>
        <v>0</v>
      </c>
      <c r="L233" s="124">
        <f t="shared" si="69"/>
        <v>0</v>
      </c>
      <c r="M233" s="120"/>
      <c r="N233" s="132">
        <f t="shared" si="57"/>
        <v>2.6192675852334387E-3</v>
      </c>
      <c r="O233" s="124">
        <f t="shared" si="70"/>
        <v>10038.915088767424</v>
      </c>
      <c r="P233" s="124">
        <f t="shared" si="71"/>
        <v>1</v>
      </c>
      <c r="Q233" s="124">
        <f t="shared" si="72"/>
        <v>1</v>
      </c>
      <c r="R233" s="124">
        <f t="shared" si="73"/>
        <v>8362.4134536556212</v>
      </c>
      <c r="S233" s="124">
        <f t="shared" si="74"/>
        <v>5436.3477466928334</v>
      </c>
      <c r="T233" s="124">
        <f t="shared" si="75"/>
        <v>9974.1583902027924</v>
      </c>
      <c r="U233" s="124">
        <f t="shared" si="76"/>
        <v>1</v>
      </c>
      <c r="V233" s="124">
        <f t="shared" si="77"/>
        <v>0</v>
      </c>
      <c r="W233" s="124">
        <f t="shared" si="78"/>
        <v>1</v>
      </c>
      <c r="X233" s="124">
        <f t="shared" si="79"/>
        <v>1</v>
      </c>
      <c r="Y233" s="124">
        <f t="shared" si="80"/>
        <v>0</v>
      </c>
      <c r="Z233" s="124">
        <f t="shared" si="81"/>
        <v>1</v>
      </c>
      <c r="AA233" s="124">
        <f t="shared" si="58"/>
        <v>7.8990245613675934E-6</v>
      </c>
      <c r="AB233" s="124">
        <f t="shared" si="82"/>
        <v>0</v>
      </c>
      <c r="AC233" s="124">
        <f t="shared" si="83"/>
        <v>0</v>
      </c>
    </row>
    <row r="234" spans="2:29" s="114" customFormat="1">
      <c r="B234" s="115">
        <f t="shared" si="59"/>
        <v>-3.3600000000000634</v>
      </c>
      <c r="C234" s="124">
        <f t="shared" si="60"/>
        <v>4.3651583224010203E-4</v>
      </c>
      <c r="D234" s="124">
        <f t="shared" si="61"/>
        <v>1428201.345275447</v>
      </c>
      <c r="E234" s="124">
        <f t="shared" si="62"/>
        <v>1</v>
      </c>
      <c r="F234" s="124">
        <f t="shared" si="63"/>
        <v>1</v>
      </c>
      <c r="G234" s="124">
        <f t="shared" si="64"/>
        <v>1430687.0491210478</v>
      </c>
      <c r="H234" s="124">
        <f t="shared" si="65"/>
        <v>1</v>
      </c>
      <c r="I234" s="124">
        <f t="shared" si="66"/>
        <v>1</v>
      </c>
      <c r="J234" s="124">
        <f t="shared" si="67"/>
        <v>5.7033916821587848E-7</v>
      </c>
      <c r="K234" s="124">
        <f t="shared" si="68"/>
        <v>0</v>
      </c>
      <c r="L234" s="124">
        <f t="shared" si="69"/>
        <v>0</v>
      </c>
      <c r="M234" s="120"/>
      <c r="N234" s="132">
        <f t="shared" si="57"/>
        <v>2.7427098634822782E-3</v>
      </c>
      <c r="O234" s="124">
        <f t="shared" si="70"/>
        <v>10208.501455301752</v>
      </c>
      <c r="P234" s="124">
        <f t="shared" si="71"/>
        <v>1</v>
      </c>
      <c r="Q234" s="124">
        <f t="shared" si="72"/>
        <v>1</v>
      </c>
      <c r="R234" s="124">
        <f t="shared" si="73"/>
        <v>8467.9921415985391</v>
      </c>
      <c r="S234" s="124">
        <f t="shared" si="74"/>
        <v>5564.5248843428208</v>
      </c>
      <c r="T234" s="124">
        <f t="shared" si="75"/>
        <v>10132.661451891358</v>
      </c>
      <c r="U234" s="124">
        <f t="shared" si="76"/>
        <v>1</v>
      </c>
      <c r="V234" s="124">
        <f t="shared" si="77"/>
        <v>0</v>
      </c>
      <c r="W234" s="124">
        <f t="shared" si="78"/>
        <v>1</v>
      </c>
      <c r="X234" s="124">
        <f t="shared" si="79"/>
        <v>1</v>
      </c>
      <c r="Y234" s="124">
        <f t="shared" si="80"/>
        <v>0</v>
      </c>
      <c r="Z234" s="124">
        <f t="shared" si="81"/>
        <v>1</v>
      </c>
      <c r="AA234" s="124">
        <f t="shared" si="58"/>
        <v>1.0487639980060797E-5</v>
      </c>
      <c r="AB234" s="124">
        <f t="shared" si="82"/>
        <v>0</v>
      </c>
      <c r="AC234" s="124">
        <f t="shared" si="83"/>
        <v>0</v>
      </c>
    </row>
    <row r="235" spans="2:29" s="114" customFormat="1">
      <c r="B235" s="115">
        <f t="shared" si="59"/>
        <v>-3.3400000000000634</v>
      </c>
      <c r="C235" s="124">
        <f t="shared" si="60"/>
        <v>4.5708818961480798E-4</v>
      </c>
      <c r="D235" s="124">
        <f t="shared" si="61"/>
        <v>1414900.4707169831</v>
      </c>
      <c r="E235" s="124">
        <f t="shared" si="62"/>
        <v>1</v>
      </c>
      <c r="F235" s="124">
        <f t="shared" si="63"/>
        <v>1</v>
      </c>
      <c r="G235" s="124">
        <f t="shared" si="64"/>
        <v>1418964.5288656089</v>
      </c>
      <c r="H235" s="124">
        <f t="shared" si="65"/>
        <v>1</v>
      </c>
      <c r="I235" s="124">
        <f t="shared" si="66"/>
        <v>1</v>
      </c>
      <c r="J235" s="124">
        <f t="shared" si="67"/>
        <v>1.5516391220244163E-6</v>
      </c>
      <c r="K235" s="124">
        <f t="shared" si="68"/>
        <v>0</v>
      </c>
      <c r="L235" s="124">
        <f t="shared" si="69"/>
        <v>0</v>
      </c>
      <c r="M235" s="120"/>
      <c r="N235" s="132">
        <f t="shared" si="57"/>
        <v>2.8719697970730784E-3</v>
      </c>
      <c r="O235" s="124">
        <f t="shared" si="70"/>
        <v>10381.892431616137</v>
      </c>
      <c r="P235" s="124">
        <f t="shared" si="71"/>
        <v>1</v>
      </c>
      <c r="Q235" s="124">
        <f t="shared" si="72"/>
        <v>1</v>
      </c>
      <c r="R235" s="124">
        <f t="shared" si="73"/>
        <v>8576.5351515772963</v>
      </c>
      <c r="S235" s="124">
        <f t="shared" si="74"/>
        <v>5699.1357267156609</v>
      </c>
      <c r="T235" s="124">
        <f t="shared" si="75"/>
        <v>10297.431875849816</v>
      </c>
      <c r="U235" s="124">
        <f t="shared" si="76"/>
        <v>1</v>
      </c>
      <c r="V235" s="124">
        <f t="shared" si="77"/>
        <v>0</v>
      </c>
      <c r="W235" s="124">
        <f t="shared" si="78"/>
        <v>1</v>
      </c>
      <c r="X235" s="124">
        <f t="shared" si="79"/>
        <v>1</v>
      </c>
      <c r="Y235" s="124">
        <f t="shared" si="80"/>
        <v>0</v>
      </c>
      <c r="Z235" s="124">
        <f t="shared" si="81"/>
        <v>1</v>
      </c>
      <c r="AA235" s="124">
        <f t="shared" si="58"/>
        <v>1.2585446420233122E-5</v>
      </c>
      <c r="AB235" s="124">
        <f t="shared" si="82"/>
        <v>0</v>
      </c>
      <c r="AC235" s="124">
        <f t="shared" si="83"/>
        <v>0</v>
      </c>
    </row>
    <row r="236" spans="2:29" s="114" customFormat="1">
      <c r="B236" s="115">
        <f t="shared" si="59"/>
        <v>-3.3200000000000633</v>
      </c>
      <c r="C236" s="124">
        <f t="shared" si="60"/>
        <v>4.7863009232256806E-4</v>
      </c>
      <c r="D236" s="124">
        <f t="shared" si="61"/>
        <v>1401612.9569933838</v>
      </c>
      <c r="E236" s="124">
        <f t="shared" si="62"/>
        <v>1</v>
      </c>
      <c r="F236" s="124">
        <f t="shared" si="63"/>
        <v>1</v>
      </c>
      <c r="G236" s="124">
        <f t="shared" si="64"/>
        <v>1407196.009764855</v>
      </c>
      <c r="H236" s="124">
        <f t="shared" si="65"/>
        <v>1</v>
      </c>
      <c r="I236" s="124">
        <f t="shared" si="66"/>
        <v>1</v>
      </c>
      <c r="J236" s="124">
        <f t="shared" si="67"/>
        <v>2.9807724102276414E-6</v>
      </c>
      <c r="K236" s="124">
        <f t="shared" si="68"/>
        <v>0</v>
      </c>
      <c r="L236" s="124">
        <f t="shared" si="69"/>
        <v>0</v>
      </c>
      <c r="M236" s="120"/>
      <c r="N236" s="132">
        <f t="shared" si="57"/>
        <v>3.0073215636551684E-3</v>
      </c>
      <c r="O236" s="124">
        <f t="shared" si="70"/>
        <v>10559.181051116175</v>
      </c>
      <c r="P236" s="124">
        <f t="shared" si="71"/>
        <v>1</v>
      </c>
      <c r="Q236" s="124">
        <f t="shared" si="72"/>
        <v>1</v>
      </c>
      <c r="R236" s="124">
        <f t="shared" si="73"/>
        <v>8688.5400771836157</v>
      </c>
      <c r="S236" s="124">
        <f t="shared" si="74"/>
        <v>5840.2888602608064</v>
      </c>
      <c r="T236" s="124">
        <f t="shared" si="75"/>
        <v>10468.987660901714</v>
      </c>
      <c r="U236" s="124">
        <f t="shared" si="76"/>
        <v>1</v>
      </c>
      <c r="V236" s="124">
        <f t="shared" si="77"/>
        <v>0</v>
      </c>
      <c r="W236" s="124">
        <f t="shared" si="78"/>
        <v>1</v>
      </c>
      <c r="X236" s="124">
        <f t="shared" si="79"/>
        <v>1</v>
      </c>
      <c r="Y236" s="124">
        <f t="shared" si="80"/>
        <v>0</v>
      </c>
      <c r="Z236" s="124">
        <f t="shared" si="81"/>
        <v>1</v>
      </c>
      <c r="AA236" s="124">
        <f t="shared" si="58"/>
        <v>1.387971210901429E-5</v>
      </c>
      <c r="AB236" s="124">
        <f t="shared" si="82"/>
        <v>0</v>
      </c>
      <c r="AC236" s="124">
        <f t="shared" si="83"/>
        <v>0</v>
      </c>
    </row>
    <row r="237" spans="2:29" s="114" customFormat="1">
      <c r="B237" s="115">
        <f t="shared" si="59"/>
        <v>-3.3000000000000633</v>
      </c>
      <c r="C237" s="124">
        <f t="shared" si="60"/>
        <v>5.0118723362719913E-4</v>
      </c>
      <c r="D237" s="124">
        <f t="shared" si="61"/>
        <v>1388340.1898969864</v>
      </c>
      <c r="E237" s="124">
        <f t="shared" si="62"/>
        <v>1</v>
      </c>
      <c r="F237" s="124">
        <f t="shared" si="63"/>
        <v>1</v>
      </c>
      <c r="G237" s="124">
        <f t="shared" si="64"/>
        <v>1395358.4707084228</v>
      </c>
      <c r="H237" s="124">
        <f t="shared" si="65"/>
        <v>1</v>
      </c>
      <c r="I237" s="124">
        <f t="shared" si="66"/>
        <v>1</v>
      </c>
      <c r="J237" s="124">
        <f t="shared" si="67"/>
        <v>4.7956501739511588E-6</v>
      </c>
      <c r="K237" s="124">
        <f t="shared" si="68"/>
        <v>0</v>
      </c>
      <c r="L237" s="124">
        <f t="shared" si="69"/>
        <v>0</v>
      </c>
      <c r="M237" s="120"/>
      <c r="N237" s="132">
        <f t="shared" si="57"/>
        <v>3.1490522624724E-3</v>
      </c>
      <c r="O237" s="124">
        <f t="shared" si="70"/>
        <v>10740.462677123405</v>
      </c>
      <c r="P237" s="124">
        <f t="shared" si="71"/>
        <v>1</v>
      </c>
      <c r="Q237" s="124">
        <f t="shared" si="72"/>
        <v>1</v>
      </c>
      <c r="R237" s="124">
        <f t="shared" si="73"/>
        <v>8804.5173085771967</v>
      </c>
      <c r="S237" s="124">
        <f t="shared" si="74"/>
        <v>5988.0458276819309</v>
      </c>
      <c r="T237" s="124">
        <f t="shared" si="75"/>
        <v>10647.826908409736</v>
      </c>
      <c r="U237" s="124">
        <f t="shared" si="76"/>
        <v>1</v>
      </c>
      <c r="V237" s="124">
        <f t="shared" si="77"/>
        <v>0</v>
      </c>
      <c r="W237" s="124">
        <f t="shared" si="78"/>
        <v>1</v>
      </c>
      <c r="X237" s="124">
        <f t="shared" si="79"/>
        <v>1</v>
      </c>
      <c r="Y237" s="124">
        <f t="shared" si="80"/>
        <v>0</v>
      </c>
      <c r="Z237" s="124">
        <f t="shared" si="81"/>
        <v>1</v>
      </c>
      <c r="AA237" s="124">
        <f t="shared" si="58"/>
        <v>1.4152701716695343E-5</v>
      </c>
      <c r="AB237" s="124">
        <f t="shared" si="82"/>
        <v>0</v>
      </c>
      <c r="AC237" s="124">
        <f t="shared" si="83"/>
        <v>0</v>
      </c>
    </row>
    <row r="238" spans="2:29" s="114" customFormat="1">
      <c r="B238" s="115">
        <f t="shared" si="59"/>
        <v>-3.2800000000000633</v>
      </c>
      <c r="C238" s="124">
        <f t="shared" si="60"/>
        <v>5.2480746024969585E-4</v>
      </c>
      <c r="D238" s="124">
        <f t="shared" si="61"/>
        <v>1375083.5589733189</v>
      </c>
      <c r="E238" s="124">
        <f t="shared" si="62"/>
        <v>1</v>
      </c>
      <c r="F238" s="124">
        <f t="shared" si="63"/>
        <v>1</v>
      </c>
      <c r="G238" s="124">
        <f t="shared" si="64"/>
        <v>1383430.3499834512</v>
      </c>
      <c r="H238" s="124">
        <f t="shared" si="65"/>
        <v>1</v>
      </c>
      <c r="I238" s="124">
        <f t="shared" si="66"/>
        <v>1</v>
      </c>
      <c r="J238" s="124">
        <f t="shared" si="67"/>
        <v>6.9074855936544533E-6</v>
      </c>
      <c r="K238" s="124">
        <f t="shared" si="68"/>
        <v>0</v>
      </c>
      <c r="L238" s="124">
        <f t="shared" si="69"/>
        <v>0</v>
      </c>
      <c r="M238" s="120"/>
      <c r="N238" s="132">
        <f t="shared" si="57"/>
        <v>3.2974625233391239E-3</v>
      </c>
      <c r="O238" s="124">
        <f t="shared" si="70"/>
        <v>10925.83505835884</v>
      </c>
      <c r="P238" s="124">
        <f t="shared" si="71"/>
        <v>1</v>
      </c>
      <c r="Q238" s="124">
        <f t="shared" si="72"/>
        <v>1</v>
      </c>
      <c r="R238" s="124">
        <f t="shared" si="73"/>
        <v>8924.9854339982685</v>
      </c>
      <c r="S238" s="124">
        <f t="shared" si="74"/>
        <v>6142.4189734730544</v>
      </c>
      <c r="T238" s="124">
        <f t="shared" si="75"/>
        <v>10834.420881743659</v>
      </c>
      <c r="U238" s="124">
        <f t="shared" si="76"/>
        <v>1</v>
      </c>
      <c r="V238" s="124">
        <f t="shared" si="77"/>
        <v>0</v>
      </c>
      <c r="W238" s="124">
        <f t="shared" si="78"/>
        <v>1</v>
      </c>
      <c r="X238" s="124">
        <f t="shared" si="79"/>
        <v>1</v>
      </c>
      <c r="Y238" s="124">
        <f t="shared" si="80"/>
        <v>0</v>
      </c>
      <c r="Z238" s="124">
        <f t="shared" si="81"/>
        <v>1</v>
      </c>
      <c r="AA238" s="124">
        <f t="shared" si="58"/>
        <v>1.3314744253238962E-5</v>
      </c>
      <c r="AB238" s="124">
        <f t="shared" si="82"/>
        <v>0</v>
      </c>
      <c r="AC238" s="124">
        <f t="shared" si="83"/>
        <v>0</v>
      </c>
    </row>
    <row r="239" spans="2:29" s="114" customFormat="1">
      <c r="B239" s="115">
        <f t="shared" si="59"/>
        <v>-3.2600000000000633</v>
      </c>
      <c r="C239" s="124">
        <f t="shared" si="60"/>
        <v>5.4954087385754411E-4</v>
      </c>
      <c r="D239" s="124">
        <f t="shared" si="61"/>
        <v>1361844.4570222367</v>
      </c>
      <c r="E239" s="124">
        <f t="shared" si="62"/>
        <v>1</v>
      </c>
      <c r="F239" s="124">
        <f t="shared" si="63"/>
        <v>1</v>
      </c>
      <c r="G239" s="124">
        <f t="shared" si="64"/>
        <v>1371391.9606713126</v>
      </c>
      <c r="H239" s="124">
        <f t="shared" si="65"/>
        <v>1</v>
      </c>
      <c r="I239" s="124">
        <f t="shared" si="66"/>
        <v>1</v>
      </c>
      <c r="J239" s="124">
        <f t="shared" si="67"/>
        <v>9.2057126705513052E-6</v>
      </c>
      <c r="K239" s="124">
        <f t="shared" si="68"/>
        <v>0</v>
      </c>
      <c r="L239" s="124">
        <f t="shared" si="69"/>
        <v>0</v>
      </c>
      <c r="M239" s="120"/>
      <c r="N239" s="132">
        <f t="shared" si="57"/>
        <v>3.4528671443163515E-3</v>
      </c>
      <c r="O239" s="124">
        <f t="shared" si="70"/>
        <v>11115.398385517339</v>
      </c>
      <c r="P239" s="124">
        <f t="shared" si="71"/>
        <v>1</v>
      </c>
      <c r="Q239" s="124">
        <f t="shared" si="72"/>
        <v>1</v>
      </c>
      <c r="R239" s="124">
        <f t="shared" si="73"/>
        <v>9050.4662664616699</v>
      </c>
      <c r="S239" s="124">
        <f t="shared" si="74"/>
        <v>6303.3695117290854</v>
      </c>
      <c r="T239" s="124">
        <f t="shared" si="75"/>
        <v>11029.206990611628</v>
      </c>
      <c r="U239" s="124">
        <f t="shared" si="76"/>
        <v>1</v>
      </c>
      <c r="V239" s="124">
        <f t="shared" si="77"/>
        <v>0</v>
      </c>
      <c r="W239" s="124">
        <f t="shared" si="78"/>
        <v>1</v>
      </c>
      <c r="X239" s="124">
        <f t="shared" si="79"/>
        <v>1</v>
      </c>
      <c r="Y239" s="124">
        <f t="shared" si="80"/>
        <v>0</v>
      </c>
      <c r="Z239" s="124">
        <f t="shared" si="81"/>
        <v>1</v>
      </c>
      <c r="AA239" s="124">
        <f t="shared" si="58"/>
        <v>1.1429439362882231E-5</v>
      </c>
      <c r="AB239" s="124">
        <f t="shared" si="82"/>
        <v>0</v>
      </c>
      <c r="AC239" s="124">
        <f t="shared" si="83"/>
        <v>0</v>
      </c>
    </row>
    <row r="240" spans="2:29" s="114" customFormat="1">
      <c r="B240" s="115">
        <f t="shared" si="59"/>
        <v>-3.2400000000000633</v>
      </c>
      <c r="C240" s="124">
        <f t="shared" si="60"/>
        <v>5.7543993733707251E-4</v>
      </c>
      <c r="D240" s="124">
        <f t="shared" si="61"/>
        <v>1348624.279591504</v>
      </c>
      <c r="E240" s="124">
        <f t="shared" si="62"/>
        <v>1</v>
      </c>
      <c r="F240" s="124">
        <f t="shared" si="63"/>
        <v>1</v>
      </c>
      <c r="G240" s="124">
        <f t="shared" si="64"/>
        <v>1359225.8581859265</v>
      </c>
      <c r="H240" s="124">
        <f t="shared" si="65"/>
        <v>1</v>
      </c>
      <c r="I240" s="124">
        <f t="shared" si="66"/>
        <v>1</v>
      </c>
      <c r="J240" s="124">
        <f t="shared" si="67"/>
        <v>1.1564447159495556E-5</v>
      </c>
      <c r="K240" s="124">
        <f t="shared" si="68"/>
        <v>0</v>
      </c>
      <c r="L240" s="124">
        <f t="shared" si="69"/>
        <v>0</v>
      </c>
      <c r="M240" s="120"/>
      <c r="N240" s="132">
        <f t="shared" si="57"/>
        <v>3.6155957594406359E-3</v>
      </c>
      <c r="O240" s="124">
        <f t="shared" si="70"/>
        <v>11309.255348942732</v>
      </c>
      <c r="P240" s="124">
        <f t="shared" si="71"/>
        <v>1</v>
      </c>
      <c r="Q240" s="124">
        <f t="shared" si="72"/>
        <v>1</v>
      </c>
      <c r="R240" s="124">
        <f t="shared" si="73"/>
        <v>9181.4794404722215</v>
      </c>
      <c r="S240" s="124">
        <f t="shared" si="74"/>
        <v>6470.805875584455</v>
      </c>
      <c r="T240" s="124">
        <f t="shared" si="75"/>
        <v>11232.581777815481</v>
      </c>
      <c r="U240" s="124">
        <f t="shared" si="76"/>
        <v>1</v>
      </c>
      <c r="V240" s="124">
        <f t="shared" si="77"/>
        <v>0</v>
      </c>
      <c r="W240" s="124">
        <f t="shared" si="78"/>
        <v>1</v>
      </c>
      <c r="X240" s="124">
        <f t="shared" si="79"/>
        <v>1</v>
      </c>
      <c r="Y240" s="124">
        <f t="shared" si="80"/>
        <v>0</v>
      </c>
      <c r="Z240" s="124">
        <f t="shared" si="81"/>
        <v>1</v>
      </c>
      <c r="AA240" s="124">
        <f t="shared" si="58"/>
        <v>8.7286028019969765E-6</v>
      </c>
      <c r="AB240" s="124">
        <f t="shared" si="82"/>
        <v>0</v>
      </c>
      <c r="AC240" s="124">
        <f t="shared" si="83"/>
        <v>0</v>
      </c>
    </row>
    <row r="241" spans="2:29" s="114" customFormat="1">
      <c r="B241" s="115">
        <f t="shared" si="59"/>
        <v>-3.2200000000000633</v>
      </c>
      <c r="C241" s="124">
        <f t="shared" si="60"/>
        <v>6.0255958607426975E-4</v>
      </c>
      <c r="D241" s="124">
        <f t="shared" si="61"/>
        <v>1335424.4244629371</v>
      </c>
      <c r="E241" s="124">
        <f t="shared" si="62"/>
        <v>1</v>
      </c>
      <c r="F241" s="124">
        <f t="shared" si="63"/>
        <v>1</v>
      </c>
      <c r="G241" s="124">
        <f t="shared" si="64"/>
        <v>1346917.1511533624</v>
      </c>
      <c r="H241" s="124">
        <f t="shared" si="65"/>
        <v>1</v>
      </c>
      <c r="I241" s="124">
        <f t="shared" si="66"/>
        <v>1</v>
      </c>
      <c r="J241" s="124">
        <f t="shared" si="67"/>
        <v>1.385006860082407E-5</v>
      </c>
      <c r="K241" s="124">
        <f t="shared" si="68"/>
        <v>0</v>
      </c>
      <c r="L241" s="124">
        <f t="shared" si="69"/>
        <v>0</v>
      </c>
      <c r="M241" s="120"/>
      <c r="N241" s="132">
        <f t="shared" si="57"/>
        <v>3.785993537922065E-3</v>
      </c>
      <c r="O241" s="124">
        <f t="shared" si="70"/>
        <v>11507.511197411277</v>
      </c>
      <c r="P241" s="124">
        <f t="shared" si="71"/>
        <v>1</v>
      </c>
      <c r="Q241" s="124">
        <f t="shared" si="72"/>
        <v>1</v>
      </c>
      <c r="R241" s="124">
        <f t="shared" si="73"/>
        <v>9318.536531629743</v>
      </c>
      <c r="S241" s="124">
        <f t="shared" si="74"/>
        <v>6644.5824324975147</v>
      </c>
      <c r="T241" s="124">
        <f t="shared" si="75"/>
        <v>11444.894005344595</v>
      </c>
      <c r="U241" s="124">
        <f t="shared" si="76"/>
        <v>1</v>
      </c>
      <c r="V241" s="124">
        <f t="shared" si="77"/>
        <v>0</v>
      </c>
      <c r="W241" s="124">
        <f t="shared" si="78"/>
        <v>1</v>
      </c>
      <c r="X241" s="124">
        <f t="shared" si="79"/>
        <v>1</v>
      </c>
      <c r="Y241" s="124">
        <f t="shared" si="80"/>
        <v>0</v>
      </c>
      <c r="Z241" s="124">
        <f t="shared" si="81"/>
        <v>1</v>
      </c>
      <c r="AA241" s="124">
        <f t="shared" si="58"/>
        <v>5.6151523179522317E-6</v>
      </c>
      <c r="AB241" s="124">
        <f t="shared" si="82"/>
        <v>0</v>
      </c>
      <c r="AC241" s="124">
        <f t="shared" si="83"/>
        <v>0</v>
      </c>
    </row>
    <row r="242" spans="2:29" s="114" customFormat="1">
      <c r="B242" s="115">
        <f t="shared" si="59"/>
        <v>-3.2000000000000632</v>
      </c>
      <c r="C242" s="124">
        <f t="shared" si="60"/>
        <v>6.3095734448010104E-4</v>
      </c>
      <c r="D242" s="124">
        <f t="shared" si="61"/>
        <v>1322246.2911314878</v>
      </c>
      <c r="E242" s="124">
        <f t="shared" si="62"/>
        <v>1</v>
      </c>
      <c r="F242" s="124">
        <f t="shared" si="63"/>
        <v>1</v>
      </c>
      <c r="G242" s="124">
        <f t="shared" si="64"/>
        <v>1334453.7492425558</v>
      </c>
      <c r="H242" s="124">
        <f t="shared" si="65"/>
        <v>1</v>
      </c>
      <c r="I242" s="124">
        <f t="shared" si="66"/>
        <v>1</v>
      </c>
      <c r="J242" s="124">
        <f t="shared" si="67"/>
        <v>1.5929427504172392E-5</v>
      </c>
      <c r="K242" s="124">
        <f t="shared" si="68"/>
        <v>0</v>
      </c>
      <c r="L242" s="124">
        <f t="shared" si="69"/>
        <v>0</v>
      </c>
      <c r="M242" s="120"/>
      <c r="N242" s="132">
        <f t="shared" si="57"/>
        <v>3.9644219162944198E-3</v>
      </c>
      <c r="O242" s="124">
        <f t="shared" si="70"/>
        <v>11710.273798030767</v>
      </c>
      <c r="P242" s="124">
        <f t="shared" si="71"/>
        <v>1</v>
      </c>
      <c r="Q242" s="124">
        <f t="shared" si="72"/>
        <v>1</v>
      </c>
      <c r="R242" s="124">
        <f t="shared" si="73"/>
        <v>9462.1346666623867</v>
      </c>
      <c r="S242" s="124">
        <f t="shared" si="74"/>
        <v>6824.4986739933092</v>
      </c>
      <c r="T242" s="124">
        <f t="shared" si="75"/>
        <v>11666.437956865435</v>
      </c>
      <c r="U242" s="124">
        <f t="shared" si="76"/>
        <v>1</v>
      </c>
      <c r="V242" s="124">
        <f t="shared" si="77"/>
        <v>0</v>
      </c>
      <c r="W242" s="124">
        <f t="shared" si="78"/>
        <v>1</v>
      </c>
      <c r="X242" s="124">
        <f t="shared" si="79"/>
        <v>1</v>
      </c>
      <c r="Y242" s="124">
        <f t="shared" si="80"/>
        <v>0</v>
      </c>
      <c r="Z242" s="124">
        <f t="shared" si="81"/>
        <v>1</v>
      </c>
      <c r="AA242" s="124">
        <f t="shared" si="58"/>
        <v>2.6529036522858628E-6</v>
      </c>
      <c r="AB242" s="124">
        <f t="shared" si="82"/>
        <v>0</v>
      </c>
      <c r="AC242" s="124">
        <f t="shared" si="83"/>
        <v>0</v>
      </c>
    </row>
    <row r="243" spans="2:29" s="114" customFormat="1">
      <c r="B243" s="115">
        <f t="shared" si="59"/>
        <v>-3.1800000000000632</v>
      </c>
      <c r="C243" s="124">
        <f t="shared" si="60"/>
        <v>6.6069344800749933E-4</v>
      </c>
      <c r="D243" s="124">
        <f t="shared" si="61"/>
        <v>1309091.2802775297</v>
      </c>
      <c r="E243" s="124">
        <f t="shared" si="62"/>
        <v>1</v>
      </c>
      <c r="F243" s="124">
        <f t="shared" si="63"/>
        <v>1</v>
      </c>
      <c r="G243" s="124">
        <f t="shared" si="64"/>
        <v>1321826.5442367508</v>
      </c>
      <c r="H243" s="124">
        <f t="shared" si="65"/>
        <v>1</v>
      </c>
      <c r="I243" s="124">
        <f t="shared" si="66"/>
        <v>1</v>
      </c>
      <c r="J243" s="124">
        <f t="shared" si="67"/>
        <v>1.7678146687884711E-5</v>
      </c>
      <c r="K243" s="124">
        <f t="shared" si="68"/>
        <v>0</v>
      </c>
      <c r="L243" s="124">
        <f t="shared" si="69"/>
        <v>0</v>
      </c>
      <c r="M243" s="120"/>
      <c r="N243" s="132">
        <f t="shared" si="57"/>
        <v>4.1512593650705398E-3</v>
      </c>
      <c r="O243" s="124">
        <f t="shared" si="70"/>
        <v>11917.653697262434</v>
      </c>
      <c r="P243" s="124">
        <f t="shared" si="71"/>
        <v>1</v>
      </c>
      <c r="Q243" s="124">
        <f t="shared" si="72"/>
        <v>1</v>
      </c>
      <c r="R243" s="124">
        <f t="shared" si="73"/>
        <v>9612.7496130561831</v>
      </c>
      <c r="S243" s="124">
        <f t="shared" si="74"/>
        <v>7010.2990110013234</v>
      </c>
      <c r="T243" s="124">
        <f t="shared" si="75"/>
        <v>11897.447093681818</v>
      </c>
      <c r="U243" s="124">
        <f t="shared" si="76"/>
        <v>1</v>
      </c>
      <c r="V243" s="124">
        <f t="shared" si="77"/>
        <v>0</v>
      </c>
      <c r="W243" s="124">
        <f t="shared" si="78"/>
        <v>1</v>
      </c>
      <c r="X243" s="124">
        <f t="shared" si="79"/>
        <v>1</v>
      </c>
      <c r="Y243" s="124">
        <f t="shared" si="80"/>
        <v>0</v>
      </c>
      <c r="Z243" s="124">
        <f t="shared" si="81"/>
        <v>1</v>
      </c>
      <c r="AA243" s="124">
        <f t="shared" si="58"/>
        <v>5.4313853613719262E-7</v>
      </c>
      <c r="AB243" s="124">
        <f t="shared" si="82"/>
        <v>0</v>
      </c>
      <c r="AC243" s="124">
        <f t="shared" si="83"/>
        <v>0</v>
      </c>
    </row>
    <row r="244" spans="2:29" s="114" customFormat="1">
      <c r="B244" s="115">
        <f t="shared" si="59"/>
        <v>-3.1600000000000632</v>
      </c>
      <c r="C244" s="124">
        <f t="shared" si="60"/>
        <v>6.9183097091883507E-4</v>
      </c>
      <c r="D244" s="124">
        <f t="shared" si="61"/>
        <v>1295960.7932326319</v>
      </c>
      <c r="E244" s="124">
        <f t="shared" si="62"/>
        <v>1</v>
      </c>
      <c r="F244" s="124">
        <f t="shared" si="63"/>
        <v>1</v>
      </c>
      <c r="G244" s="124">
        <f t="shared" si="64"/>
        <v>1309029.5234120088</v>
      </c>
      <c r="H244" s="124">
        <f t="shared" si="65"/>
        <v>1</v>
      </c>
      <c r="I244" s="124">
        <f t="shared" si="66"/>
        <v>1</v>
      </c>
      <c r="J244" s="124">
        <f t="shared" si="67"/>
        <v>1.8988491190858005E-5</v>
      </c>
      <c r="K244" s="124">
        <f t="shared" si="68"/>
        <v>0</v>
      </c>
      <c r="L244" s="124">
        <f t="shared" si="69"/>
        <v>0</v>
      </c>
      <c r="M244" s="120"/>
      <c r="N244" s="132">
        <f t="shared" ref="N244:N307" si="84">2*PI()*C244</f>
        <v>4.346902191529012E-3</v>
      </c>
      <c r="O244" s="124">
        <f t="shared" si="70"/>
        <v>12129.764183071351</v>
      </c>
      <c r="P244" s="124">
        <f t="shared" si="71"/>
        <v>1</v>
      </c>
      <c r="Q244" s="124">
        <f t="shared" si="72"/>
        <v>1</v>
      </c>
      <c r="R244" s="124">
        <f t="shared" si="73"/>
        <v>9770.8283661359583</v>
      </c>
      <c r="S244" s="124">
        <f t="shared" si="74"/>
        <v>7201.6733249555009</v>
      </c>
      <c r="T244" s="124">
        <f t="shared" si="75"/>
        <v>12138.088220138405</v>
      </c>
      <c r="U244" s="124">
        <f t="shared" si="76"/>
        <v>1</v>
      </c>
      <c r="V244" s="124">
        <f t="shared" si="77"/>
        <v>0</v>
      </c>
      <c r="W244" s="124">
        <f t="shared" si="78"/>
        <v>1</v>
      </c>
      <c r="X244" s="124">
        <f t="shared" si="79"/>
        <v>1</v>
      </c>
      <c r="Y244" s="124">
        <f t="shared" si="80"/>
        <v>0</v>
      </c>
      <c r="Z244" s="124">
        <f t="shared" si="81"/>
        <v>1</v>
      </c>
      <c r="AA244" s="124">
        <f t="shared" ref="AA244:AA307" si="85">(LOG10(O244)-LOG10(T244))^2</f>
        <v>8.8763408171127585E-8</v>
      </c>
      <c r="AB244" s="124">
        <f t="shared" si="82"/>
        <v>0</v>
      </c>
      <c r="AC244" s="124">
        <f t="shared" si="83"/>
        <v>0</v>
      </c>
    </row>
    <row r="245" spans="2:29" s="114" customFormat="1">
      <c r="B245" s="115">
        <f t="shared" ref="B245:B308" si="86">B244+0.02</f>
        <v>-3.1400000000000632</v>
      </c>
      <c r="C245" s="124">
        <f t="shared" ref="C245:C308" si="87">10^B245</f>
        <v>7.2443596007488434E-4</v>
      </c>
      <c r="D245" s="124">
        <f t="shared" ref="D245:D308" si="88">IF(AND($D$12&lt;&gt;"",$E$12&lt;&gt;"",$F$12&lt;&gt;"",$G$12&lt;&gt;""),10^($D$12+$E$12/(1+EXP($F$12+$G$12*LOG10($C245)))),1)</f>
        <v>1282856.2314392389</v>
      </c>
      <c r="E245" s="124">
        <f t="shared" ref="E245:E308" si="89">IF(AND($D$13&lt;&gt;"",$E$13&lt;&gt;"",$F$13&lt;&gt;"",$G$13&lt;&gt;""),10^($D$13+$E$13/(1+EXP($F$13+$G$13*LOG10($C245)))),1)</f>
        <v>1</v>
      </c>
      <c r="F245" s="124">
        <f t="shared" ref="F245:F308" si="90">IF(AND($D$14&lt;&gt;"",$E$14&lt;&gt;"",$F$14&lt;&gt;"",$G$14&lt;&gt;""),10^($D$14+$E$14/(1+EXP($F$14+$G$14*LOG10($C245)))),1)</f>
        <v>1</v>
      </c>
      <c r="G245" s="124">
        <f t="shared" ref="G245:G308" si="91">IF(OR($C$28="",$C$28=0),1,$C$28+$C$29*EXP(-C245/$F$29)+$C$30*EXP(-C245/$F$30)+$C$31*EXP(-C245/$F$31)+$C$32*EXP(-C245/$F$32)+$C$33*EXP(-C245/$F$33)+$C$34*EXP(-C245/$F$34)+$C$35*EXP(-C245/$F$35)+$C$36*EXP(-C245/$F$36)+$C$37*EXP(-C245/$F$37)+$C$38*EXP(-C245/$F$38)+$C$39*EXP(-C245/$F$39)+$C$40*EXP(-C245/$F$40)+$C$41*EXP(-C245/$F$41)+$C$42*EXP(-C245/$F$42))</f>
        <v>1296059.8169769244</v>
      </c>
      <c r="H245" s="124">
        <f t="shared" ref="H245:H308" si="92">IF(OR($D$28="",$D$28=0),1,$D$28+$D$29*EXP(-C245/$F$29)+$D$30*EXP(-C245/$F$30)+$D$31*EXP(-C245/$F$31)+$D$32*EXP(-C245/$F$32)+$D$33*EXP(-C245/$F$33)+$D$34*EXP(-C245/$F$34)+$D$35*EXP(-C245/$F$35)+$D$36*EXP(-C245/$F$36)+$D$37*EXP(-C245/$F$37)+$D$38*EXP(-C245/$F$38)+$D$39*EXP(-C245/$F$39)+$D$40*EXP(-C245/$F$40)+$D$41*EXP(-C245/$F$41)+$D$42*EXP(-C245/$F$42))</f>
        <v>1</v>
      </c>
      <c r="I245" s="124">
        <f t="shared" ref="I245:I308" si="93">IF(OR($E$28="",$E$28=0),1,$E$28+$E$29*EXP(-C245/$F$29)+$E$30*EXP(-C245/$F$30)+$E$31*EXP(-C245/$F$31)+$E$32*EXP(-C245/$F$32)+$E$33*EXP(-C245/$F$33)+$E$34*EXP(-C245/$F$34)+$E$35*EXP(-C245/$F$35)+$E$36*EXP(-C245/$F$36)+$E$37*EXP(-C245/$F$37)+$E$38*EXP(-C245/$F$38)+$E$39*EXP(-C245/$F$39)+$E$40*EXP(-C245/$F$40)+$E$41*EXP(-C245/$F$41)+$E$42*EXP(-C245/$F$42))</f>
        <v>1</v>
      </c>
      <c r="J245" s="124">
        <f t="shared" ref="J245:J308" si="94">(LOG10(D245)-LOG10(G245))^2</f>
        <v>1.9776323627529223E-5</v>
      </c>
      <c r="K245" s="124">
        <f t="shared" ref="K245:K308" si="95">(LOG10(E245)-LOG10(H245))^2</f>
        <v>0</v>
      </c>
      <c r="L245" s="124">
        <f t="shared" ref="L245:L308" si="96">(LOG10(F245)-LOG10(I245))^2</f>
        <v>0</v>
      </c>
      <c r="M245" s="120"/>
      <c r="N245" s="132">
        <f t="shared" si="84"/>
        <v>4.5517653803350509E-3</v>
      </c>
      <c r="O245" s="124">
        <f t="shared" ref="O245:O308" si="97">IF(AND($L$12&lt;&gt;"",$M$12&lt;&gt;"",$N$12&lt;&gt;"",$O$12&lt;&gt;""),10^($L$12+$M$12/(1+EXP($N$12+$O$12*LOG10($C245)))),1)</f>
        <v>12346.721348210214</v>
      </c>
      <c r="P245" s="124">
        <f t="shared" ref="P245:P308" si="98">IF(AND($L$13&lt;&gt;"",$M$13&lt;&gt;"",$N$13&lt;&gt;"",$O$13&lt;&gt;""),10^($L$13+$M$13/(1+EXP($N$13+$O$13*LOG10($C245)))),1)</f>
        <v>1</v>
      </c>
      <c r="Q245" s="124">
        <f t="shared" ref="Q245:Q308" si="99">IF(AND($L$14&lt;&gt;"",$M$14&lt;&gt;"",$N$14&lt;&gt;"",$O$14&lt;&gt;""),10^($L$14+$M$14/(1+EXP($N$14+$O$14*LOG10($C245)))),1)</f>
        <v>1</v>
      </c>
      <c r="R245" s="124">
        <f t="shared" ref="R245:R308" si="100">IF(OR($C$28="",$C$28=0),1,$C$28+($N245^2*$F$29^2*$C$29)/($N245^2*$F$29^2+1)+($N245^2*$F$30^2*$C$30)/($N245^2*$F$30^2+1)+($N245^2*$F$31^2*$C$31)/($N245^2*$F$31^2+1)+($N245^2*$F$32^2*$C$32)/($N245^2*$F$32^2+1)+($N245^2*$F$33^2*$C$33)/($N245^2*$F$33^2+1)+($N245^2*$F$34^2*$C$34)/($N245^2*$F$34^2+1)+($N245^2*$F$35^2*$C$35)/($N245^2*$F$35^2+1)+($N245^2*$F$36^2*$C$36)/($N245^2*$F$36^2+1)+($N245^2*$F$37^2*$C$37)/($N245^2*$F$37^2+1)+($N245^2*$F$38^2*$C$38)/($N245^2*$F$38^2+1)+($N245^2*$F$39^2*$C$39)/($N245^2*$F$39^2+1)+($N245^2*$F$40^2*$C$40)/($N245^2*$F$40^2+1)+($N245^2*$F$41^2*$C$41)/($N245^2*$F$41^2+1)+($N245^2*$F$42^2*$C$42)/($N245^2*$F$42^2+1))</f>
        <v>9936.781286978603</v>
      </c>
      <c r="S245" s="124">
        <f t="shared" ref="S245:S308" si="101">IF(OR($C$28="",$C$28=0),0,($N245*$F$29*$C$29)/($N245^2*$F$29^2+1)+($N245*$F$30*$C$30)/($N245^2*$F$30^2+1)+($N245*$F$31*$C$31)/($N245^2*$F$31^2+1)+($N245*$F$32*$C$32)/($N245^2*$F$32^2+1)+($N245*$F$33*$C$33)/($N245^2*$F$33^2+1)+($N245*$F$34*$C$34)/($N245^2*$F$34^2+1)+($N245*$F$35*$C$35)/($N245^2*$F$35^2+1)+($N245*$F$36*$C$36)/($N245^2*$F$36^2+1)+($N245*$F$37*$C$37)/($N245^2*$F$37^2+1)+($N245*$F$38*$C$38)/($N245^2*$F$38^2+1)+($N245*$F$39*$C$39)/($N245^2*$F$39^2+1)+($N245*$F$40*$C$40)/($N245^2*$F$40^2+1)+($N245*$F$41*$C$41)/($N245^2*$F$41^2+1)+($N245*$F$42*$C$42)/($N245^2*$F$42^2+1))</f>
        <v>7398.2584385249811</v>
      </c>
      <c r="T245" s="124">
        <f t="shared" ref="T245:T308" si="102">SQRT(R245^2+S245^2)</f>
        <v>12388.456331135621</v>
      </c>
      <c r="U245" s="124">
        <f t="shared" ref="U245:U308" si="103">IF(OR($D$28="",$D$28=0),1,$D$28+($N245^2*$F$29^2*$D$29)/($N245^2*$F$29^2+1)+($N245^2*$F$30^2*$D$30)/($N245^2*$F$30^2+1)+($N245^2*$F$31^2*$D$31)/($N245^2*$F$31^2+1)+($N245^2*$F$32^2*$D$32)/($N245^2*$F$32^2+1)+($N245^2*$F$33^2*$D$33)/($N245^2*$F$33^2+1)+($N245^2*$F$34^2*$D$34)/($N245^2*$F$34^2+1)+($N245^2*$F$35^2*$D$35)/($N245^2*$F$35^2+1)+($N245^2*$F$36^2*$D$36)/($N245^2*$F$36^2+1)+($N245^2*$F$37^2*$D$37)/($N245^2*$F$37^2+1)+($N245^2*$F$38^2*$D$38)/($N245^2*$F$38^2+1)+($N245^2*$F$39^2*$D$39)/($N245^2*$F$39^2+1)+($N245^2*$F$40^2*$D$40)/($N245^2*$F$40^2+1)+($N245^2*$F$41^2*$D$41)/($N245^2*$F$41^2+1)+($N245^2*$F$42^2*$D$42)/($N245^2*$F$42^2+1))</f>
        <v>1</v>
      </c>
      <c r="V245" s="124">
        <f t="shared" ref="V245:V308" si="104">IF(OR($D$28="",$D$28=0),0,($N245*$F$29*$D$29)/($N245^2*$F$29^2+1)+($N245*$F$30*$D$30)/($N245^2*$F$30^2+1)+($N245*$F$31*$D$31)/($N245^2*$F$31^2+1)+($N245*$F$32*$D$32)/($N245^2*$F$32^2+1)+($N245*$F$33*$D$33)/($N245^2*$F$33^2+1)+($N245*$F$34*$D$34)/($N245^2*$F$34^2+1)+($N245*$F$35*$D$35)/($N245^2*$F$35^2+1)+($N245*$F$36*$D$36)/($N245^2*$F$36^2+1)+($N245*$F$37*$D$37)/($N245^2*$F$37^2+1)+($N245*$F$38*$D$38)/($N245^2*$F$38^2+1)+($N245*$F$39*$D$39)/($N245^2*$F$39^2+1)+($N245*$F$40*$D$40)/($N245^2*$F$40^2+1)+($N245*$F$41*$D$41)/($N245^2*$F$41^2+1)+($N245*$F$42*$D$42)/($N245^2*$F$42^2+1))</f>
        <v>0</v>
      </c>
      <c r="W245" s="124">
        <f t="shared" ref="W245:W308" si="105">SQRT(U245^2+V245^2)</f>
        <v>1</v>
      </c>
      <c r="X245" s="124">
        <f t="shared" ref="X245:X308" si="106">IF(OR($E$28="",$E$28=0),1,$E$28+($N245^2*$F$29^2*$E$29)/($N245^2*$F$29^2+1)+($N245^2*$F$30^2*$E$30)/($N245^2*$F$30^2+1)+($N245^2*$F$31^2*$E$31)/($N245^2*$F$31^2+1)+($N245^2*$F$32^2*$E$32)/($N245^2*$F$32^2+1)+($N245^2*$F$33^2*$E$33)/($N245^2*$F$33^2+1)+($N245^2*$F$34^2*$E$34)/($N245^2*$F$34^2+1)+($N245^2*$F$35^2*$E$35)/($N245^2*$F$35^2+1)+($N245^2*$F$36^2*$E$36)/($N245^2*$F$36^2+1)+($N245^2*$F$37^2*$E$37)/($N245^2*$F$37^2+1)+($N245^2*$F$38^2*$E$38)/($N245^2*$F$38^2+1)+($N245^2*$F$39^2*$E$39)/($N245^2*$F$39^2+1)+($N245^2*$F$40^2*$E$40)/($N245^2*$F$40^2+1)+($N245^2*$F$41^2*$E$41)/($N245^2*$F$41^2+1)+($N245^2*$F$42^2*$E$42)/($N245^2*$F$42^2+1))</f>
        <v>1</v>
      </c>
      <c r="Y245" s="124">
        <f t="shared" ref="Y245:Y308" si="107">IF(OR($E$28="",$E$28=0),0,($N245*$F$29*$E$29)/($N245^2*$F$29^2+1)+($N245*$F$30*$E$30)/($N245^2*$F$30^2+1)+($N245*$F$31*$E$31)/($N245^2*$F$31^2+1)+($N245*$F$32*$E$32)/($N245^2*$F$32^2+1)+($N245*$F$33*$E$33)/($N245^2*$F$33^2+1)+($N245*$F$34*$E$34)/($N245^2*$F$34^2+1)+($N245*$F$35*$E$35)/($N245^2*$F$35^2+1)+($N245*$F$36*$E$36)/($N245^2*$F$36^2+1)+($N245*$F$37*$E$37)/($N245^2*$F$37^2+1)+($N245*$F$38*$E$38)/($N245^2*$F$38^2+1)+($N245*$F$39*$E$39)/($N245^2*$F$39^2+1)+($N245*$F$40*$E$40)/($N245^2*$F$40^2+1)+($N245*$F$41*$E$41)/($N245^2*$F$41^2+1)+($N245*$F$42*$E$42)/($N245^2*$F$42^2+1))</f>
        <v>0</v>
      </c>
      <c r="Z245" s="124">
        <f t="shared" ref="Z245:Z308" si="108">SQRT(X245^2+Y245^2)</f>
        <v>1</v>
      </c>
      <c r="AA245" s="124">
        <f t="shared" si="85"/>
        <v>2.1478297312018636E-6</v>
      </c>
      <c r="AB245" s="124">
        <f t="shared" ref="AB245:AB308" si="109">(LOG10(P245)-LOG10(W245))^2</f>
        <v>0</v>
      </c>
      <c r="AC245" s="124">
        <f t="shared" ref="AC245:AC308" si="110">(LOG10(Q245)-LOG10(Z245))^2</f>
        <v>0</v>
      </c>
    </row>
    <row r="246" spans="2:29" s="114" customFormat="1">
      <c r="B246" s="115">
        <f t="shared" si="86"/>
        <v>-3.1200000000000632</v>
      </c>
      <c r="C246" s="124">
        <f t="shared" si="87"/>
        <v>7.5857757502907294E-4</v>
      </c>
      <c r="D246" s="124">
        <f t="shared" si="88"/>
        <v>1269778.9959044347</v>
      </c>
      <c r="E246" s="124">
        <f t="shared" si="89"/>
        <v>1</v>
      </c>
      <c r="F246" s="124">
        <f t="shared" si="90"/>
        <v>1</v>
      </c>
      <c r="G246" s="124">
        <f t="shared" si="91"/>
        <v>1282917.6837441216</v>
      </c>
      <c r="H246" s="124">
        <f t="shared" si="92"/>
        <v>1</v>
      </c>
      <c r="I246" s="124">
        <f t="shared" si="93"/>
        <v>1</v>
      </c>
      <c r="J246" s="124">
        <f t="shared" si="94"/>
        <v>1.9986734616156851E-5</v>
      </c>
      <c r="K246" s="124">
        <f t="shared" si="95"/>
        <v>0</v>
      </c>
      <c r="L246" s="124">
        <f t="shared" si="96"/>
        <v>0</v>
      </c>
      <c r="M246" s="120"/>
      <c r="N246" s="132">
        <f t="shared" si="84"/>
        <v>4.7662834737785915E-3</v>
      </c>
      <c r="O246" s="124">
        <f t="shared" si="97"/>
        <v>12568.644154640955</v>
      </c>
      <c r="P246" s="124">
        <f t="shared" si="98"/>
        <v>1</v>
      </c>
      <c r="Q246" s="124">
        <f t="shared" si="99"/>
        <v>1</v>
      </c>
      <c r="R246" s="124">
        <f t="shared" si="100"/>
        <v>10110.973886247984</v>
      </c>
      <c r="S246" s="124">
        <f t="shared" si="101"/>
        <v>7599.6406762072156</v>
      </c>
      <c r="T246" s="124">
        <f t="shared" si="102"/>
        <v>12648.570327742655</v>
      </c>
      <c r="U246" s="124">
        <f t="shared" si="103"/>
        <v>1</v>
      </c>
      <c r="V246" s="124">
        <f t="shared" si="104"/>
        <v>0</v>
      </c>
      <c r="W246" s="124">
        <f t="shared" si="105"/>
        <v>1</v>
      </c>
      <c r="X246" s="124">
        <f t="shared" si="106"/>
        <v>1</v>
      </c>
      <c r="Y246" s="124">
        <f t="shared" si="107"/>
        <v>0</v>
      </c>
      <c r="Z246" s="124">
        <f t="shared" si="108"/>
        <v>1</v>
      </c>
      <c r="AA246" s="124">
        <f t="shared" si="85"/>
        <v>7.579059846971331E-6</v>
      </c>
      <c r="AB246" s="124">
        <f t="shared" si="109"/>
        <v>0</v>
      </c>
      <c r="AC246" s="124">
        <f t="shared" si="110"/>
        <v>0</v>
      </c>
    </row>
    <row r="247" spans="2:29" s="114" customFormat="1">
      <c r="B247" s="115">
        <f t="shared" si="86"/>
        <v>-3.1000000000000631</v>
      </c>
      <c r="C247" s="124">
        <f t="shared" si="87"/>
        <v>7.9432823472416541E-4</v>
      </c>
      <c r="D247" s="124">
        <f t="shared" si="88"/>
        <v>1256730.4866483</v>
      </c>
      <c r="E247" s="124">
        <f t="shared" si="89"/>
        <v>1</v>
      </c>
      <c r="F247" s="124">
        <f t="shared" si="90"/>
        <v>1</v>
      </c>
      <c r="G247" s="124">
        <f t="shared" si="91"/>
        <v>1269606.441187077</v>
      </c>
      <c r="H247" s="124">
        <f t="shared" si="92"/>
        <v>1</v>
      </c>
      <c r="I247" s="124">
        <f t="shared" si="93"/>
        <v>1</v>
      </c>
      <c r="J247" s="124">
        <f t="shared" si="94"/>
        <v>1.9598032054955449E-5</v>
      </c>
      <c r="K247" s="124">
        <f t="shared" si="95"/>
        <v>0</v>
      </c>
      <c r="L247" s="124">
        <f t="shared" si="96"/>
        <v>0</v>
      </c>
      <c r="M247" s="120"/>
      <c r="N247" s="132">
        <f t="shared" si="84"/>
        <v>4.9909114934967736E-3</v>
      </c>
      <c r="O247" s="124">
        <f t="shared" si="97"/>
        <v>12795.654499097223</v>
      </c>
      <c r="P247" s="124">
        <f t="shared" si="98"/>
        <v>1</v>
      </c>
      <c r="Q247" s="124">
        <f t="shared" si="99"/>
        <v>1</v>
      </c>
      <c r="R247" s="124">
        <f t="shared" si="100"/>
        <v>10293.718395720129</v>
      </c>
      <c r="S247" s="124">
        <f t="shared" si="101"/>
        <v>7805.3596819557824</v>
      </c>
      <c r="T247" s="124">
        <f t="shared" si="102"/>
        <v>12918.369795569713</v>
      </c>
      <c r="U247" s="124">
        <f t="shared" si="103"/>
        <v>1</v>
      </c>
      <c r="V247" s="124">
        <f t="shared" si="104"/>
        <v>0</v>
      </c>
      <c r="W247" s="124">
        <f t="shared" si="105"/>
        <v>1</v>
      </c>
      <c r="X247" s="124">
        <f t="shared" si="106"/>
        <v>1</v>
      </c>
      <c r="Y247" s="124">
        <f t="shared" si="107"/>
        <v>0</v>
      </c>
      <c r="Z247" s="124">
        <f t="shared" si="108"/>
        <v>1</v>
      </c>
      <c r="AA247" s="124">
        <f t="shared" si="85"/>
        <v>1.7182743619930504E-5</v>
      </c>
      <c r="AB247" s="124">
        <f t="shared" si="109"/>
        <v>0</v>
      </c>
      <c r="AC247" s="124">
        <f t="shared" si="110"/>
        <v>0</v>
      </c>
    </row>
    <row r="248" spans="2:29" s="114" customFormat="1">
      <c r="B248" s="115">
        <f t="shared" si="86"/>
        <v>-3.0800000000000631</v>
      </c>
      <c r="C248" s="124">
        <f t="shared" si="87"/>
        <v>8.3176377110254923E-4</v>
      </c>
      <c r="D248" s="124">
        <f t="shared" si="88"/>
        <v>1243712.1021470942</v>
      </c>
      <c r="E248" s="124">
        <f t="shared" si="89"/>
        <v>1</v>
      </c>
      <c r="F248" s="124">
        <f t="shared" si="90"/>
        <v>1</v>
      </c>
      <c r="G248" s="124">
        <f t="shared" si="91"/>
        <v>1256132.3474601605</v>
      </c>
      <c r="H248" s="124">
        <f t="shared" si="92"/>
        <v>1</v>
      </c>
      <c r="I248" s="124">
        <f t="shared" si="93"/>
        <v>1</v>
      </c>
      <c r="J248" s="124">
        <f t="shared" si="94"/>
        <v>1.8623878794140943E-5</v>
      </c>
      <c r="K248" s="124">
        <f t="shared" si="95"/>
        <v>0</v>
      </c>
      <c r="L248" s="124">
        <f t="shared" si="96"/>
        <v>0</v>
      </c>
      <c r="M248" s="120"/>
      <c r="N248" s="132">
        <f t="shared" si="84"/>
        <v>5.2261259056358214E-3</v>
      </c>
      <c r="O248" s="124">
        <f t="shared" si="97"/>
        <v>13027.877279790137</v>
      </c>
      <c r="P248" s="124">
        <f t="shared" si="98"/>
        <v>1</v>
      </c>
      <c r="Q248" s="124">
        <f t="shared" si="99"/>
        <v>1</v>
      </c>
      <c r="R248" s="124">
        <f t="shared" si="100"/>
        <v>10485.265319041866</v>
      </c>
      <c r="S248" s="124">
        <f t="shared" si="101"/>
        <v>8014.913646519105</v>
      </c>
      <c r="T248" s="124">
        <f t="shared" si="102"/>
        <v>13197.7130432458</v>
      </c>
      <c r="U248" s="124">
        <f t="shared" si="103"/>
        <v>1</v>
      </c>
      <c r="V248" s="124">
        <f t="shared" si="104"/>
        <v>0</v>
      </c>
      <c r="W248" s="124">
        <f t="shared" si="105"/>
        <v>1</v>
      </c>
      <c r="X248" s="124">
        <f t="shared" si="106"/>
        <v>1</v>
      </c>
      <c r="Y248" s="124">
        <f t="shared" si="107"/>
        <v>0</v>
      </c>
      <c r="Z248" s="124">
        <f t="shared" si="108"/>
        <v>1</v>
      </c>
      <c r="AA248" s="124">
        <f t="shared" si="85"/>
        <v>3.1640876582197971E-5</v>
      </c>
      <c r="AB248" s="124">
        <f t="shared" si="109"/>
        <v>0</v>
      </c>
      <c r="AC248" s="124">
        <f t="shared" si="110"/>
        <v>0</v>
      </c>
    </row>
    <row r="249" spans="2:29" s="114" customFormat="1">
      <c r="B249" s="115">
        <f t="shared" si="86"/>
        <v>-3.0600000000000631</v>
      </c>
      <c r="C249" s="124">
        <f t="shared" si="87"/>
        <v>8.7096358995595365E-4</v>
      </c>
      <c r="D249" s="124">
        <f t="shared" si="88"/>
        <v>1230725.2387717355</v>
      </c>
      <c r="E249" s="124">
        <f t="shared" si="89"/>
        <v>1</v>
      </c>
      <c r="F249" s="124">
        <f t="shared" si="90"/>
        <v>1</v>
      </c>
      <c r="G249" s="124">
        <f t="shared" si="91"/>
        <v>1242504.4437499389</v>
      </c>
      <c r="H249" s="124">
        <f t="shared" si="92"/>
        <v>1</v>
      </c>
      <c r="I249" s="124">
        <f t="shared" si="93"/>
        <v>1</v>
      </c>
      <c r="J249" s="124">
        <f t="shared" si="94"/>
        <v>1.7113476386878493E-5</v>
      </c>
      <c r="K249" s="124">
        <f t="shared" si="95"/>
        <v>0</v>
      </c>
      <c r="L249" s="124">
        <f t="shared" si="96"/>
        <v>0</v>
      </c>
      <c r="M249" s="120"/>
      <c r="N249" s="132">
        <f t="shared" si="84"/>
        <v>5.4724256314996342E-3</v>
      </c>
      <c r="O249" s="124">
        <f t="shared" si="97"/>
        <v>13265.440464258108</v>
      </c>
      <c r="P249" s="124">
        <f t="shared" si="98"/>
        <v>1</v>
      </c>
      <c r="Q249" s="124">
        <f t="shared" si="99"/>
        <v>1</v>
      </c>
      <c r="R249" s="124">
        <f t="shared" si="100"/>
        <v>10685.795203530786</v>
      </c>
      <c r="S249" s="124">
        <f t="shared" si="101"/>
        <v>8227.7660695019749</v>
      </c>
      <c r="T249" s="124">
        <f t="shared" si="102"/>
        <v>13486.376593668499</v>
      </c>
      <c r="U249" s="124">
        <f t="shared" si="103"/>
        <v>1</v>
      </c>
      <c r="V249" s="124">
        <f t="shared" si="104"/>
        <v>0</v>
      </c>
      <c r="W249" s="124">
        <f t="shared" si="105"/>
        <v>1</v>
      </c>
      <c r="X249" s="124">
        <f t="shared" si="106"/>
        <v>1</v>
      </c>
      <c r="Y249" s="124">
        <f t="shared" si="107"/>
        <v>0</v>
      </c>
      <c r="Z249" s="124">
        <f t="shared" si="108"/>
        <v>1</v>
      </c>
      <c r="AA249" s="124">
        <f t="shared" si="85"/>
        <v>5.146065068877778E-5</v>
      </c>
      <c r="AB249" s="124">
        <f t="shared" si="109"/>
        <v>0</v>
      </c>
      <c r="AC249" s="124">
        <f t="shared" si="110"/>
        <v>0</v>
      </c>
    </row>
    <row r="250" spans="2:29" s="114" customFormat="1">
      <c r="B250" s="115">
        <f t="shared" si="86"/>
        <v>-3.0400000000000631</v>
      </c>
      <c r="C250" s="124">
        <f t="shared" si="87"/>
        <v>9.1201083935577661E-4</v>
      </c>
      <c r="D250" s="124">
        <f t="shared" si="88"/>
        <v>1217771.2902218385</v>
      </c>
      <c r="E250" s="124">
        <f t="shared" si="89"/>
        <v>1</v>
      </c>
      <c r="F250" s="124">
        <f t="shared" si="90"/>
        <v>1</v>
      </c>
      <c r="G250" s="124">
        <f t="shared" si="91"/>
        <v>1228734.3654643621</v>
      </c>
      <c r="H250" s="124">
        <f t="shared" si="92"/>
        <v>1</v>
      </c>
      <c r="I250" s="124">
        <f t="shared" si="93"/>
        <v>1</v>
      </c>
      <c r="J250" s="124">
        <f t="shared" si="94"/>
        <v>1.5149795456766776E-5</v>
      </c>
      <c r="K250" s="124">
        <f t="shared" si="95"/>
        <v>0</v>
      </c>
      <c r="L250" s="124">
        <f t="shared" si="96"/>
        <v>0</v>
      </c>
      <c r="M250" s="120"/>
      <c r="N250" s="132">
        <f t="shared" si="84"/>
        <v>5.7303331058287379E-3</v>
      </c>
      <c r="O250" s="124">
        <f t="shared" si="97"/>
        <v>13508.475158361274</v>
      </c>
      <c r="P250" s="124">
        <f t="shared" si="98"/>
        <v>1</v>
      </c>
      <c r="Q250" s="124">
        <f t="shared" si="99"/>
        <v>1</v>
      </c>
      <c r="R250" s="124">
        <f t="shared" si="100"/>
        <v>10895.410922236742</v>
      </c>
      <c r="S250" s="124">
        <f t="shared" si="101"/>
        <v>8443.3541391347226</v>
      </c>
      <c r="T250" s="124">
        <f t="shared" si="102"/>
        <v>13784.056307315317</v>
      </c>
      <c r="U250" s="124">
        <f t="shared" si="103"/>
        <v>1</v>
      </c>
      <c r="V250" s="124">
        <f t="shared" si="104"/>
        <v>0</v>
      </c>
      <c r="W250" s="124">
        <f t="shared" si="105"/>
        <v>1</v>
      </c>
      <c r="X250" s="124">
        <f t="shared" si="106"/>
        <v>1</v>
      </c>
      <c r="Y250" s="124">
        <f t="shared" si="107"/>
        <v>0</v>
      </c>
      <c r="Z250" s="124">
        <f t="shared" si="108"/>
        <v>1</v>
      </c>
      <c r="AA250" s="124">
        <f t="shared" si="85"/>
        <v>7.6925354799435857E-5</v>
      </c>
      <c r="AB250" s="124">
        <f t="shared" si="109"/>
        <v>0</v>
      </c>
      <c r="AC250" s="124">
        <f t="shared" si="110"/>
        <v>0</v>
      </c>
    </row>
    <row r="251" spans="2:29" s="114" customFormat="1">
      <c r="B251" s="115">
        <f t="shared" si="86"/>
        <v>-3.0200000000000631</v>
      </c>
      <c r="C251" s="124">
        <f t="shared" si="87"/>
        <v>9.5499258602129637E-4</v>
      </c>
      <c r="D251" s="124">
        <f t="shared" si="88"/>
        <v>1204851.6469558252</v>
      </c>
      <c r="E251" s="124">
        <f t="shared" si="89"/>
        <v>1</v>
      </c>
      <c r="F251" s="124">
        <f t="shared" si="90"/>
        <v>1</v>
      </c>
      <c r="G251" s="124">
        <f t="shared" si="91"/>
        <v>1214836.130295635</v>
      </c>
      <c r="H251" s="124">
        <f t="shared" si="92"/>
        <v>1</v>
      </c>
      <c r="I251" s="124">
        <f t="shared" si="93"/>
        <v>1</v>
      </c>
      <c r="J251" s="124">
        <f t="shared" si="94"/>
        <v>1.2845945513640408E-5</v>
      </c>
      <c r="K251" s="124">
        <f t="shared" si="95"/>
        <v>0</v>
      </c>
      <c r="L251" s="124">
        <f t="shared" si="96"/>
        <v>0</v>
      </c>
      <c r="M251" s="120"/>
      <c r="N251" s="132">
        <f t="shared" si="84"/>
        <v>6.0003953849544463E-3</v>
      </c>
      <c r="O251" s="124">
        <f t="shared" si="97"/>
        <v>13757.115676418593</v>
      </c>
      <c r="P251" s="124">
        <f t="shared" si="98"/>
        <v>1</v>
      </c>
      <c r="Q251" s="124">
        <f t="shared" si="99"/>
        <v>1</v>
      </c>
      <c r="R251" s="124">
        <f t="shared" si="100"/>
        <v>11114.130796055837</v>
      </c>
      <c r="S251" s="124">
        <f t="shared" si="101"/>
        <v>8661.0987559842579</v>
      </c>
      <c r="T251" s="124">
        <f t="shared" si="102"/>
        <v>14090.370293670385</v>
      </c>
      <c r="U251" s="124">
        <f t="shared" si="103"/>
        <v>1</v>
      </c>
      <c r="V251" s="124">
        <f t="shared" si="104"/>
        <v>0</v>
      </c>
      <c r="W251" s="124">
        <f t="shared" si="105"/>
        <v>1</v>
      </c>
      <c r="X251" s="124">
        <f t="shared" si="106"/>
        <v>1</v>
      </c>
      <c r="Y251" s="124">
        <f t="shared" si="107"/>
        <v>0</v>
      </c>
      <c r="Z251" s="124">
        <f t="shared" si="108"/>
        <v>1</v>
      </c>
      <c r="AA251" s="124">
        <f t="shared" si="85"/>
        <v>1.0805638734704312E-4</v>
      </c>
      <c r="AB251" s="124">
        <f t="shared" si="109"/>
        <v>0</v>
      </c>
      <c r="AC251" s="124">
        <f t="shared" si="110"/>
        <v>0</v>
      </c>
    </row>
    <row r="252" spans="2:29" s="114" customFormat="1">
      <c r="B252" s="115">
        <f t="shared" si="86"/>
        <v>-3.0000000000000631</v>
      </c>
      <c r="C252" s="124">
        <f t="shared" si="87"/>
        <v>9.9999999999985452E-4</v>
      </c>
      <c r="D252" s="124">
        <f t="shared" si="88"/>
        <v>1191967.6956174164</v>
      </c>
      <c r="E252" s="124">
        <f t="shared" si="89"/>
        <v>1</v>
      </c>
      <c r="F252" s="124">
        <f t="shared" si="90"/>
        <v>1</v>
      </c>
      <c r="G252" s="124">
        <f t="shared" si="91"/>
        <v>1200825.9102093503</v>
      </c>
      <c r="H252" s="124">
        <f t="shared" si="92"/>
        <v>1</v>
      </c>
      <c r="I252" s="124">
        <f t="shared" si="93"/>
        <v>1</v>
      </c>
      <c r="J252" s="124">
        <f t="shared" si="94"/>
        <v>1.0339856152427535E-5</v>
      </c>
      <c r="K252" s="124">
        <f t="shared" si="95"/>
        <v>0</v>
      </c>
      <c r="L252" s="124">
        <f t="shared" si="96"/>
        <v>0</v>
      </c>
      <c r="M252" s="120"/>
      <c r="N252" s="132">
        <f t="shared" si="84"/>
        <v>6.2831853071786724E-3</v>
      </c>
      <c r="O252" s="124">
        <f t="shared" si="97"/>
        <v>14011.499612486334</v>
      </c>
      <c r="P252" s="124">
        <f t="shared" si="98"/>
        <v>1</v>
      </c>
      <c r="Q252" s="124">
        <f t="shared" si="99"/>
        <v>1</v>
      </c>
      <c r="R252" s="124">
        <f t="shared" si="100"/>
        <v>11341.88291497723</v>
      </c>
      <c r="S252" s="124">
        <f t="shared" si="101"/>
        <v>8880.4161561268211</v>
      </c>
      <c r="T252" s="124">
        <f t="shared" si="102"/>
        <v>14404.863732887259</v>
      </c>
      <c r="U252" s="124">
        <f t="shared" si="103"/>
        <v>1</v>
      </c>
      <c r="V252" s="124">
        <f t="shared" si="104"/>
        <v>0</v>
      </c>
      <c r="W252" s="124">
        <f t="shared" si="105"/>
        <v>1</v>
      </c>
      <c r="X252" s="124">
        <f t="shared" si="106"/>
        <v>1</v>
      </c>
      <c r="Y252" s="124">
        <f t="shared" si="107"/>
        <v>0</v>
      </c>
      <c r="Z252" s="124">
        <f t="shared" si="108"/>
        <v>1</v>
      </c>
      <c r="AA252" s="124">
        <f t="shared" si="85"/>
        <v>1.4458944613558798E-4</v>
      </c>
      <c r="AB252" s="124">
        <f t="shared" si="109"/>
        <v>0</v>
      </c>
      <c r="AC252" s="124">
        <f t="shared" si="110"/>
        <v>0</v>
      </c>
    </row>
    <row r="253" spans="2:29" s="114" customFormat="1">
      <c r="B253" s="115">
        <f t="shared" si="86"/>
        <v>-2.980000000000063</v>
      </c>
      <c r="C253" s="124">
        <f t="shared" si="87"/>
        <v>1.0471285480507472E-3</v>
      </c>
      <c r="D253" s="124">
        <f t="shared" si="88"/>
        <v>1179120.8184589515</v>
      </c>
      <c r="E253" s="124">
        <f t="shared" si="89"/>
        <v>1</v>
      </c>
      <c r="F253" s="124">
        <f t="shared" si="90"/>
        <v>1</v>
      </c>
      <c r="G253" s="124">
        <f t="shared" si="91"/>
        <v>1186721.7930570098</v>
      </c>
      <c r="H253" s="124">
        <f t="shared" si="92"/>
        <v>1</v>
      </c>
      <c r="I253" s="124">
        <f t="shared" si="93"/>
        <v>1</v>
      </c>
      <c r="J253" s="124">
        <f t="shared" si="94"/>
        <v>7.7875072764758844E-6</v>
      </c>
      <c r="K253" s="124">
        <f t="shared" si="95"/>
        <v>0</v>
      </c>
      <c r="L253" s="124">
        <f t="shared" si="96"/>
        <v>0</v>
      </c>
      <c r="M253" s="120"/>
      <c r="N253" s="132">
        <f t="shared" si="84"/>
        <v>6.5793027078407482E-3</v>
      </c>
      <c r="O253" s="124">
        <f t="shared" si="97"/>
        <v>14271.767912772772</v>
      </c>
      <c r="P253" s="124">
        <f t="shared" si="98"/>
        <v>1</v>
      </c>
      <c r="Q253" s="124">
        <f t="shared" si="99"/>
        <v>1</v>
      </c>
      <c r="R253" s="124">
        <f t="shared" si="100"/>
        <v>11578.501030988324</v>
      </c>
      <c r="S253" s="124">
        <f t="shared" si="101"/>
        <v>9100.7310067588769</v>
      </c>
      <c r="T253" s="124">
        <f t="shared" si="102"/>
        <v>14727.015684855507</v>
      </c>
      <c r="U253" s="124">
        <f t="shared" si="103"/>
        <v>1</v>
      </c>
      <c r="V253" s="124">
        <f t="shared" si="104"/>
        <v>0</v>
      </c>
      <c r="W253" s="124">
        <f t="shared" si="105"/>
        <v>1</v>
      </c>
      <c r="X253" s="124">
        <f t="shared" si="106"/>
        <v>1</v>
      </c>
      <c r="Y253" s="124">
        <f t="shared" si="107"/>
        <v>0</v>
      </c>
      <c r="Z253" s="124">
        <f t="shared" si="108"/>
        <v>1</v>
      </c>
      <c r="AA253" s="124">
        <f t="shared" si="85"/>
        <v>1.8596708060540477E-4</v>
      </c>
      <c r="AB253" s="124">
        <f t="shared" si="109"/>
        <v>0</v>
      </c>
      <c r="AC253" s="124">
        <f t="shared" si="110"/>
        <v>0</v>
      </c>
    </row>
    <row r="254" spans="2:29" s="114" customFormat="1">
      <c r="B254" s="115">
        <f t="shared" si="86"/>
        <v>-2.960000000000063</v>
      </c>
      <c r="C254" s="124">
        <f t="shared" si="87"/>
        <v>1.0964781961430251E-3</v>
      </c>
      <c r="D254" s="124">
        <f t="shared" si="88"/>
        <v>1166312.3927619758</v>
      </c>
      <c r="E254" s="124">
        <f t="shared" si="89"/>
        <v>1</v>
      </c>
      <c r="F254" s="124">
        <f t="shared" si="90"/>
        <v>1</v>
      </c>
      <c r="G254" s="124">
        <f t="shared" si="91"/>
        <v>1172543.5379483809</v>
      </c>
      <c r="H254" s="124">
        <f t="shared" si="92"/>
        <v>1</v>
      </c>
      <c r="I254" s="124">
        <f t="shared" si="93"/>
        <v>1</v>
      </c>
      <c r="J254" s="124">
        <f t="shared" si="94"/>
        <v>5.3549999139935828E-6</v>
      </c>
      <c r="K254" s="124">
        <f t="shared" si="95"/>
        <v>0</v>
      </c>
      <c r="L254" s="124">
        <f t="shared" si="96"/>
        <v>0</v>
      </c>
      <c r="M254" s="120"/>
      <c r="N254" s="132">
        <f t="shared" si="84"/>
        <v>6.8893756916486321E-3</v>
      </c>
      <c r="O254" s="124">
        <f t="shared" si="97"/>
        <v>14538.064949185524</v>
      </c>
      <c r="P254" s="124">
        <f t="shared" si="98"/>
        <v>1</v>
      </c>
      <c r="Q254" s="124">
        <f t="shared" si="99"/>
        <v>1</v>
      </c>
      <c r="R254" s="124">
        <f t="shared" si="100"/>
        <v>11823.72238852095</v>
      </c>
      <c r="S254" s="124">
        <f t="shared" si="101"/>
        <v>9321.4907565090434</v>
      </c>
      <c r="T254" s="124">
        <f t="shared" si="102"/>
        <v>15056.247907247513</v>
      </c>
      <c r="U254" s="124">
        <f t="shared" si="103"/>
        <v>1</v>
      </c>
      <c r="V254" s="124">
        <f t="shared" si="104"/>
        <v>0</v>
      </c>
      <c r="W254" s="124">
        <f t="shared" si="105"/>
        <v>1</v>
      </c>
      <c r="X254" s="124">
        <f t="shared" si="106"/>
        <v>1</v>
      </c>
      <c r="Y254" s="124">
        <f t="shared" si="107"/>
        <v>0</v>
      </c>
      <c r="Z254" s="124">
        <f t="shared" si="108"/>
        <v>1</v>
      </c>
      <c r="AA254" s="124">
        <f t="shared" si="85"/>
        <v>2.3134873085820339E-4</v>
      </c>
      <c r="AB254" s="124">
        <f t="shared" si="109"/>
        <v>0</v>
      </c>
      <c r="AC254" s="124">
        <f t="shared" si="110"/>
        <v>0</v>
      </c>
    </row>
    <row r="255" spans="2:29" s="114" customFormat="1">
      <c r="B255" s="115">
        <f t="shared" si="86"/>
        <v>-2.940000000000063</v>
      </c>
      <c r="C255" s="124">
        <f t="shared" si="87"/>
        <v>1.1481536214967151E-3</v>
      </c>
      <c r="D255" s="124">
        <f t="shared" si="88"/>
        <v>1153543.7902554818</v>
      </c>
      <c r="E255" s="124">
        <f t="shared" si="89"/>
        <v>1</v>
      </c>
      <c r="F255" s="124">
        <f t="shared" si="90"/>
        <v>1</v>
      </c>
      <c r="G255" s="124">
        <f t="shared" si="91"/>
        <v>1158312.326928833</v>
      </c>
      <c r="H255" s="124">
        <f t="shared" si="92"/>
        <v>1</v>
      </c>
      <c r="I255" s="124">
        <f t="shared" si="93"/>
        <v>1</v>
      </c>
      <c r="J255" s="124">
        <f t="shared" si="94"/>
        <v>3.2098038740153296E-6</v>
      </c>
      <c r="K255" s="124">
        <f t="shared" si="95"/>
        <v>0</v>
      </c>
      <c r="L255" s="124">
        <f t="shared" si="96"/>
        <v>0</v>
      </c>
      <c r="M255" s="120"/>
      <c r="N255" s="132">
        <f t="shared" si="84"/>
        <v>7.2140619649731915E-3</v>
      </c>
      <c r="O255" s="124">
        <f t="shared" si="97"/>
        <v>14810.53859400378</v>
      </c>
      <c r="P255" s="124">
        <f t="shared" si="98"/>
        <v>1</v>
      </c>
      <c r="Q255" s="124">
        <f t="shared" si="99"/>
        <v>1</v>
      </c>
      <c r="R255" s="124">
        <f t="shared" si="100"/>
        <v>12077.187828201024</v>
      </c>
      <c r="S255" s="124">
        <f t="shared" si="101"/>
        <v>9542.1809290187721</v>
      </c>
      <c r="T255" s="124">
        <f t="shared" si="102"/>
        <v>15391.935639151319</v>
      </c>
      <c r="U255" s="124">
        <f t="shared" si="103"/>
        <v>1</v>
      </c>
      <c r="V255" s="124">
        <f t="shared" si="104"/>
        <v>0</v>
      </c>
      <c r="W255" s="124">
        <f t="shared" si="105"/>
        <v>1</v>
      </c>
      <c r="X255" s="124">
        <f t="shared" si="106"/>
        <v>1</v>
      </c>
      <c r="Y255" s="124">
        <f t="shared" si="107"/>
        <v>0</v>
      </c>
      <c r="Z255" s="124">
        <f t="shared" si="108"/>
        <v>1</v>
      </c>
      <c r="AA255" s="124">
        <f t="shared" si="85"/>
        <v>2.7963821111821072E-4</v>
      </c>
      <c r="AB255" s="124">
        <f t="shared" si="109"/>
        <v>0</v>
      </c>
      <c r="AC255" s="124">
        <f t="shared" si="110"/>
        <v>0</v>
      </c>
    </row>
    <row r="256" spans="2:29" s="114" customFormat="1">
      <c r="B256" s="115">
        <f t="shared" si="86"/>
        <v>-2.920000000000063</v>
      </c>
      <c r="C256" s="124">
        <f t="shared" si="87"/>
        <v>1.2022644346172382E-3</v>
      </c>
      <c r="D256" s="124">
        <f t="shared" si="88"/>
        <v>1140816.3765322645</v>
      </c>
      <c r="E256" s="124">
        <f t="shared" si="89"/>
        <v>1</v>
      </c>
      <c r="F256" s="124">
        <f t="shared" si="90"/>
        <v>1</v>
      </c>
      <c r="G256" s="124">
        <f t="shared" si="91"/>
        <v>1144050.5140476837</v>
      </c>
      <c r="H256" s="124">
        <f t="shared" si="92"/>
        <v>1</v>
      </c>
      <c r="I256" s="124">
        <f t="shared" si="93"/>
        <v>1</v>
      </c>
      <c r="J256" s="124">
        <f t="shared" si="94"/>
        <v>1.5115563754302306E-6</v>
      </c>
      <c r="K256" s="124">
        <f t="shared" si="95"/>
        <v>0</v>
      </c>
      <c r="L256" s="124">
        <f t="shared" si="96"/>
        <v>0</v>
      </c>
      <c r="M256" s="120"/>
      <c r="N256" s="132">
        <f t="shared" si="84"/>
        <v>7.5540502309316034E-3</v>
      </c>
      <c r="O256" s="124">
        <f t="shared" si="97"/>
        <v>15089.340295667822</v>
      </c>
      <c r="P256" s="124">
        <f t="shared" si="98"/>
        <v>1</v>
      </c>
      <c r="Q256" s="124">
        <f t="shared" si="99"/>
        <v>1</v>
      </c>
      <c r="R256" s="124">
        <f t="shared" si="100"/>
        <v>12338.444444103741</v>
      </c>
      <c r="S256" s="124">
        <f t="shared" si="101"/>
        <v>9762.3409582045533</v>
      </c>
      <c r="T256" s="124">
        <f t="shared" si="102"/>
        <v>15733.42023478915</v>
      </c>
      <c r="U256" s="124">
        <f t="shared" si="103"/>
        <v>1</v>
      </c>
      <c r="V256" s="124">
        <f t="shared" si="104"/>
        <v>0</v>
      </c>
      <c r="W256" s="124">
        <f t="shared" si="105"/>
        <v>1</v>
      </c>
      <c r="X256" s="124">
        <f t="shared" si="106"/>
        <v>1</v>
      </c>
      <c r="Y256" s="124">
        <f t="shared" si="107"/>
        <v>0</v>
      </c>
      <c r="Z256" s="124">
        <f t="shared" si="108"/>
        <v>1</v>
      </c>
      <c r="AA256" s="124">
        <f t="shared" si="85"/>
        <v>3.2952740831713626E-4</v>
      </c>
      <c r="AB256" s="124">
        <f t="shared" si="109"/>
        <v>0</v>
      </c>
      <c r="AC256" s="124">
        <f t="shared" si="110"/>
        <v>0</v>
      </c>
    </row>
    <row r="257" spans="2:29" s="114" customFormat="1">
      <c r="B257" s="115">
        <f t="shared" si="86"/>
        <v>-2.900000000000063</v>
      </c>
      <c r="C257" s="124">
        <f t="shared" si="87"/>
        <v>1.258925411793984E-3</v>
      </c>
      <c r="D257" s="124">
        <f t="shared" si="88"/>
        <v>1128131.5104638583</v>
      </c>
      <c r="E257" s="124">
        <f t="shared" si="89"/>
        <v>1</v>
      </c>
      <c r="F257" s="124">
        <f t="shared" si="90"/>
        <v>1</v>
      </c>
      <c r="G257" s="124">
        <f t="shared" si="91"/>
        <v>1129781.3717111622</v>
      </c>
      <c r="H257" s="124">
        <f t="shared" si="92"/>
        <v>1</v>
      </c>
      <c r="I257" s="124">
        <f t="shared" si="93"/>
        <v>1</v>
      </c>
      <c r="J257" s="124">
        <f t="shared" si="94"/>
        <v>4.0281835283970517E-7</v>
      </c>
      <c r="K257" s="124">
        <f t="shared" si="95"/>
        <v>0</v>
      </c>
      <c r="L257" s="124">
        <f t="shared" si="96"/>
        <v>0</v>
      </c>
      <c r="M257" s="120"/>
      <c r="N257" s="132">
        <f t="shared" si="84"/>
        <v>7.9100616502189702E-3</v>
      </c>
      <c r="O257" s="124">
        <f t="shared" si="97"/>
        <v>15374.625155676469</v>
      </c>
      <c r="P257" s="124">
        <f t="shared" si="98"/>
        <v>1</v>
      </c>
      <c r="Q257" s="124">
        <f t="shared" si="99"/>
        <v>1</v>
      </c>
      <c r="R257" s="124">
        <f t="shared" si="100"/>
        <v>12606.950993711762</v>
      </c>
      <c r="S257" s="124">
        <f t="shared" si="101"/>
        <v>9981.5800844352343</v>
      </c>
      <c r="T257" s="124">
        <f t="shared" si="102"/>
        <v>16080.023455823815</v>
      </c>
      <c r="U257" s="124">
        <f t="shared" si="103"/>
        <v>1</v>
      </c>
      <c r="V257" s="124">
        <f t="shared" si="104"/>
        <v>0</v>
      </c>
      <c r="W257" s="124">
        <f t="shared" si="105"/>
        <v>1</v>
      </c>
      <c r="X257" s="124">
        <f t="shared" si="106"/>
        <v>1</v>
      </c>
      <c r="Y257" s="124">
        <f t="shared" si="107"/>
        <v>0</v>
      </c>
      <c r="Z257" s="124">
        <f t="shared" si="108"/>
        <v>1</v>
      </c>
      <c r="AA257" s="124">
        <f t="shared" si="85"/>
        <v>3.7955384708826485E-4</v>
      </c>
      <c r="AB257" s="124">
        <f t="shared" si="109"/>
        <v>0</v>
      </c>
      <c r="AC257" s="124">
        <f t="shared" si="110"/>
        <v>0</v>
      </c>
    </row>
    <row r="258" spans="2:29" s="114" customFormat="1">
      <c r="B258" s="115">
        <f t="shared" si="86"/>
        <v>-2.880000000000063</v>
      </c>
      <c r="C258" s="124">
        <f t="shared" si="87"/>
        <v>1.318256738556215E-3</v>
      </c>
      <c r="D258" s="124">
        <f t="shared" si="88"/>
        <v>1115490.5436144785</v>
      </c>
      <c r="E258" s="124">
        <f t="shared" si="89"/>
        <v>1</v>
      </c>
      <c r="F258" s="124">
        <f t="shared" si="90"/>
        <v>1</v>
      </c>
      <c r="G258" s="124">
        <f t="shared" si="91"/>
        <v>1115528.8333819851</v>
      </c>
      <c r="H258" s="124">
        <f t="shared" si="92"/>
        <v>1</v>
      </c>
      <c r="I258" s="124">
        <f t="shared" si="93"/>
        <v>1</v>
      </c>
      <c r="J258" s="124">
        <f t="shared" si="94"/>
        <v>2.2222217203120347E-10</v>
      </c>
      <c r="K258" s="124">
        <f t="shared" si="95"/>
        <v>0</v>
      </c>
      <c r="L258" s="124">
        <f t="shared" si="96"/>
        <v>0</v>
      </c>
      <c r="M258" s="120"/>
      <c r="N258" s="132">
        <f t="shared" si="84"/>
        <v>8.2828513707868916E-3</v>
      </c>
      <c r="O258" s="124">
        <f t="shared" si="97"/>
        <v>15666.552006580536</v>
      </c>
      <c r="P258" s="124">
        <f t="shared" si="98"/>
        <v>1</v>
      </c>
      <c r="Q258" s="124">
        <f t="shared" si="99"/>
        <v>1</v>
      </c>
      <c r="R258" s="124">
        <f t="shared" si="100"/>
        <v>12882.086155676201</v>
      </c>
      <c r="S258" s="124">
        <f t="shared" si="101"/>
        <v>10199.592770363317</v>
      </c>
      <c r="T258" s="124">
        <f t="shared" si="102"/>
        <v>16431.06315499737</v>
      </c>
      <c r="U258" s="124">
        <f t="shared" si="103"/>
        <v>1</v>
      </c>
      <c r="V258" s="124">
        <f t="shared" si="104"/>
        <v>0</v>
      </c>
      <c r="W258" s="124">
        <f t="shared" si="105"/>
        <v>1</v>
      </c>
      <c r="X258" s="124">
        <f t="shared" si="106"/>
        <v>1</v>
      </c>
      <c r="Y258" s="124">
        <f t="shared" si="107"/>
        <v>0</v>
      </c>
      <c r="Z258" s="124">
        <f t="shared" si="108"/>
        <v>1</v>
      </c>
      <c r="AA258" s="124">
        <f t="shared" si="85"/>
        <v>4.2816880449287139E-4</v>
      </c>
      <c r="AB258" s="124">
        <f t="shared" si="109"/>
        <v>0</v>
      </c>
      <c r="AC258" s="124">
        <f t="shared" si="110"/>
        <v>0</v>
      </c>
    </row>
    <row r="259" spans="2:29" s="114" customFormat="1">
      <c r="B259" s="115">
        <f t="shared" si="86"/>
        <v>-2.8600000000000629</v>
      </c>
      <c r="C259" s="124">
        <f t="shared" si="87"/>
        <v>1.3803842646026834E-3</v>
      </c>
      <c r="D259" s="124">
        <f t="shared" si="88"/>
        <v>1102894.8196544428</v>
      </c>
      <c r="E259" s="124">
        <f t="shared" si="89"/>
        <v>1</v>
      </c>
      <c r="F259" s="124">
        <f t="shared" si="90"/>
        <v>1</v>
      </c>
      <c r="G259" s="124">
        <f t="shared" si="91"/>
        <v>1101317.2312649011</v>
      </c>
      <c r="H259" s="124">
        <f t="shared" si="92"/>
        <v>1</v>
      </c>
      <c r="I259" s="124">
        <f t="shared" si="93"/>
        <v>1</v>
      </c>
      <c r="J259" s="124">
        <f t="shared" si="94"/>
        <v>3.8646433410674424E-7</v>
      </c>
      <c r="K259" s="124">
        <f t="shared" si="95"/>
        <v>0</v>
      </c>
      <c r="L259" s="124">
        <f t="shared" si="96"/>
        <v>0</v>
      </c>
      <c r="M259" s="120"/>
      <c r="N259" s="132">
        <f t="shared" si="84"/>
        <v>8.6732101296134786E-3</v>
      </c>
      <c r="O259" s="124">
        <f t="shared" si="97"/>
        <v>15965.283491059732</v>
      </c>
      <c r="P259" s="124">
        <f t="shared" si="98"/>
        <v>1</v>
      </c>
      <c r="Q259" s="124">
        <f t="shared" si="99"/>
        <v>1</v>
      </c>
      <c r="R259" s="124">
        <f t="shared" si="100"/>
        <v>13163.159608168799</v>
      </c>
      <c r="S259" s="124">
        <f t="shared" si="101"/>
        <v>10416.173060511661</v>
      </c>
      <c r="T259" s="124">
        <f t="shared" si="102"/>
        <v>16785.870013098975</v>
      </c>
      <c r="U259" s="124">
        <f t="shared" si="103"/>
        <v>1</v>
      </c>
      <c r="V259" s="124">
        <f t="shared" si="104"/>
        <v>0</v>
      </c>
      <c r="W259" s="124">
        <f t="shared" si="105"/>
        <v>1</v>
      </c>
      <c r="X259" s="124">
        <f t="shared" si="106"/>
        <v>1</v>
      </c>
      <c r="Y259" s="124">
        <f t="shared" si="107"/>
        <v>0</v>
      </c>
      <c r="Z259" s="124">
        <f t="shared" si="108"/>
        <v>1</v>
      </c>
      <c r="AA259" s="124">
        <f t="shared" si="85"/>
        <v>4.7381191436660672E-4</v>
      </c>
      <c r="AB259" s="124">
        <f t="shared" si="109"/>
        <v>0</v>
      </c>
      <c r="AC259" s="124">
        <f t="shared" si="110"/>
        <v>0</v>
      </c>
    </row>
    <row r="260" spans="2:29" s="114" customFormat="1">
      <c r="B260" s="115">
        <f t="shared" si="86"/>
        <v>-2.8400000000000629</v>
      </c>
      <c r="C260" s="124">
        <f t="shared" si="87"/>
        <v>1.4454397707457179E-3</v>
      </c>
      <c r="D260" s="124">
        <f t="shared" si="88"/>
        <v>1090345.6737735495</v>
      </c>
      <c r="E260" s="124">
        <f t="shared" si="89"/>
        <v>1</v>
      </c>
      <c r="F260" s="124">
        <f t="shared" si="90"/>
        <v>1</v>
      </c>
      <c r="G260" s="124">
        <f t="shared" si="91"/>
        <v>1087171.0276067983</v>
      </c>
      <c r="H260" s="124">
        <f t="shared" si="92"/>
        <v>1</v>
      </c>
      <c r="I260" s="124">
        <f t="shared" si="93"/>
        <v>1</v>
      </c>
      <c r="J260" s="124">
        <f t="shared" si="94"/>
        <v>1.6036031296746421E-6</v>
      </c>
      <c r="K260" s="124">
        <f t="shared" si="95"/>
        <v>0</v>
      </c>
      <c r="L260" s="124">
        <f t="shared" si="96"/>
        <v>0</v>
      </c>
      <c r="M260" s="120"/>
      <c r="N260" s="132">
        <f t="shared" si="84"/>
        <v>9.0819659299625245E-3</v>
      </c>
      <c r="O260" s="124">
        <f t="shared" si="97"/>
        <v>16270.986142067994</v>
      </c>
      <c r="P260" s="124">
        <f t="shared" si="98"/>
        <v>1</v>
      </c>
      <c r="Q260" s="124">
        <f t="shared" si="99"/>
        <v>1</v>
      </c>
      <c r="R260" s="124">
        <f t="shared" si="100"/>
        <v>13449.425767360461</v>
      </c>
      <c r="S260" s="124">
        <f t="shared" si="101"/>
        <v>10631.227305673081</v>
      </c>
      <c r="T260" s="124">
        <f t="shared" si="102"/>
        <v>17143.804930546441</v>
      </c>
      <c r="U260" s="124">
        <f t="shared" si="103"/>
        <v>1</v>
      </c>
      <c r="V260" s="124">
        <f t="shared" si="104"/>
        <v>0</v>
      </c>
      <c r="W260" s="124">
        <f t="shared" si="105"/>
        <v>1</v>
      </c>
      <c r="X260" s="124">
        <f t="shared" si="106"/>
        <v>1</v>
      </c>
      <c r="Y260" s="124">
        <f t="shared" si="107"/>
        <v>0</v>
      </c>
      <c r="Z260" s="124">
        <f t="shared" si="108"/>
        <v>1</v>
      </c>
      <c r="AA260" s="124">
        <f t="shared" si="85"/>
        <v>5.1498773865610531E-4</v>
      </c>
      <c r="AB260" s="124">
        <f t="shared" si="109"/>
        <v>0</v>
      </c>
      <c r="AC260" s="124">
        <f t="shared" si="110"/>
        <v>0</v>
      </c>
    </row>
    <row r="261" spans="2:29" s="114" customFormat="1">
      <c r="B261" s="115">
        <f t="shared" si="86"/>
        <v>-2.8200000000000629</v>
      </c>
      <c r="C261" s="124">
        <f t="shared" si="87"/>
        <v>1.5135612484359882E-3</v>
      </c>
      <c r="D261" s="124">
        <f t="shared" si="88"/>
        <v>1077844.4320948985</v>
      </c>
      <c r="E261" s="124">
        <f t="shared" si="89"/>
        <v>1</v>
      </c>
      <c r="F261" s="124">
        <f t="shared" si="90"/>
        <v>1</v>
      </c>
      <c r="G261" s="124">
        <f t="shared" si="91"/>
        <v>1073114.5386049733</v>
      </c>
      <c r="H261" s="124">
        <f t="shared" si="92"/>
        <v>1</v>
      </c>
      <c r="I261" s="124">
        <f t="shared" si="93"/>
        <v>1</v>
      </c>
      <c r="J261" s="124">
        <f t="shared" si="94"/>
        <v>3.6481146928495001E-6</v>
      </c>
      <c r="K261" s="124">
        <f t="shared" si="95"/>
        <v>0</v>
      </c>
      <c r="L261" s="124">
        <f t="shared" si="96"/>
        <v>0</v>
      </c>
      <c r="M261" s="120"/>
      <c r="N261" s="132">
        <f t="shared" si="84"/>
        <v>9.5099857976893923E-3</v>
      </c>
      <c r="O261" s="124">
        <f t="shared" si="97"/>
        <v>16583.830464030638</v>
      </c>
      <c r="P261" s="124">
        <f t="shared" si="98"/>
        <v>1</v>
      </c>
      <c r="Q261" s="124">
        <f t="shared" si="99"/>
        <v>1</v>
      </c>
      <c r="R261" s="124">
        <f t="shared" si="100"/>
        <v>13740.099890553054</v>
      </c>
      <c r="S261" s="124">
        <f t="shared" si="101"/>
        <v>10844.784705176398</v>
      </c>
      <c r="T261" s="124">
        <f t="shared" si="102"/>
        <v>17504.276628984244</v>
      </c>
      <c r="U261" s="124">
        <f t="shared" si="103"/>
        <v>1</v>
      </c>
      <c r="V261" s="124">
        <f t="shared" si="104"/>
        <v>0</v>
      </c>
      <c r="W261" s="124">
        <f t="shared" si="105"/>
        <v>1</v>
      </c>
      <c r="X261" s="124">
        <f t="shared" si="106"/>
        <v>1</v>
      </c>
      <c r="Y261" s="124">
        <f t="shared" si="107"/>
        <v>0</v>
      </c>
      <c r="Z261" s="124">
        <f t="shared" si="108"/>
        <v>1</v>
      </c>
      <c r="AA261" s="124">
        <f t="shared" si="85"/>
        <v>5.5033963641231819E-4</v>
      </c>
      <c r="AB261" s="124">
        <f t="shared" si="109"/>
        <v>0</v>
      </c>
      <c r="AC261" s="124">
        <f t="shared" si="110"/>
        <v>0</v>
      </c>
    </row>
    <row r="262" spans="2:29" s="114" customFormat="1">
      <c r="B262" s="115">
        <f t="shared" si="86"/>
        <v>-2.8000000000000629</v>
      </c>
      <c r="C262" s="124">
        <f t="shared" si="87"/>
        <v>1.5848931924608827E-3</v>
      </c>
      <c r="D262" s="124">
        <f t="shared" si="88"/>
        <v>1065392.4110895998</v>
      </c>
      <c r="E262" s="124">
        <f t="shared" si="89"/>
        <v>1</v>
      </c>
      <c r="F262" s="124">
        <f t="shared" si="90"/>
        <v>1</v>
      </c>
      <c r="G262" s="124">
        <f t="shared" si="91"/>
        <v>1059171.6505930834</v>
      </c>
      <c r="H262" s="124">
        <f t="shared" si="92"/>
        <v>1</v>
      </c>
      <c r="I262" s="124">
        <f t="shared" si="93"/>
        <v>1</v>
      </c>
      <c r="J262" s="124">
        <f t="shared" si="94"/>
        <v>6.4681248845465108E-6</v>
      </c>
      <c r="K262" s="124">
        <f t="shared" si="95"/>
        <v>0</v>
      </c>
      <c r="L262" s="124">
        <f t="shared" si="96"/>
        <v>0</v>
      </c>
      <c r="M262" s="120"/>
      <c r="N262" s="132">
        <f t="shared" si="84"/>
        <v>9.9581776203191662E-3</v>
      </c>
      <c r="O262" s="124">
        <f t="shared" si="97"/>
        <v>16903.991015074494</v>
      </c>
      <c r="P262" s="124">
        <f t="shared" si="98"/>
        <v>1</v>
      </c>
      <c r="Q262" s="124">
        <f t="shared" si="99"/>
        <v>1</v>
      </c>
      <c r="R262" s="124">
        <f t="shared" si="100"/>
        <v>14034.376122028218</v>
      </c>
      <c r="S262" s="124">
        <f t="shared" si="101"/>
        <v>11057.00518758718</v>
      </c>
      <c r="T262" s="124">
        <f t="shared" si="102"/>
        <v>17866.758991291219</v>
      </c>
      <c r="U262" s="124">
        <f t="shared" si="103"/>
        <v>1</v>
      </c>
      <c r="V262" s="124">
        <f t="shared" si="104"/>
        <v>0</v>
      </c>
      <c r="W262" s="124">
        <f t="shared" si="105"/>
        <v>1</v>
      </c>
      <c r="X262" s="124">
        <f t="shared" si="106"/>
        <v>1</v>
      </c>
      <c r="Y262" s="124">
        <f t="shared" si="107"/>
        <v>0</v>
      </c>
      <c r="Z262" s="124">
        <f t="shared" si="108"/>
        <v>1</v>
      </c>
      <c r="AA262" s="124">
        <f t="shared" si="85"/>
        <v>5.7871644056559091E-4</v>
      </c>
      <c r="AB262" s="124">
        <f t="shared" si="109"/>
        <v>0</v>
      </c>
      <c r="AC262" s="124">
        <f t="shared" si="110"/>
        <v>0</v>
      </c>
    </row>
    <row r="263" spans="2:29" s="114" customFormat="1">
      <c r="B263" s="115">
        <f t="shared" si="86"/>
        <v>-2.7800000000000629</v>
      </c>
      <c r="C263" s="124">
        <f t="shared" si="87"/>
        <v>1.6595869074373189E-3</v>
      </c>
      <c r="D263" s="124">
        <f t="shared" si="88"/>
        <v>1052990.9169929021</v>
      </c>
      <c r="E263" s="124">
        <f t="shared" si="89"/>
        <v>1</v>
      </c>
      <c r="F263" s="124">
        <f t="shared" si="90"/>
        <v>1</v>
      </c>
      <c r="G263" s="124">
        <f t="shared" si="91"/>
        <v>1045365.5290793263</v>
      </c>
      <c r="H263" s="124">
        <f t="shared" si="92"/>
        <v>1</v>
      </c>
      <c r="I263" s="124">
        <f t="shared" si="93"/>
        <v>1</v>
      </c>
      <c r="J263" s="124">
        <f t="shared" si="94"/>
        <v>9.963175814245877E-6</v>
      </c>
      <c r="K263" s="124">
        <f t="shared" si="95"/>
        <v>0</v>
      </c>
      <c r="L263" s="124">
        <f t="shared" si="96"/>
        <v>0</v>
      </c>
      <c r="M263" s="120"/>
      <c r="N263" s="132">
        <f t="shared" si="84"/>
        <v>1.042749207279777E-2</v>
      </c>
      <c r="O263" s="124">
        <f t="shared" si="97"/>
        <v>17231.646490270581</v>
      </c>
      <c r="P263" s="124">
        <f t="shared" si="98"/>
        <v>1</v>
      </c>
      <c r="Q263" s="124">
        <f t="shared" si="99"/>
        <v>1</v>
      </c>
      <c r="R263" s="124">
        <f t="shared" si="100"/>
        <v>14331.446952114129</v>
      </c>
      <c r="S263" s="124">
        <f t="shared" si="101"/>
        <v>11268.184250592567</v>
      </c>
      <c r="T263" s="124">
        <f t="shared" si="102"/>
        <v>18230.807663034673</v>
      </c>
      <c r="U263" s="124">
        <f t="shared" si="103"/>
        <v>1</v>
      </c>
      <c r="V263" s="124">
        <f t="shared" si="104"/>
        <v>0</v>
      </c>
      <c r="W263" s="124">
        <f t="shared" si="105"/>
        <v>1</v>
      </c>
      <c r="X263" s="124">
        <f t="shared" si="106"/>
        <v>1</v>
      </c>
      <c r="Y263" s="124">
        <f t="shared" si="107"/>
        <v>0</v>
      </c>
      <c r="Z263" s="124">
        <f t="shared" si="108"/>
        <v>1</v>
      </c>
      <c r="AA263" s="124">
        <f t="shared" si="85"/>
        <v>5.9922794298728681E-4</v>
      </c>
      <c r="AB263" s="124">
        <f t="shared" si="109"/>
        <v>0</v>
      </c>
      <c r="AC263" s="124">
        <f t="shared" si="110"/>
        <v>0</v>
      </c>
    </row>
    <row r="264" spans="2:29" s="114" customFormat="1">
      <c r="B264" s="115">
        <f t="shared" si="86"/>
        <v>-2.7600000000000628</v>
      </c>
      <c r="C264" s="124">
        <f t="shared" si="87"/>
        <v>1.7378008287491234E-3</v>
      </c>
      <c r="D264" s="124">
        <f t="shared" si="88"/>
        <v>1040641.2452222237</v>
      </c>
      <c r="E264" s="124">
        <f t="shared" si="89"/>
        <v>1</v>
      </c>
      <c r="F264" s="124">
        <f t="shared" si="90"/>
        <v>1</v>
      </c>
      <c r="G264" s="124">
        <f t="shared" si="91"/>
        <v>1031718.3222580801</v>
      </c>
      <c r="H264" s="124">
        <f t="shared" si="92"/>
        <v>1</v>
      </c>
      <c r="I264" s="124">
        <f t="shared" si="93"/>
        <v>1</v>
      </c>
      <c r="J264" s="124">
        <f t="shared" si="94"/>
        <v>1.3986789785504025E-5</v>
      </c>
      <c r="K264" s="124">
        <f t="shared" si="95"/>
        <v>0</v>
      </c>
      <c r="L264" s="124">
        <f t="shared" si="96"/>
        <v>0</v>
      </c>
      <c r="M264" s="120"/>
      <c r="N264" s="132">
        <f t="shared" si="84"/>
        <v>1.0918924634001001E-2</v>
      </c>
      <c r="O264" s="124">
        <f t="shared" si="97"/>
        <v>17566.979805866104</v>
      </c>
      <c r="P264" s="124">
        <f t="shared" si="98"/>
        <v>1</v>
      </c>
      <c r="Q264" s="124">
        <f t="shared" si="99"/>
        <v>1</v>
      </c>
      <c r="R264" s="124">
        <f t="shared" si="100"/>
        <v>14630.523480554039</v>
      </c>
      <c r="S264" s="124">
        <f t="shared" si="101"/>
        <v>11478.754507529666</v>
      </c>
      <c r="T264" s="124">
        <f t="shared" si="102"/>
        <v>18596.075455836795</v>
      </c>
      <c r="U264" s="124">
        <f t="shared" si="103"/>
        <v>1</v>
      </c>
      <c r="V264" s="124">
        <f t="shared" si="104"/>
        <v>0</v>
      </c>
      <c r="W264" s="124">
        <f t="shared" si="105"/>
        <v>1</v>
      </c>
      <c r="X264" s="124">
        <f t="shared" si="106"/>
        <v>1</v>
      </c>
      <c r="Y264" s="124">
        <f t="shared" si="107"/>
        <v>0</v>
      </c>
      <c r="Z264" s="124">
        <f t="shared" si="108"/>
        <v>1</v>
      </c>
      <c r="AA264" s="124">
        <f t="shared" si="85"/>
        <v>6.1128595011913467E-4</v>
      </c>
      <c r="AB264" s="124">
        <f t="shared" si="109"/>
        <v>0</v>
      </c>
      <c r="AC264" s="124">
        <f t="shared" si="110"/>
        <v>0</v>
      </c>
    </row>
    <row r="265" spans="2:29" s="114" customFormat="1">
      <c r="B265" s="115">
        <f t="shared" si="86"/>
        <v>-2.7400000000000628</v>
      </c>
      <c r="C265" s="124">
        <f t="shared" si="87"/>
        <v>1.8197008586097192E-3</v>
      </c>
      <c r="D265" s="124">
        <f t="shared" si="88"/>
        <v>1028344.6797975769</v>
      </c>
      <c r="E265" s="124">
        <f t="shared" si="89"/>
        <v>1</v>
      </c>
      <c r="F265" s="124">
        <f t="shared" si="90"/>
        <v>1</v>
      </c>
      <c r="G265" s="124">
        <f t="shared" si="91"/>
        <v>1018250.861720791</v>
      </c>
      <c r="H265" s="124">
        <f t="shared" si="92"/>
        <v>1</v>
      </c>
      <c r="I265" s="124">
        <f t="shared" si="93"/>
        <v>1</v>
      </c>
      <c r="J265" s="124">
        <f t="shared" si="94"/>
        <v>1.8351964290339236E-5</v>
      </c>
      <c r="K265" s="124">
        <f t="shared" si="95"/>
        <v>0</v>
      </c>
      <c r="L265" s="124">
        <f t="shared" si="96"/>
        <v>0</v>
      </c>
      <c r="M265" s="120"/>
      <c r="N265" s="132">
        <f t="shared" si="84"/>
        <v>1.1433517698278665E-2</v>
      </c>
      <c r="O265" s="124">
        <f t="shared" si="97"/>
        <v>17910.178184481352</v>
      </c>
      <c r="P265" s="124">
        <f t="shared" si="98"/>
        <v>1</v>
      </c>
      <c r="Q265" s="124">
        <f t="shared" si="99"/>
        <v>1</v>
      </c>
      <c r="R265" s="124">
        <f t="shared" si="100"/>
        <v>14930.855831002451</v>
      </c>
      <c r="S265" s="124">
        <f t="shared" si="101"/>
        <v>11689.283832317848</v>
      </c>
      <c r="T265" s="124">
        <f t="shared" si="102"/>
        <v>18962.326132588991</v>
      </c>
      <c r="U265" s="124">
        <f t="shared" si="103"/>
        <v>1</v>
      </c>
      <c r="V265" s="124">
        <f t="shared" si="104"/>
        <v>0</v>
      </c>
      <c r="W265" s="124">
        <f t="shared" si="105"/>
        <v>1</v>
      </c>
      <c r="X265" s="124">
        <f t="shared" si="106"/>
        <v>1</v>
      </c>
      <c r="Y265" s="124">
        <f t="shared" si="107"/>
        <v>0</v>
      </c>
      <c r="Z265" s="124">
        <f t="shared" si="108"/>
        <v>1</v>
      </c>
      <c r="AA265" s="124">
        <f t="shared" si="85"/>
        <v>6.1462864436988003E-4</v>
      </c>
      <c r="AB265" s="124">
        <f t="shared" si="109"/>
        <v>0</v>
      </c>
      <c r="AC265" s="124">
        <f t="shared" si="110"/>
        <v>0</v>
      </c>
    </row>
    <row r="266" spans="2:29" s="114" customFormat="1">
      <c r="B266" s="115">
        <f t="shared" si="86"/>
        <v>-2.7200000000000628</v>
      </c>
      <c r="C266" s="124">
        <f t="shared" si="87"/>
        <v>1.9054607179629702E-3</v>
      </c>
      <c r="D266" s="124">
        <f t="shared" si="88"/>
        <v>1016102.4927648705</v>
      </c>
      <c r="E266" s="124">
        <f t="shared" si="89"/>
        <v>1</v>
      </c>
      <c r="F266" s="124">
        <f t="shared" si="90"/>
        <v>1</v>
      </c>
      <c r="G266" s="124">
        <f t="shared" si="91"/>
        <v>1004982.3641798847</v>
      </c>
      <c r="H266" s="124">
        <f t="shared" si="92"/>
        <v>1</v>
      </c>
      <c r="I266" s="124">
        <f t="shared" si="93"/>
        <v>1</v>
      </c>
      <c r="J266" s="124">
        <f t="shared" si="94"/>
        <v>2.2839568828119294E-5</v>
      </c>
      <c r="K266" s="124">
        <f t="shared" si="95"/>
        <v>0</v>
      </c>
      <c r="L266" s="124">
        <f t="shared" si="96"/>
        <v>0</v>
      </c>
      <c r="M266" s="120"/>
      <c r="N266" s="132">
        <f t="shared" si="84"/>
        <v>1.19723627865128E-2</v>
      </c>
      <c r="O266" s="124">
        <f t="shared" si="97"/>
        <v>18261.433241243834</v>
      </c>
      <c r="P266" s="124">
        <f t="shared" si="98"/>
        <v>1</v>
      </c>
      <c r="Q266" s="124">
        <f t="shared" si="99"/>
        <v>1</v>
      </c>
      <c r="R266" s="124">
        <f t="shared" si="100"/>
        <v>15231.753058279119</v>
      </c>
      <c r="S266" s="124">
        <f t="shared" si="101"/>
        <v>11900.470145594476</v>
      </c>
      <c r="T266" s="124">
        <f t="shared" si="102"/>
        <v>19329.44621334457</v>
      </c>
      <c r="U266" s="124">
        <f t="shared" si="103"/>
        <v>1</v>
      </c>
      <c r="V266" s="124">
        <f t="shared" si="104"/>
        <v>0</v>
      </c>
      <c r="W266" s="124">
        <f t="shared" si="105"/>
        <v>1</v>
      </c>
      <c r="X266" s="124">
        <f t="shared" si="106"/>
        <v>1</v>
      </c>
      <c r="Y266" s="124">
        <f t="shared" si="107"/>
        <v>0</v>
      </c>
      <c r="Z266" s="124">
        <f t="shared" si="108"/>
        <v>1</v>
      </c>
      <c r="AA266" s="124">
        <f t="shared" si="85"/>
        <v>6.0932709513008979E-4</v>
      </c>
      <c r="AB266" s="124">
        <f t="shared" si="109"/>
        <v>0</v>
      </c>
      <c r="AC266" s="124">
        <f t="shared" si="110"/>
        <v>0</v>
      </c>
    </row>
    <row r="267" spans="2:29" s="114" customFormat="1">
      <c r="B267" s="115">
        <f t="shared" si="86"/>
        <v>-2.7000000000000628</v>
      </c>
      <c r="C267" s="124">
        <f t="shared" si="87"/>
        <v>1.995262314968591E-3</v>
      </c>
      <c r="D267" s="124">
        <f t="shared" si="88"/>
        <v>1003915.9436226684</v>
      </c>
      <c r="E267" s="124">
        <f t="shared" si="89"/>
        <v>1</v>
      </c>
      <c r="F267" s="124">
        <f t="shared" si="90"/>
        <v>1</v>
      </c>
      <c r="G267" s="124">
        <f t="shared" si="91"/>
        <v>991930.13902856305</v>
      </c>
      <c r="H267" s="124">
        <f t="shared" si="92"/>
        <v>1</v>
      </c>
      <c r="I267" s="124">
        <f t="shared" si="93"/>
        <v>1</v>
      </c>
      <c r="J267" s="124">
        <f t="shared" si="94"/>
        <v>2.7209424114914632E-5</v>
      </c>
      <c r="K267" s="124">
        <f t="shared" si="95"/>
        <v>0</v>
      </c>
      <c r="L267" s="124">
        <f t="shared" si="96"/>
        <v>0</v>
      </c>
      <c r="M267" s="120"/>
      <c r="N267" s="132">
        <f t="shared" si="84"/>
        <v>1.2536602861379779E-2</v>
      </c>
      <c r="O267" s="124">
        <f t="shared" si="97"/>
        <v>18620.941070830013</v>
      </c>
      <c r="P267" s="124">
        <f t="shared" si="98"/>
        <v>1</v>
      </c>
      <c r="Q267" s="124">
        <f t="shared" si="99"/>
        <v>1</v>
      </c>
      <c r="R267" s="124">
        <f t="shared" si="100"/>
        <v>15532.601924154458</v>
      </c>
      <c r="S267" s="124">
        <f t="shared" si="101"/>
        <v>12113.133031031239</v>
      </c>
      <c r="T267" s="124">
        <f t="shared" si="102"/>
        <v>19697.45451477695</v>
      </c>
      <c r="U267" s="124">
        <f t="shared" si="103"/>
        <v>1</v>
      </c>
      <c r="V267" s="124">
        <f t="shared" si="104"/>
        <v>0</v>
      </c>
      <c r="W267" s="124">
        <f t="shared" si="105"/>
        <v>1</v>
      </c>
      <c r="X267" s="124">
        <f t="shared" si="106"/>
        <v>1</v>
      </c>
      <c r="Y267" s="124">
        <f t="shared" si="107"/>
        <v>0</v>
      </c>
      <c r="Z267" s="124">
        <f t="shared" si="108"/>
        <v>1</v>
      </c>
      <c r="AA267" s="124">
        <f t="shared" si="85"/>
        <v>5.9577392398264557E-4</v>
      </c>
      <c r="AB267" s="124">
        <f t="shared" si="109"/>
        <v>0</v>
      </c>
      <c r="AC267" s="124">
        <f t="shared" si="110"/>
        <v>0</v>
      </c>
    </row>
    <row r="268" spans="2:29" s="114" customFormat="1">
      <c r="B268" s="115">
        <f t="shared" si="86"/>
        <v>-2.6800000000000628</v>
      </c>
      <c r="C268" s="124">
        <f t="shared" si="87"/>
        <v>2.0892961308537367E-3</v>
      </c>
      <c r="D268" s="124">
        <f t="shared" si="88"/>
        <v>991786.27875281672</v>
      </c>
      <c r="E268" s="124">
        <f t="shared" si="89"/>
        <v>1</v>
      </c>
      <c r="F268" s="124">
        <f t="shared" si="90"/>
        <v>1</v>
      </c>
      <c r="G268" s="124">
        <f t="shared" si="91"/>
        <v>979109.30743885913</v>
      </c>
      <c r="H268" s="124">
        <f t="shared" si="92"/>
        <v>1</v>
      </c>
      <c r="I268" s="124">
        <f t="shared" si="93"/>
        <v>1</v>
      </c>
      <c r="J268" s="124">
        <f t="shared" si="94"/>
        <v>3.1213636887544379E-5</v>
      </c>
      <c r="K268" s="124">
        <f t="shared" si="95"/>
        <v>0</v>
      </c>
      <c r="L268" s="124">
        <f t="shared" si="96"/>
        <v>0</v>
      </c>
      <c r="M268" s="120"/>
      <c r="N268" s="132">
        <f t="shared" si="84"/>
        <v>1.3127434751727356E-2</v>
      </c>
      <c r="O268" s="124">
        <f t="shared" si="97"/>
        <v>18988.902335383038</v>
      </c>
      <c r="P268" s="124">
        <f t="shared" si="98"/>
        <v>1</v>
      </c>
      <c r="Q268" s="124">
        <f t="shared" si="99"/>
        <v>1</v>
      </c>
      <c r="R268" s="124">
        <f t="shared" si="100"/>
        <v>15832.883987537041</v>
      </c>
      <c r="S268" s="124">
        <f t="shared" si="101"/>
        <v>12328.202501059895</v>
      </c>
      <c r="T268" s="124">
        <f t="shared" si="102"/>
        <v>20066.509219840562</v>
      </c>
      <c r="U268" s="124">
        <f t="shared" si="103"/>
        <v>1</v>
      </c>
      <c r="V268" s="124">
        <f t="shared" si="104"/>
        <v>0</v>
      </c>
      <c r="W268" s="124">
        <f t="shared" si="105"/>
        <v>1</v>
      </c>
      <c r="X268" s="124">
        <f t="shared" si="106"/>
        <v>1</v>
      </c>
      <c r="Y268" s="124">
        <f t="shared" si="107"/>
        <v>0</v>
      </c>
      <c r="Z268" s="124">
        <f t="shared" si="108"/>
        <v>1</v>
      </c>
      <c r="AA268" s="124">
        <f t="shared" si="85"/>
        <v>5.7465525713491675E-4</v>
      </c>
      <c r="AB268" s="124">
        <f t="shared" si="109"/>
        <v>0</v>
      </c>
      <c r="AC268" s="124">
        <f t="shared" si="110"/>
        <v>0</v>
      </c>
    </row>
    <row r="269" spans="2:29" s="114" customFormat="1">
      <c r="B269" s="115">
        <f t="shared" si="86"/>
        <v>-2.6600000000000628</v>
      </c>
      <c r="C269" s="124">
        <f t="shared" si="87"/>
        <v>2.187761623949235E-3</v>
      </c>
      <c r="D269" s="124">
        <f t="shared" si="88"/>
        <v>979714.73085551104</v>
      </c>
      <c r="E269" s="124">
        <f t="shared" si="89"/>
        <v>1</v>
      </c>
      <c r="F269" s="124">
        <f t="shared" si="90"/>
        <v>1</v>
      </c>
      <c r="G269" s="124">
        <f t="shared" si="91"/>
        <v>966532.53940928122</v>
      </c>
      <c r="H269" s="124">
        <f t="shared" si="92"/>
        <v>1</v>
      </c>
      <c r="I269" s="124">
        <f t="shared" si="93"/>
        <v>1</v>
      </c>
      <c r="J269" s="124">
        <f t="shared" si="94"/>
        <v>3.4611553525274157E-5</v>
      </c>
      <c r="K269" s="124">
        <f t="shared" si="95"/>
        <v>0</v>
      </c>
      <c r="L269" s="124">
        <f t="shared" si="96"/>
        <v>0</v>
      </c>
      <c r="M269" s="120"/>
      <c r="N269" s="132">
        <f t="shared" si="84"/>
        <v>1.3746111691209185E-2</v>
      </c>
      <c r="O269" s="124">
        <f t="shared" si="97"/>
        <v>19365.522353271273</v>
      </c>
      <c r="P269" s="124">
        <f t="shared" si="98"/>
        <v>1</v>
      </c>
      <c r="Q269" s="124">
        <f t="shared" si="99"/>
        <v>1</v>
      </c>
      <c r="R269" s="124">
        <f t="shared" si="100"/>
        <v>16132.190554357163</v>
      </c>
      <c r="S269" s="124">
        <f t="shared" si="101"/>
        <v>12546.705336235169</v>
      </c>
      <c r="T269" s="124">
        <f t="shared" si="102"/>
        <v>20436.912361616724</v>
      </c>
      <c r="U269" s="124">
        <f t="shared" si="103"/>
        <v>1</v>
      </c>
      <c r="V269" s="124">
        <f t="shared" si="104"/>
        <v>0</v>
      </c>
      <c r="W269" s="124">
        <f t="shared" si="105"/>
        <v>1</v>
      </c>
      <c r="X269" s="124">
        <f t="shared" si="106"/>
        <v>1</v>
      </c>
      <c r="Y269" s="124">
        <f t="shared" si="107"/>
        <v>0</v>
      </c>
      <c r="Z269" s="124">
        <f t="shared" si="108"/>
        <v>1</v>
      </c>
      <c r="AA269" s="124">
        <f t="shared" si="85"/>
        <v>5.4690811640013869E-4</v>
      </c>
      <c r="AB269" s="124">
        <f t="shared" si="109"/>
        <v>0</v>
      </c>
      <c r="AC269" s="124">
        <f t="shared" si="110"/>
        <v>0</v>
      </c>
    </row>
    <row r="270" spans="2:29" s="114" customFormat="1">
      <c r="B270" s="115">
        <f t="shared" si="86"/>
        <v>-2.6400000000000627</v>
      </c>
      <c r="C270" s="124">
        <f t="shared" si="87"/>
        <v>2.2908676527674402E-3</v>
      </c>
      <c r="D270" s="124">
        <f t="shared" si="88"/>
        <v>967702.5183893349</v>
      </c>
      <c r="E270" s="124">
        <f t="shared" si="89"/>
        <v>1</v>
      </c>
      <c r="F270" s="124">
        <f t="shared" si="90"/>
        <v>1</v>
      </c>
      <c r="G270" s="124">
        <f t="shared" si="91"/>
        <v>954209.81567769847</v>
      </c>
      <c r="H270" s="124">
        <f t="shared" si="92"/>
        <v>1</v>
      </c>
      <c r="I270" s="124">
        <f t="shared" si="93"/>
        <v>1</v>
      </c>
      <c r="J270" s="124">
        <f t="shared" si="94"/>
        <v>3.7185501202500053E-5</v>
      </c>
      <c r="K270" s="124">
        <f t="shared" si="95"/>
        <v>0</v>
      </c>
      <c r="L270" s="124">
        <f t="shared" si="96"/>
        <v>0</v>
      </c>
      <c r="M270" s="120"/>
      <c r="N270" s="132">
        <f t="shared" si="84"/>
        <v>1.4393945976561366E-2</v>
      </c>
      <c r="O270" s="124">
        <f t="shared" si="97"/>
        <v>19751.011188651304</v>
      </c>
      <c r="P270" s="124">
        <f t="shared" si="98"/>
        <v>1</v>
      </c>
      <c r="Q270" s="124">
        <f t="shared" si="99"/>
        <v>1</v>
      </c>
      <c r="R270" s="124">
        <f t="shared" si="100"/>
        <v>16430.23515215308</v>
      </c>
      <c r="S270" s="124">
        <f t="shared" si="101"/>
        <v>12769.749495569378</v>
      </c>
      <c r="T270" s="124">
        <f t="shared" si="102"/>
        <v>20809.111690186131</v>
      </c>
      <c r="U270" s="124">
        <f t="shared" si="103"/>
        <v>1</v>
      </c>
      <c r="V270" s="124">
        <f t="shared" si="104"/>
        <v>0</v>
      </c>
      <c r="W270" s="124">
        <f t="shared" si="105"/>
        <v>1</v>
      </c>
      <c r="X270" s="124">
        <f t="shared" si="106"/>
        <v>1</v>
      </c>
      <c r="Y270" s="124">
        <f t="shared" si="107"/>
        <v>0</v>
      </c>
      <c r="Z270" s="124">
        <f t="shared" si="108"/>
        <v>1</v>
      </c>
      <c r="AA270" s="124">
        <f t="shared" si="85"/>
        <v>5.1366624290769144E-4</v>
      </c>
      <c r="AB270" s="124">
        <f t="shared" si="109"/>
        <v>0</v>
      </c>
      <c r="AC270" s="124">
        <f t="shared" si="110"/>
        <v>0</v>
      </c>
    </row>
    <row r="271" spans="2:29" s="114" customFormat="1">
      <c r="B271" s="115">
        <f t="shared" si="86"/>
        <v>-2.6200000000000627</v>
      </c>
      <c r="C271" s="124">
        <f t="shared" si="87"/>
        <v>2.3988329190191434E-3</v>
      </c>
      <c r="D271" s="124">
        <f t="shared" si="88"/>
        <v>955750.84501670545</v>
      </c>
      <c r="E271" s="124">
        <f t="shared" si="89"/>
        <v>1</v>
      </c>
      <c r="F271" s="124">
        <f t="shared" si="90"/>
        <v>1</v>
      </c>
      <c r="G271" s="124">
        <f t="shared" si="91"/>
        <v>942148.22168521793</v>
      </c>
      <c r="H271" s="124">
        <f t="shared" si="92"/>
        <v>1</v>
      </c>
      <c r="I271" s="124">
        <f t="shared" si="93"/>
        <v>1</v>
      </c>
      <c r="J271" s="124">
        <f t="shared" si="94"/>
        <v>3.8756326598774859E-5</v>
      </c>
      <c r="K271" s="124">
        <f t="shared" si="95"/>
        <v>0</v>
      </c>
      <c r="L271" s="124">
        <f t="shared" si="96"/>
        <v>0</v>
      </c>
      <c r="M271" s="120"/>
      <c r="N271" s="132">
        <f t="shared" si="84"/>
        <v>1.5072311751159801E-2</v>
      </c>
      <c r="O271" s="124">
        <f t="shared" si="97"/>
        <v>20145.583741794781</v>
      </c>
      <c r="P271" s="124">
        <f t="shared" si="98"/>
        <v>1</v>
      </c>
      <c r="Q271" s="124">
        <f t="shared" si="99"/>
        <v>1</v>
      </c>
      <c r="R271" s="124">
        <f t="shared" si="100"/>
        <v>16726.863324006692</v>
      </c>
      <c r="S271" s="124">
        <f t="shared" si="101"/>
        <v>12998.50713300214</v>
      </c>
      <c r="T271" s="124">
        <f t="shared" si="102"/>
        <v>21183.699968294201</v>
      </c>
      <c r="U271" s="124">
        <f t="shared" si="103"/>
        <v>1</v>
      </c>
      <c r="V271" s="124">
        <f t="shared" si="104"/>
        <v>0</v>
      </c>
      <c r="W271" s="124">
        <f t="shared" si="105"/>
        <v>1</v>
      </c>
      <c r="X271" s="124">
        <f t="shared" si="106"/>
        <v>1</v>
      </c>
      <c r="Y271" s="124">
        <f t="shared" si="107"/>
        <v>0</v>
      </c>
      <c r="Z271" s="124">
        <f t="shared" si="108"/>
        <v>1</v>
      </c>
      <c r="AA271" s="124">
        <f t="shared" si="85"/>
        <v>4.7619796667975207E-4</v>
      </c>
      <c r="AB271" s="124">
        <f t="shared" si="109"/>
        <v>0</v>
      </c>
      <c r="AC271" s="124">
        <f t="shared" si="110"/>
        <v>0</v>
      </c>
    </row>
    <row r="272" spans="2:29" s="114" customFormat="1">
      <c r="B272" s="115">
        <f t="shared" si="86"/>
        <v>-2.6000000000000627</v>
      </c>
      <c r="C272" s="124">
        <f t="shared" si="87"/>
        <v>2.5118864315092164E-3</v>
      </c>
      <c r="D272" s="124">
        <f t="shared" si="88"/>
        <v>943860.89905531553</v>
      </c>
      <c r="E272" s="124">
        <f t="shared" si="89"/>
        <v>1</v>
      </c>
      <c r="F272" s="124">
        <f t="shared" si="90"/>
        <v>1</v>
      </c>
      <c r="G272" s="124">
        <f t="shared" si="91"/>
        <v>930351.7807865052</v>
      </c>
      <c r="H272" s="124">
        <f t="shared" si="92"/>
        <v>1</v>
      </c>
      <c r="I272" s="124">
        <f t="shared" si="93"/>
        <v>1</v>
      </c>
      <c r="J272" s="124">
        <f t="shared" si="94"/>
        <v>3.9197640059075285E-5</v>
      </c>
      <c r="K272" s="124">
        <f t="shared" si="95"/>
        <v>0</v>
      </c>
      <c r="L272" s="124">
        <f t="shared" si="96"/>
        <v>0</v>
      </c>
      <c r="M272" s="120"/>
      <c r="N272" s="132">
        <f t="shared" si="84"/>
        <v>1.5782647919762471E-2</v>
      </c>
      <c r="O272" s="124">
        <f t="shared" si="97"/>
        <v>20549.459840137228</v>
      </c>
      <c r="P272" s="124">
        <f t="shared" si="98"/>
        <v>1</v>
      </c>
      <c r="Q272" s="124">
        <f t="shared" si="99"/>
        <v>1</v>
      </c>
      <c r="R272" s="124">
        <f t="shared" si="100"/>
        <v>17022.059665530334</v>
      </c>
      <c r="S272" s="124">
        <f t="shared" si="101"/>
        <v>13234.196757713567</v>
      </c>
      <c r="T272" s="124">
        <f t="shared" si="102"/>
        <v>21561.411806251253</v>
      </c>
      <c r="U272" s="124">
        <f t="shared" si="103"/>
        <v>1</v>
      </c>
      <c r="V272" s="124">
        <f t="shared" si="104"/>
        <v>0</v>
      </c>
      <c r="W272" s="124">
        <f t="shared" si="105"/>
        <v>1</v>
      </c>
      <c r="X272" s="124">
        <f t="shared" si="106"/>
        <v>1</v>
      </c>
      <c r="Y272" s="124">
        <f t="shared" si="107"/>
        <v>0</v>
      </c>
      <c r="Z272" s="124">
        <f t="shared" si="108"/>
        <v>1</v>
      </c>
      <c r="AA272" s="124">
        <f t="shared" si="85"/>
        <v>4.3584010090291336E-4</v>
      </c>
      <c r="AB272" s="124">
        <f t="shared" si="109"/>
        <v>0</v>
      </c>
      <c r="AC272" s="124">
        <f t="shared" si="110"/>
        <v>0</v>
      </c>
    </row>
    <row r="273" spans="2:29" s="114" customFormat="1">
      <c r="B273" s="115">
        <f t="shared" si="86"/>
        <v>-2.5800000000000627</v>
      </c>
      <c r="C273" s="124">
        <f t="shared" si="87"/>
        <v>2.6302679918950005E-3</v>
      </c>
      <c r="D273" s="124">
        <f t="shared" si="88"/>
        <v>932033.85293604666</v>
      </c>
      <c r="E273" s="124">
        <f t="shared" si="89"/>
        <v>1</v>
      </c>
      <c r="F273" s="124">
        <f t="shared" si="90"/>
        <v>1</v>
      </c>
      <c r="G273" s="124">
        <f t="shared" si="91"/>
        <v>918821.33362829871</v>
      </c>
      <c r="H273" s="124">
        <f t="shared" si="92"/>
        <v>1</v>
      </c>
      <c r="I273" s="124">
        <f t="shared" si="93"/>
        <v>1</v>
      </c>
      <c r="J273" s="124">
        <f t="shared" si="94"/>
        <v>3.8447646277759275E-5</v>
      </c>
      <c r="K273" s="124">
        <f t="shared" si="95"/>
        <v>0</v>
      </c>
      <c r="L273" s="124">
        <f t="shared" si="96"/>
        <v>0</v>
      </c>
      <c r="M273" s="120"/>
      <c r="N273" s="132">
        <f t="shared" si="84"/>
        <v>1.6526461200619423E-2</v>
      </c>
      <c r="O273" s="124">
        <f t="shared" si="97"/>
        <v>20962.864330003118</v>
      </c>
      <c r="P273" s="124">
        <f t="shared" si="98"/>
        <v>1</v>
      </c>
      <c r="Q273" s="124">
        <f t="shared" si="99"/>
        <v>1</v>
      </c>
      <c r="R273" s="124">
        <f t="shared" si="100"/>
        <v>17315.95214750581</v>
      </c>
      <c r="S273" s="124">
        <f t="shared" si="101"/>
        <v>13478.065046336942</v>
      </c>
      <c r="T273" s="124">
        <f t="shared" si="102"/>
        <v>21943.118196099676</v>
      </c>
      <c r="U273" s="124">
        <f t="shared" si="103"/>
        <v>1</v>
      </c>
      <c r="V273" s="124">
        <f t="shared" si="104"/>
        <v>0</v>
      </c>
      <c r="W273" s="124">
        <f t="shared" si="105"/>
        <v>1</v>
      </c>
      <c r="X273" s="124">
        <f t="shared" si="106"/>
        <v>1</v>
      </c>
      <c r="Y273" s="124">
        <f t="shared" si="107"/>
        <v>0</v>
      </c>
      <c r="Z273" s="124">
        <f t="shared" si="108"/>
        <v>1</v>
      </c>
      <c r="AA273" s="124">
        <f t="shared" si="85"/>
        <v>3.9393194198474604E-4</v>
      </c>
      <c r="AB273" s="124">
        <f t="shared" si="109"/>
        <v>0</v>
      </c>
      <c r="AC273" s="124">
        <f t="shared" si="110"/>
        <v>0</v>
      </c>
    </row>
    <row r="274" spans="2:29" s="114" customFormat="1">
      <c r="B274" s="115">
        <f t="shared" si="86"/>
        <v>-2.5600000000000627</v>
      </c>
      <c r="C274" s="124">
        <f t="shared" si="87"/>
        <v>2.7542287033377666E-3</v>
      </c>
      <c r="D274" s="124">
        <f t="shared" si="88"/>
        <v>920270.86266787362</v>
      </c>
      <c r="E274" s="124">
        <f t="shared" si="89"/>
        <v>1</v>
      </c>
      <c r="F274" s="124">
        <f t="shared" si="90"/>
        <v>1</v>
      </c>
      <c r="G274" s="124">
        <f t="shared" si="91"/>
        <v>907554.47004284454</v>
      </c>
      <c r="H274" s="124">
        <f t="shared" si="92"/>
        <v>1</v>
      </c>
      <c r="I274" s="124">
        <f t="shared" si="93"/>
        <v>1</v>
      </c>
      <c r="J274" s="124">
        <f t="shared" si="94"/>
        <v>3.6517505272783014E-5</v>
      </c>
      <c r="K274" s="124">
        <f t="shared" si="95"/>
        <v>0</v>
      </c>
      <c r="L274" s="124">
        <f t="shared" si="96"/>
        <v>0</v>
      </c>
      <c r="M274" s="120"/>
      <c r="N274" s="132">
        <f t="shared" si="84"/>
        <v>1.7305329321424139E-2</v>
      </c>
      <c r="O274" s="124">
        <f t="shared" si="97"/>
        <v>21386.027168959001</v>
      </c>
      <c r="P274" s="124">
        <f t="shared" si="98"/>
        <v>1</v>
      </c>
      <c r="Q274" s="124">
        <f t="shared" si="99"/>
        <v>1</v>
      </c>
      <c r="R274" s="124">
        <f t="shared" si="100"/>
        <v>17608.813867748526</v>
      </c>
      <c r="S274" s="124">
        <f t="shared" si="101"/>
        <v>13731.368758827633</v>
      </c>
      <c r="T274" s="124">
        <f t="shared" si="102"/>
        <v>22329.818938359538</v>
      </c>
      <c r="U274" s="124">
        <f t="shared" si="103"/>
        <v>1</v>
      </c>
      <c r="V274" s="124">
        <f t="shared" si="104"/>
        <v>0</v>
      </c>
      <c r="W274" s="124">
        <f t="shared" si="105"/>
        <v>1</v>
      </c>
      <c r="X274" s="124">
        <f t="shared" si="106"/>
        <v>1</v>
      </c>
      <c r="Y274" s="124">
        <f t="shared" si="107"/>
        <v>0</v>
      </c>
      <c r="Z274" s="124">
        <f t="shared" si="108"/>
        <v>1</v>
      </c>
      <c r="AA274" s="124">
        <f t="shared" si="85"/>
        <v>3.5175330279540616E-4</v>
      </c>
      <c r="AB274" s="124">
        <f t="shared" si="109"/>
        <v>0</v>
      </c>
      <c r="AC274" s="124">
        <f t="shared" si="110"/>
        <v>0</v>
      </c>
    </row>
    <row r="275" spans="2:29" s="114" customFormat="1">
      <c r="B275" s="115">
        <f t="shared" si="86"/>
        <v>-2.5400000000000627</v>
      </c>
      <c r="C275" s="124">
        <f t="shared" si="87"/>
        <v>2.8840315031261892E-3</v>
      </c>
      <c r="D275" s="124">
        <f t="shared" si="88"/>
        <v>908573.0673102733</v>
      </c>
      <c r="E275" s="124">
        <f t="shared" si="89"/>
        <v>1</v>
      </c>
      <c r="F275" s="124">
        <f t="shared" si="90"/>
        <v>1</v>
      </c>
      <c r="G275" s="124">
        <f t="shared" si="91"/>
        <v>896545.5189157594</v>
      </c>
      <c r="H275" s="124">
        <f t="shared" si="92"/>
        <v>1</v>
      </c>
      <c r="I275" s="124">
        <f t="shared" si="93"/>
        <v>1</v>
      </c>
      <c r="J275" s="124">
        <f t="shared" si="94"/>
        <v>3.3495326719707668E-5</v>
      </c>
      <c r="K275" s="124">
        <f t="shared" si="95"/>
        <v>0</v>
      </c>
      <c r="L275" s="124">
        <f t="shared" si="96"/>
        <v>0</v>
      </c>
      <c r="M275" s="120"/>
      <c r="N275" s="132">
        <f t="shared" si="84"/>
        <v>1.8120904365885527E-2</v>
      </c>
      <c r="O275" s="124">
        <f t="shared" si="97"/>
        <v>21819.183518743281</v>
      </c>
      <c r="P275" s="124">
        <f t="shared" si="98"/>
        <v>1</v>
      </c>
      <c r="Q275" s="124">
        <f t="shared" si="99"/>
        <v>1</v>
      </c>
      <c r="R275" s="124">
        <f t="shared" si="100"/>
        <v>17901.062453390317</v>
      </c>
      <c r="S275" s="124">
        <f t="shared" si="101"/>
        <v>13995.35713398874</v>
      </c>
      <c r="T275" s="124">
        <f t="shared" si="102"/>
        <v>22722.633171973492</v>
      </c>
      <c r="U275" s="124">
        <f t="shared" si="103"/>
        <v>1</v>
      </c>
      <c r="V275" s="124">
        <f t="shared" si="104"/>
        <v>0</v>
      </c>
      <c r="W275" s="124">
        <f t="shared" si="105"/>
        <v>1</v>
      </c>
      <c r="X275" s="124">
        <f t="shared" si="106"/>
        <v>1</v>
      </c>
      <c r="Y275" s="124">
        <f t="shared" si="107"/>
        <v>0</v>
      </c>
      <c r="Z275" s="124">
        <f t="shared" si="108"/>
        <v>1</v>
      </c>
      <c r="AA275" s="124">
        <f t="shared" si="85"/>
        <v>3.1047011913605044E-4</v>
      </c>
      <c r="AB275" s="124">
        <f t="shared" si="109"/>
        <v>0</v>
      </c>
      <c r="AC275" s="124">
        <f t="shared" si="110"/>
        <v>0</v>
      </c>
    </row>
    <row r="276" spans="2:29" s="114" customFormat="1">
      <c r="B276" s="115">
        <f t="shared" si="86"/>
        <v>-2.5200000000000626</v>
      </c>
      <c r="C276" s="124">
        <f t="shared" si="87"/>
        <v>3.0199517204015794E-3</v>
      </c>
      <c r="D276" s="124">
        <f t="shared" si="88"/>
        <v>896941.58845363429</v>
      </c>
      <c r="E276" s="124">
        <f t="shared" si="89"/>
        <v>1</v>
      </c>
      <c r="F276" s="124">
        <f t="shared" si="90"/>
        <v>1</v>
      </c>
      <c r="G276" s="124">
        <f t="shared" si="91"/>
        <v>885785.60028811463</v>
      </c>
      <c r="H276" s="124">
        <f t="shared" si="92"/>
        <v>1</v>
      </c>
      <c r="I276" s="124">
        <f t="shared" si="93"/>
        <v>1</v>
      </c>
      <c r="J276" s="124">
        <f t="shared" si="94"/>
        <v>2.9545154534057625E-5</v>
      </c>
      <c r="K276" s="124">
        <f t="shared" si="95"/>
        <v>0</v>
      </c>
      <c r="L276" s="124">
        <f t="shared" si="96"/>
        <v>0</v>
      </c>
      <c r="M276" s="120"/>
      <c r="N276" s="132">
        <f t="shared" si="84"/>
        <v>1.8974916278018918E-2</v>
      </c>
      <c r="O276" s="124">
        <f t="shared" si="97"/>
        <v>22262.573838718861</v>
      </c>
      <c r="P276" s="124">
        <f t="shared" si="98"/>
        <v>1</v>
      </c>
      <c r="Q276" s="124">
        <f t="shared" si="99"/>
        <v>1</v>
      </c>
      <c r="R276" s="124">
        <f t="shared" si="100"/>
        <v>18193.257386168039</v>
      </c>
      <c r="S276" s="124">
        <f t="shared" si="101"/>
        <v>14271.25505336941</v>
      </c>
      <c r="T276" s="124">
        <f t="shared" si="102"/>
        <v>23122.788221096518</v>
      </c>
      <c r="U276" s="124">
        <f t="shared" si="103"/>
        <v>1</v>
      </c>
      <c r="V276" s="124">
        <f t="shared" si="104"/>
        <v>0</v>
      </c>
      <c r="W276" s="124">
        <f t="shared" si="105"/>
        <v>1</v>
      </c>
      <c r="X276" s="124">
        <f t="shared" si="106"/>
        <v>1</v>
      </c>
      <c r="Y276" s="124">
        <f t="shared" si="107"/>
        <v>0</v>
      </c>
      <c r="Z276" s="124">
        <f t="shared" si="108"/>
        <v>1</v>
      </c>
      <c r="AA276" s="124">
        <f t="shared" si="85"/>
        <v>2.7109058221491108E-4</v>
      </c>
      <c r="AB276" s="124">
        <f t="shared" si="109"/>
        <v>0</v>
      </c>
      <c r="AC276" s="124">
        <f t="shared" si="110"/>
        <v>0</v>
      </c>
    </row>
    <row r="277" spans="2:29" s="114" customFormat="1">
      <c r="B277" s="115">
        <f t="shared" si="86"/>
        <v>-2.5000000000000626</v>
      </c>
      <c r="C277" s="124">
        <f t="shared" si="87"/>
        <v>3.1622776601679214E-3</v>
      </c>
      <c r="D277" s="124">
        <f t="shared" si="88"/>
        <v>885377.52970817871</v>
      </c>
      <c r="E277" s="124">
        <f t="shared" si="89"/>
        <v>1</v>
      </c>
      <c r="F277" s="124">
        <f t="shared" si="90"/>
        <v>1</v>
      </c>
      <c r="G277" s="124">
        <f t="shared" si="91"/>
        <v>875262.74245344894</v>
      </c>
      <c r="H277" s="124">
        <f t="shared" si="92"/>
        <v>1</v>
      </c>
      <c r="I277" s="124">
        <f t="shared" si="93"/>
        <v>1</v>
      </c>
      <c r="J277" s="124">
        <f t="shared" si="94"/>
        <v>2.4900634413406261E-5</v>
      </c>
      <c r="K277" s="124">
        <f t="shared" si="95"/>
        <v>0</v>
      </c>
      <c r="L277" s="124">
        <f t="shared" si="96"/>
        <v>0</v>
      </c>
      <c r="M277" s="120"/>
      <c r="N277" s="132">
        <f t="shared" si="84"/>
        <v>1.9869176531589323E-2</v>
      </c>
      <c r="O277" s="124">
        <f t="shared" si="97"/>
        <v>22716.443979790147</v>
      </c>
      <c r="P277" s="124">
        <f t="shared" si="98"/>
        <v>1</v>
      </c>
      <c r="Q277" s="124">
        <f t="shared" si="99"/>
        <v>1</v>
      </c>
      <c r="R277" s="124">
        <f t="shared" si="100"/>
        <v>18486.095548036647</v>
      </c>
      <c r="S277" s="124">
        <f t="shared" si="101"/>
        <v>14560.24717128144</v>
      </c>
      <c r="T277" s="124">
        <f t="shared" si="102"/>
        <v>23531.606963825263</v>
      </c>
      <c r="U277" s="124">
        <f t="shared" si="103"/>
        <v>1</v>
      </c>
      <c r="V277" s="124">
        <f t="shared" si="104"/>
        <v>0</v>
      </c>
      <c r="W277" s="124">
        <f t="shared" si="105"/>
        <v>1</v>
      </c>
      <c r="X277" s="124">
        <f t="shared" si="106"/>
        <v>1</v>
      </c>
      <c r="Y277" s="124">
        <f t="shared" si="107"/>
        <v>0</v>
      </c>
      <c r="Z277" s="124">
        <f t="shared" si="108"/>
        <v>1</v>
      </c>
      <c r="AA277" s="124">
        <f t="shared" si="85"/>
        <v>2.3443400456133194E-4</v>
      </c>
      <c r="AB277" s="124">
        <f t="shared" si="109"/>
        <v>0</v>
      </c>
      <c r="AC277" s="124">
        <f t="shared" si="110"/>
        <v>0</v>
      </c>
    </row>
    <row r="278" spans="2:29" s="114" customFormat="1">
      <c r="B278" s="115">
        <f t="shared" si="86"/>
        <v>-2.4800000000000626</v>
      </c>
      <c r="C278" s="124">
        <f t="shared" si="87"/>
        <v>3.3113112148254304E-3</v>
      </c>
      <c r="D278" s="124">
        <f t="shared" si="88"/>
        <v>873881.9762018926</v>
      </c>
      <c r="E278" s="124">
        <f t="shared" si="89"/>
        <v>1</v>
      </c>
      <c r="F278" s="124">
        <f t="shared" si="90"/>
        <v>1</v>
      </c>
      <c r="G278" s="124">
        <f t="shared" si="91"/>
        <v>864962.06504144287</v>
      </c>
      <c r="H278" s="124">
        <f t="shared" si="92"/>
        <v>1</v>
      </c>
      <c r="I278" s="124">
        <f t="shared" si="93"/>
        <v>1</v>
      </c>
      <c r="J278" s="124">
        <f t="shared" si="94"/>
        <v>1.9853451899574026E-5</v>
      </c>
      <c r="K278" s="124">
        <f t="shared" si="95"/>
        <v>0</v>
      </c>
      <c r="L278" s="124">
        <f t="shared" si="96"/>
        <v>0</v>
      </c>
      <c r="M278" s="120"/>
      <c r="N278" s="132">
        <f t="shared" si="84"/>
        <v>2.080558197249013E-2</v>
      </c>
      <c r="O278" s="124">
        <f t="shared" si="97"/>
        <v>23181.045278724814</v>
      </c>
      <c r="P278" s="124">
        <f t="shared" si="98"/>
        <v>1</v>
      </c>
      <c r="Q278" s="124">
        <f t="shared" si="99"/>
        <v>1</v>
      </c>
      <c r="R278" s="124">
        <f t="shared" si="100"/>
        <v>18780.405284148706</v>
      </c>
      <c r="S278" s="124">
        <f t="shared" si="101"/>
        <v>14863.46312110158</v>
      </c>
      <c r="T278" s="124">
        <f t="shared" si="102"/>
        <v>23950.49391117493</v>
      </c>
      <c r="U278" s="124">
        <f t="shared" si="103"/>
        <v>1</v>
      </c>
      <c r="V278" s="124">
        <f t="shared" si="104"/>
        <v>0</v>
      </c>
      <c r="W278" s="124">
        <f t="shared" si="105"/>
        <v>1</v>
      </c>
      <c r="X278" s="124">
        <f t="shared" si="106"/>
        <v>1</v>
      </c>
      <c r="Y278" s="124">
        <f t="shared" si="107"/>
        <v>0</v>
      </c>
      <c r="Z278" s="124">
        <f t="shared" si="108"/>
        <v>1</v>
      </c>
      <c r="AA278" s="124">
        <f t="shared" si="85"/>
        <v>2.0111377029686711E-4</v>
      </c>
      <c r="AB278" s="124">
        <f t="shared" si="109"/>
        <v>0</v>
      </c>
      <c r="AC278" s="124">
        <f t="shared" si="110"/>
        <v>0</v>
      </c>
    </row>
    <row r="279" spans="2:29" s="114" customFormat="1">
      <c r="B279" s="115">
        <f t="shared" si="86"/>
        <v>-2.4600000000000626</v>
      </c>
      <c r="C279" s="124">
        <f t="shared" si="87"/>
        <v>3.4673685045248158E-3</v>
      </c>
      <c r="D279" s="124">
        <f t="shared" si="88"/>
        <v>862455.99408795382</v>
      </c>
      <c r="E279" s="124">
        <f t="shared" si="89"/>
        <v>1</v>
      </c>
      <c r="F279" s="124">
        <f t="shared" si="90"/>
        <v>1</v>
      </c>
      <c r="G279" s="124">
        <f t="shared" si="91"/>
        <v>854866.02708890662</v>
      </c>
      <c r="H279" s="124">
        <f t="shared" si="92"/>
        <v>1</v>
      </c>
      <c r="I279" s="124">
        <f t="shared" si="93"/>
        <v>1</v>
      </c>
      <c r="J279" s="124">
        <f t="shared" si="94"/>
        <v>1.4737050334114662E-5</v>
      </c>
      <c r="K279" s="124">
        <f t="shared" si="95"/>
        <v>0</v>
      </c>
      <c r="L279" s="124">
        <f t="shared" si="96"/>
        <v>0</v>
      </c>
      <c r="M279" s="120"/>
      <c r="N279" s="132">
        <f t="shared" si="84"/>
        <v>2.1786118842207578E-2</v>
      </c>
      <c r="O279" s="124">
        <f t="shared" si="97"/>
        <v>23656.634652815956</v>
      </c>
      <c r="P279" s="124">
        <f t="shared" si="98"/>
        <v>1</v>
      </c>
      <c r="Q279" s="124">
        <f t="shared" si="99"/>
        <v>1</v>
      </c>
      <c r="R279" s="124">
        <f t="shared" si="100"/>
        <v>19077.139258202882</v>
      </c>
      <c r="S279" s="124">
        <f t="shared" si="101"/>
        <v>15181.963829699236</v>
      </c>
      <c r="T279" s="124">
        <f t="shared" si="102"/>
        <v>24380.920163175986</v>
      </c>
      <c r="U279" s="124">
        <f t="shared" si="103"/>
        <v>1</v>
      </c>
      <c r="V279" s="124">
        <f t="shared" si="104"/>
        <v>0</v>
      </c>
      <c r="W279" s="124">
        <f t="shared" si="105"/>
        <v>1</v>
      </c>
      <c r="X279" s="124">
        <f t="shared" si="106"/>
        <v>1</v>
      </c>
      <c r="Y279" s="124">
        <f t="shared" si="107"/>
        <v>0</v>
      </c>
      <c r="Z279" s="124">
        <f t="shared" si="108"/>
        <v>1</v>
      </c>
      <c r="AA279" s="124">
        <f t="shared" si="85"/>
        <v>1.7153480269965879E-4</v>
      </c>
      <c r="AB279" s="124">
        <f t="shared" si="109"/>
        <v>0</v>
      </c>
      <c r="AC279" s="124">
        <f t="shared" si="110"/>
        <v>0</v>
      </c>
    </row>
    <row r="280" spans="2:29" s="114" customFormat="1">
      <c r="B280" s="115">
        <f t="shared" si="86"/>
        <v>-2.4400000000000626</v>
      </c>
      <c r="C280" s="124">
        <f t="shared" si="87"/>
        <v>3.6307805477004888E-3</v>
      </c>
      <c r="D280" s="124">
        <f t="shared" si="88"/>
        <v>851100.63006216253</v>
      </c>
      <c r="E280" s="124">
        <f t="shared" si="89"/>
        <v>1</v>
      </c>
      <c r="F280" s="124">
        <f t="shared" si="90"/>
        <v>1</v>
      </c>
      <c r="G280" s="124">
        <f t="shared" si="91"/>
        <v>844954.73695246258</v>
      </c>
      <c r="H280" s="124">
        <f t="shared" si="92"/>
        <v>1</v>
      </c>
      <c r="I280" s="124">
        <f t="shared" si="93"/>
        <v>1</v>
      </c>
      <c r="J280" s="124">
        <f t="shared" si="94"/>
        <v>9.9065484985430611E-6</v>
      </c>
      <c r="K280" s="124">
        <f t="shared" si="95"/>
        <v>0</v>
      </c>
      <c r="L280" s="124">
        <f t="shared" si="96"/>
        <v>0</v>
      </c>
      <c r="M280" s="120"/>
      <c r="N280" s="132">
        <f t="shared" si="84"/>
        <v>2.2812866990905161E-2</v>
      </c>
      <c r="O280" s="124">
        <f t="shared" si="97"/>
        <v>24143.47469481669</v>
      </c>
      <c r="P280" s="124">
        <f t="shared" si="98"/>
        <v>1</v>
      </c>
      <c r="Q280" s="124">
        <f t="shared" si="99"/>
        <v>1</v>
      </c>
      <c r="R280" s="124">
        <f t="shared" si="100"/>
        <v>19377.366335648785</v>
      </c>
      <c r="S280" s="124">
        <f t="shared" si="101"/>
        <v>15516.72890714873</v>
      </c>
      <c r="T280" s="124">
        <f t="shared" si="102"/>
        <v>24824.407386358285</v>
      </c>
      <c r="U280" s="124">
        <f t="shared" si="103"/>
        <v>1</v>
      </c>
      <c r="V280" s="124">
        <f t="shared" si="104"/>
        <v>0</v>
      </c>
      <c r="W280" s="124">
        <f t="shared" si="105"/>
        <v>1</v>
      </c>
      <c r="X280" s="124">
        <f t="shared" si="106"/>
        <v>1</v>
      </c>
      <c r="Y280" s="124">
        <f t="shared" si="107"/>
        <v>0</v>
      </c>
      <c r="Z280" s="124">
        <f t="shared" si="108"/>
        <v>1</v>
      </c>
      <c r="AA280" s="124">
        <f t="shared" si="85"/>
        <v>1.4590505325714101E-4</v>
      </c>
      <c r="AB280" s="124">
        <f t="shared" si="109"/>
        <v>0</v>
      </c>
      <c r="AC280" s="124">
        <f t="shared" si="110"/>
        <v>0</v>
      </c>
    </row>
    <row r="281" spans="2:29" s="114" customFormat="1">
      <c r="B281" s="115">
        <f t="shared" si="86"/>
        <v>-2.4200000000000625</v>
      </c>
      <c r="C281" s="124">
        <f t="shared" si="87"/>
        <v>3.8018939632050619E-3</v>
      </c>
      <c r="D281" s="124">
        <f t="shared" si="88"/>
        <v>839816.91089081077</v>
      </c>
      <c r="E281" s="124">
        <f t="shared" si="89"/>
        <v>1</v>
      </c>
      <c r="F281" s="124">
        <f t="shared" si="90"/>
        <v>1</v>
      </c>
      <c r="G281" s="124">
        <f t="shared" si="91"/>
        <v>835206.318701201</v>
      </c>
      <c r="H281" s="124">
        <f t="shared" si="92"/>
        <v>1</v>
      </c>
      <c r="I281" s="124">
        <f t="shared" si="93"/>
        <v>1</v>
      </c>
      <c r="J281" s="124">
        <f t="shared" si="94"/>
        <v>5.7161360834060861E-6</v>
      </c>
      <c r="K281" s="124">
        <f t="shared" si="95"/>
        <v>0</v>
      </c>
      <c r="L281" s="124">
        <f t="shared" si="96"/>
        <v>0</v>
      </c>
      <c r="M281" s="120"/>
      <c r="N281" s="132">
        <f t="shared" si="84"/>
        <v>2.3888004289064811E-2</v>
      </c>
      <c r="O281" s="124">
        <f t="shared" si="97"/>
        <v>24641.833768077555</v>
      </c>
      <c r="P281" s="124">
        <f t="shared" si="98"/>
        <v>1</v>
      </c>
      <c r="Q281" s="124">
        <f t="shared" si="99"/>
        <v>1</v>
      </c>
      <c r="R281" s="124">
        <f t="shared" si="100"/>
        <v>19682.262678048301</v>
      </c>
      <c r="S281" s="124">
        <f t="shared" si="101"/>
        <v>15868.645030754144</v>
      </c>
      <c r="T281" s="124">
        <f t="shared" si="102"/>
        <v>25282.510936213817</v>
      </c>
      <c r="U281" s="124">
        <f t="shared" si="103"/>
        <v>1</v>
      </c>
      <c r="V281" s="124">
        <f t="shared" si="104"/>
        <v>0</v>
      </c>
      <c r="W281" s="124">
        <f t="shared" si="105"/>
        <v>1</v>
      </c>
      <c r="X281" s="124">
        <f t="shared" si="106"/>
        <v>1</v>
      </c>
      <c r="Y281" s="124">
        <f t="shared" si="107"/>
        <v>0</v>
      </c>
      <c r="Z281" s="124">
        <f t="shared" si="108"/>
        <v>1</v>
      </c>
      <c r="AA281" s="124">
        <f t="shared" si="85"/>
        <v>1.242596273351655E-4</v>
      </c>
      <c r="AB281" s="124">
        <f t="shared" si="109"/>
        <v>0</v>
      </c>
      <c r="AC281" s="124">
        <f t="shared" si="110"/>
        <v>0</v>
      </c>
    </row>
    <row r="282" spans="2:29" s="114" customFormat="1">
      <c r="B282" s="115">
        <f t="shared" si="86"/>
        <v>-2.4000000000000625</v>
      </c>
      <c r="C282" s="124">
        <f t="shared" si="87"/>
        <v>3.9810717055343958E-3</v>
      </c>
      <c r="D282" s="124">
        <f t="shared" si="88"/>
        <v>828605.84294953081</v>
      </c>
      <c r="E282" s="124">
        <f t="shared" si="89"/>
        <v>1</v>
      </c>
      <c r="F282" s="124">
        <f t="shared" si="90"/>
        <v>1</v>
      </c>
      <c r="G282" s="124">
        <f t="shared" si="91"/>
        <v>825597.32744309981</v>
      </c>
      <c r="H282" s="124">
        <f t="shared" si="92"/>
        <v>1</v>
      </c>
      <c r="I282" s="124">
        <f t="shared" si="93"/>
        <v>1</v>
      </c>
      <c r="J282" s="124">
        <f t="shared" si="94"/>
        <v>2.4954931520814823E-6</v>
      </c>
      <c r="K282" s="124">
        <f t="shared" si="95"/>
        <v>0</v>
      </c>
      <c r="L282" s="124">
        <f t="shared" si="96"/>
        <v>0</v>
      </c>
      <c r="M282" s="120"/>
      <c r="N282" s="132">
        <f t="shared" si="84"/>
        <v>2.5013811247042092E-2</v>
      </c>
      <c r="O282" s="124">
        <f t="shared" si="97"/>
        <v>25151.98610181161</v>
      </c>
      <c r="P282" s="124">
        <f t="shared" si="98"/>
        <v>1</v>
      </c>
      <c r="Q282" s="124">
        <f t="shared" si="99"/>
        <v>1</v>
      </c>
      <c r="R282" s="124">
        <f t="shared" si="100"/>
        <v>19993.102171920316</v>
      </c>
      <c r="S282" s="124">
        <f t="shared" si="101"/>
        <v>16238.495212353597</v>
      </c>
      <c r="T282" s="124">
        <f t="shared" si="102"/>
        <v>25756.802232002239</v>
      </c>
      <c r="U282" s="124">
        <f t="shared" si="103"/>
        <v>1</v>
      </c>
      <c r="V282" s="124">
        <f t="shared" si="104"/>
        <v>0</v>
      </c>
      <c r="W282" s="124">
        <f t="shared" si="105"/>
        <v>1</v>
      </c>
      <c r="X282" s="124">
        <f t="shared" si="106"/>
        <v>1</v>
      </c>
      <c r="Y282" s="124">
        <f t="shared" si="107"/>
        <v>0</v>
      </c>
      <c r="Z282" s="124">
        <f t="shared" si="108"/>
        <v>1</v>
      </c>
      <c r="AA282" s="124">
        <f t="shared" si="85"/>
        <v>1.064953611339759E-4</v>
      </c>
      <c r="AB282" s="124">
        <f t="shared" si="109"/>
        <v>0</v>
      </c>
      <c r="AC282" s="124">
        <f t="shared" si="110"/>
        <v>0</v>
      </c>
    </row>
    <row r="283" spans="2:29" s="114" customFormat="1">
      <c r="B283" s="115">
        <f t="shared" si="86"/>
        <v>-2.3800000000000625</v>
      </c>
      <c r="C283" s="124">
        <f t="shared" si="87"/>
        <v>4.1686938347027525E-3</v>
      </c>
      <c r="D283" s="124">
        <f t="shared" si="88"/>
        <v>817468.41177352797</v>
      </c>
      <c r="E283" s="124">
        <f t="shared" si="89"/>
        <v>1</v>
      </c>
      <c r="F283" s="124">
        <f t="shared" si="90"/>
        <v>1</v>
      </c>
      <c r="G283" s="124">
        <f t="shared" si="91"/>
        <v>816103.20399944868</v>
      </c>
      <c r="H283" s="124">
        <f t="shared" si="92"/>
        <v>1</v>
      </c>
      <c r="I283" s="124">
        <f t="shared" si="93"/>
        <v>1</v>
      </c>
      <c r="J283" s="124">
        <f t="shared" si="94"/>
        <v>5.2692640729211748E-7</v>
      </c>
      <c r="K283" s="124">
        <f t="shared" si="95"/>
        <v>0</v>
      </c>
      <c r="L283" s="124">
        <f t="shared" si="96"/>
        <v>0</v>
      </c>
      <c r="M283" s="120"/>
      <c r="N283" s="132">
        <f t="shared" si="84"/>
        <v>2.6192675852334462E-2</v>
      </c>
      <c r="O283" s="124">
        <f t="shared" si="97"/>
        <v>25674.211886409666</v>
      </c>
      <c r="P283" s="124">
        <f t="shared" si="98"/>
        <v>1</v>
      </c>
      <c r="Q283" s="124">
        <f t="shared" si="99"/>
        <v>1</v>
      </c>
      <c r="R283" s="124">
        <f t="shared" si="100"/>
        <v>20311.246252285568</v>
      </c>
      <c r="S283" s="124">
        <f t="shared" si="101"/>
        <v>16626.948826235963</v>
      </c>
      <c r="T283" s="124">
        <f t="shared" si="102"/>
        <v>26248.850481330683</v>
      </c>
      <c r="U283" s="124">
        <f t="shared" si="103"/>
        <v>1</v>
      </c>
      <c r="V283" s="124">
        <f t="shared" si="104"/>
        <v>0</v>
      </c>
      <c r="W283" s="124">
        <f t="shared" si="105"/>
        <v>1</v>
      </c>
      <c r="X283" s="124">
        <f t="shared" si="106"/>
        <v>1</v>
      </c>
      <c r="Y283" s="124">
        <f t="shared" si="107"/>
        <v>0</v>
      </c>
      <c r="Z283" s="124">
        <f t="shared" si="108"/>
        <v>1</v>
      </c>
      <c r="AA283" s="124">
        <f t="shared" si="85"/>
        <v>9.2412998768825994E-5</v>
      </c>
      <c r="AB283" s="124">
        <f t="shared" si="109"/>
        <v>0</v>
      </c>
      <c r="AC283" s="124">
        <f t="shared" si="110"/>
        <v>0</v>
      </c>
    </row>
    <row r="284" spans="2:29" s="114" customFormat="1">
      <c r="B284" s="115">
        <f t="shared" si="86"/>
        <v>-2.3600000000000625</v>
      </c>
      <c r="C284" s="124">
        <f t="shared" si="87"/>
        <v>4.3651583224010295E-3</v>
      </c>
      <c r="D284" s="124">
        <f t="shared" si="88"/>
        <v>806405.58161970181</v>
      </c>
      <c r="E284" s="124">
        <f t="shared" si="89"/>
        <v>1</v>
      </c>
      <c r="F284" s="124">
        <f t="shared" si="90"/>
        <v>1</v>
      </c>
      <c r="G284" s="124">
        <f t="shared" si="91"/>
        <v>806698.75756603247</v>
      </c>
      <c r="H284" s="124">
        <f t="shared" si="92"/>
        <v>1</v>
      </c>
      <c r="I284" s="124">
        <f t="shared" si="93"/>
        <v>1</v>
      </c>
      <c r="J284" s="124">
        <f t="shared" si="94"/>
        <v>2.4920707968205118E-8</v>
      </c>
      <c r="K284" s="124">
        <f t="shared" si="95"/>
        <v>0</v>
      </c>
      <c r="L284" s="124">
        <f t="shared" si="96"/>
        <v>0</v>
      </c>
      <c r="M284" s="120"/>
      <c r="N284" s="132">
        <f t="shared" si="84"/>
        <v>2.7427098634822841E-2</v>
      </c>
      <c r="O284" s="124">
        <f t="shared" si="97"/>
        <v>26208.797368724659</v>
      </c>
      <c r="P284" s="124">
        <f t="shared" si="98"/>
        <v>1</v>
      </c>
      <c r="Q284" s="124">
        <f t="shared" si="99"/>
        <v>1</v>
      </c>
      <c r="R284" s="124">
        <f t="shared" si="100"/>
        <v>20638.133119100428</v>
      </c>
      <c r="S284" s="124">
        <f t="shared" si="101"/>
        <v>17034.552281241824</v>
      </c>
      <c r="T284" s="124">
        <f t="shared" si="102"/>
        <v>26760.20384944911</v>
      </c>
      <c r="U284" s="124">
        <f t="shared" si="103"/>
        <v>1</v>
      </c>
      <c r="V284" s="124">
        <f t="shared" si="104"/>
        <v>0</v>
      </c>
      <c r="W284" s="124">
        <f t="shared" si="105"/>
        <v>1</v>
      </c>
      <c r="X284" s="124">
        <f t="shared" si="106"/>
        <v>1</v>
      </c>
      <c r="Y284" s="124">
        <f t="shared" si="107"/>
        <v>0</v>
      </c>
      <c r="Z284" s="124">
        <f t="shared" si="108"/>
        <v>1</v>
      </c>
      <c r="AA284" s="124">
        <f t="shared" si="85"/>
        <v>8.176362831887315E-5</v>
      </c>
      <c r="AB284" s="124">
        <f t="shared" si="109"/>
        <v>0</v>
      </c>
      <c r="AC284" s="124">
        <f t="shared" si="110"/>
        <v>0</v>
      </c>
    </row>
    <row r="285" spans="2:29" s="114" customFormat="1">
      <c r="B285" s="115">
        <f t="shared" si="86"/>
        <v>-2.3400000000000625</v>
      </c>
      <c r="C285" s="124">
        <f t="shared" si="87"/>
        <v>4.5708818961480895E-3</v>
      </c>
      <c r="D285" s="124">
        <f t="shared" si="88"/>
        <v>795418.29504103411</v>
      </c>
      <c r="E285" s="124">
        <f t="shared" si="89"/>
        <v>1</v>
      </c>
      <c r="F285" s="124">
        <f t="shared" si="90"/>
        <v>1</v>
      </c>
      <c r="G285" s="124">
        <f t="shared" si="91"/>
        <v>797358.66360572982</v>
      </c>
      <c r="H285" s="124">
        <f t="shared" si="92"/>
        <v>1</v>
      </c>
      <c r="I285" s="124">
        <f t="shared" si="93"/>
        <v>1</v>
      </c>
      <c r="J285" s="124">
        <f t="shared" si="94"/>
        <v>1.1196636394001932E-6</v>
      </c>
      <c r="K285" s="124">
        <f t="shared" si="95"/>
        <v>0</v>
      </c>
      <c r="L285" s="124">
        <f t="shared" si="96"/>
        <v>0</v>
      </c>
      <c r="M285" s="120"/>
      <c r="N285" s="132">
        <f t="shared" si="84"/>
        <v>2.8719697970730842E-2</v>
      </c>
      <c r="O285" s="124">
        <f t="shared" si="97"/>
        <v>26756.034947239012</v>
      </c>
      <c r="P285" s="124">
        <f t="shared" si="98"/>
        <v>1</v>
      </c>
      <c r="Q285" s="124">
        <f t="shared" si="99"/>
        <v>1</v>
      </c>
      <c r="R285" s="124">
        <f t="shared" si="100"/>
        <v>20975.266287533756</v>
      </c>
      <c r="S285" s="124">
        <f t="shared" si="101"/>
        <v>17461.720243518645</v>
      </c>
      <c r="T285" s="124">
        <f t="shared" si="102"/>
        <v>27292.37017365584</v>
      </c>
      <c r="U285" s="124">
        <f t="shared" si="103"/>
        <v>1</v>
      </c>
      <c r="V285" s="124">
        <f t="shared" si="104"/>
        <v>0</v>
      </c>
      <c r="W285" s="124">
        <f t="shared" si="105"/>
        <v>1</v>
      </c>
      <c r="X285" s="124">
        <f t="shared" si="106"/>
        <v>1</v>
      </c>
      <c r="Y285" s="124">
        <f t="shared" si="107"/>
        <v>0</v>
      </c>
      <c r="Z285" s="124">
        <f t="shared" si="108"/>
        <v>1</v>
      </c>
      <c r="AA285" s="124">
        <f t="shared" si="85"/>
        <v>7.4295755544747649E-5</v>
      </c>
      <c r="AB285" s="124">
        <f t="shared" si="109"/>
        <v>0</v>
      </c>
      <c r="AC285" s="124">
        <f t="shared" si="110"/>
        <v>0</v>
      </c>
    </row>
    <row r="286" spans="2:29" s="114" customFormat="1">
      <c r="B286" s="115">
        <f t="shared" si="86"/>
        <v>-2.3200000000000625</v>
      </c>
      <c r="C286" s="124">
        <f t="shared" si="87"/>
        <v>4.7863009232256941E-3</v>
      </c>
      <c r="D286" s="124">
        <f t="shared" si="88"/>
        <v>784507.47247377853</v>
      </c>
      <c r="E286" s="124">
        <f t="shared" si="89"/>
        <v>1</v>
      </c>
      <c r="F286" s="124">
        <f t="shared" si="90"/>
        <v>1</v>
      </c>
      <c r="G286" s="124">
        <f t="shared" si="91"/>
        <v>788057.96331101854</v>
      </c>
      <c r="H286" s="124">
        <f t="shared" si="92"/>
        <v>1</v>
      </c>
      <c r="I286" s="124">
        <f t="shared" si="93"/>
        <v>1</v>
      </c>
      <c r="J286" s="124">
        <f t="shared" si="94"/>
        <v>3.8458242228957184E-6</v>
      </c>
      <c r="K286" s="124">
        <f t="shared" si="95"/>
        <v>0</v>
      </c>
      <c r="L286" s="124">
        <f t="shared" si="96"/>
        <v>0</v>
      </c>
      <c r="M286" s="120"/>
      <c r="N286" s="132">
        <f t="shared" si="84"/>
        <v>3.007321563655177E-2</v>
      </c>
      <c r="O286" s="124">
        <f t="shared" si="97"/>
        <v>27316.223267027483</v>
      </c>
      <c r="P286" s="124">
        <f t="shared" si="98"/>
        <v>1</v>
      </c>
      <c r="Q286" s="124">
        <f t="shared" si="99"/>
        <v>1</v>
      </c>
      <c r="R286" s="124">
        <f t="shared" si="100"/>
        <v>21324.202363814562</v>
      </c>
      <c r="S286" s="124">
        <f t="shared" si="101"/>
        <v>17908.727354288407</v>
      </c>
      <c r="T286" s="124">
        <f t="shared" si="102"/>
        <v>27846.797336554744</v>
      </c>
      <c r="U286" s="124">
        <f t="shared" si="103"/>
        <v>1</v>
      </c>
      <c r="V286" s="124">
        <f t="shared" si="104"/>
        <v>0</v>
      </c>
      <c r="W286" s="124">
        <f t="shared" si="105"/>
        <v>1</v>
      </c>
      <c r="X286" s="124">
        <f t="shared" si="106"/>
        <v>1</v>
      </c>
      <c r="Y286" s="124">
        <f t="shared" si="107"/>
        <v>0</v>
      </c>
      <c r="Z286" s="124">
        <f t="shared" si="108"/>
        <v>1</v>
      </c>
      <c r="AA286" s="124">
        <f t="shared" si="85"/>
        <v>6.9799347662706851E-5</v>
      </c>
      <c r="AB286" s="124">
        <f t="shared" si="109"/>
        <v>0</v>
      </c>
      <c r="AC286" s="124">
        <f t="shared" si="110"/>
        <v>0</v>
      </c>
    </row>
    <row r="287" spans="2:29" s="114" customFormat="1">
      <c r="B287" s="115">
        <f t="shared" si="86"/>
        <v>-2.3000000000000624</v>
      </c>
      <c r="C287" s="124">
        <f t="shared" si="87"/>
        <v>5.0118723362720004E-3</v>
      </c>
      <c r="D287" s="124">
        <f t="shared" si="88"/>
        <v>773674.01183779468</v>
      </c>
      <c r="E287" s="124">
        <f t="shared" si="89"/>
        <v>1</v>
      </c>
      <c r="F287" s="124">
        <f t="shared" si="90"/>
        <v>1</v>
      </c>
      <c r="G287" s="124">
        <f t="shared" si="91"/>
        <v>778772.55064288608</v>
      </c>
      <c r="H287" s="124">
        <f t="shared" si="92"/>
        <v>1</v>
      </c>
      <c r="I287" s="124">
        <f t="shared" si="93"/>
        <v>1</v>
      </c>
      <c r="J287" s="124">
        <f t="shared" si="94"/>
        <v>8.137478888392998E-6</v>
      </c>
      <c r="K287" s="124">
        <f t="shared" si="95"/>
        <v>0</v>
      </c>
      <c r="L287" s="124">
        <f t="shared" si="96"/>
        <v>0</v>
      </c>
      <c r="M287" s="120"/>
      <c r="N287" s="132">
        <f t="shared" si="84"/>
        <v>3.1490522624724057E-2</v>
      </c>
      <c r="O287" s="124">
        <f t="shared" si="97"/>
        <v>27889.667314421782</v>
      </c>
      <c r="P287" s="124">
        <f t="shared" si="98"/>
        <v>1</v>
      </c>
      <c r="Q287" s="124">
        <f t="shared" si="99"/>
        <v>1</v>
      </c>
      <c r="R287" s="124">
        <f t="shared" si="100"/>
        <v>21686.537899947903</v>
      </c>
      <c r="S287" s="124">
        <f t="shared" si="101"/>
        <v>18375.700437884982</v>
      </c>
      <c r="T287" s="124">
        <f t="shared" si="102"/>
        <v>28424.853432669854</v>
      </c>
      <c r="U287" s="124">
        <f t="shared" si="103"/>
        <v>1</v>
      </c>
      <c r="V287" s="124">
        <f t="shared" si="104"/>
        <v>0</v>
      </c>
      <c r="W287" s="124">
        <f t="shared" si="105"/>
        <v>1</v>
      </c>
      <c r="X287" s="124">
        <f t="shared" si="106"/>
        <v>1</v>
      </c>
      <c r="Y287" s="124">
        <f t="shared" si="107"/>
        <v>0</v>
      </c>
      <c r="Z287" s="124">
        <f t="shared" si="108"/>
        <v>1</v>
      </c>
      <c r="AA287" s="124">
        <f t="shared" si="85"/>
        <v>6.8143378155117505E-5</v>
      </c>
      <c r="AB287" s="124">
        <f t="shared" si="109"/>
        <v>0</v>
      </c>
      <c r="AC287" s="124">
        <f t="shared" si="110"/>
        <v>0</v>
      </c>
    </row>
    <row r="288" spans="2:29" s="114" customFormat="1">
      <c r="B288" s="115">
        <f t="shared" si="86"/>
        <v>-2.2800000000000624</v>
      </c>
      <c r="C288" s="124">
        <f t="shared" si="87"/>
        <v>5.2480746024969691E-3</v>
      </c>
      <c r="D288" s="124">
        <f t="shared" si="88"/>
        <v>762918.78815047804</v>
      </c>
      <c r="E288" s="124">
        <f t="shared" si="89"/>
        <v>1</v>
      </c>
      <c r="F288" s="124">
        <f t="shared" si="90"/>
        <v>1</v>
      </c>
      <c r="G288" s="124">
        <f t="shared" si="91"/>
        <v>769479.63325155817</v>
      </c>
      <c r="H288" s="124">
        <f t="shared" si="92"/>
        <v>1</v>
      </c>
      <c r="I288" s="124">
        <f t="shared" si="93"/>
        <v>1</v>
      </c>
      <c r="J288" s="124">
        <f t="shared" si="94"/>
        <v>1.3829615256452618E-5</v>
      </c>
      <c r="K288" s="124">
        <f t="shared" si="95"/>
        <v>0</v>
      </c>
      <c r="L288" s="124">
        <f t="shared" si="96"/>
        <v>0</v>
      </c>
      <c r="M288" s="120"/>
      <c r="N288" s="132">
        <f t="shared" si="84"/>
        <v>3.2974625233391307E-2</v>
      </c>
      <c r="O288" s="124">
        <f t="shared" si="97"/>
        <v>28476.678511281279</v>
      </c>
      <c r="P288" s="124">
        <f t="shared" si="98"/>
        <v>1</v>
      </c>
      <c r="Q288" s="124">
        <f t="shared" si="99"/>
        <v>1</v>
      </c>
      <c r="R288" s="124">
        <f t="shared" si="100"/>
        <v>22063.895155416532</v>
      </c>
      <c r="S288" s="124">
        <f t="shared" si="101"/>
        <v>18862.611257001066</v>
      </c>
      <c r="T288" s="124">
        <f t="shared" si="102"/>
        <v>29027.806890324257</v>
      </c>
      <c r="U288" s="124">
        <f t="shared" si="103"/>
        <v>1</v>
      </c>
      <c r="V288" s="124">
        <f t="shared" si="104"/>
        <v>0</v>
      </c>
      <c r="W288" s="124">
        <f t="shared" si="105"/>
        <v>1</v>
      </c>
      <c r="X288" s="124">
        <f t="shared" si="106"/>
        <v>1</v>
      </c>
      <c r="Y288" s="124">
        <f t="shared" si="107"/>
        <v>0</v>
      </c>
      <c r="Z288" s="124">
        <f t="shared" si="108"/>
        <v>1</v>
      </c>
      <c r="AA288" s="124">
        <f t="shared" si="85"/>
        <v>6.9303842764464671E-5</v>
      </c>
      <c r="AB288" s="124">
        <f t="shared" si="109"/>
        <v>0</v>
      </c>
      <c r="AC288" s="124">
        <f t="shared" si="110"/>
        <v>0</v>
      </c>
    </row>
    <row r="289" spans="2:29" s="114" customFormat="1">
      <c r="B289" s="115">
        <f t="shared" si="86"/>
        <v>-2.2600000000000624</v>
      </c>
      <c r="C289" s="124">
        <f t="shared" si="87"/>
        <v>5.495408738575451E-3</v>
      </c>
      <c r="D289" s="124">
        <f t="shared" si="88"/>
        <v>752242.65315467142</v>
      </c>
      <c r="E289" s="124">
        <f t="shared" si="89"/>
        <v>1</v>
      </c>
      <c r="F289" s="124">
        <f t="shared" si="90"/>
        <v>1</v>
      </c>
      <c r="G289" s="124">
        <f t="shared" si="91"/>
        <v>760158.15453316702</v>
      </c>
      <c r="H289" s="124">
        <f t="shared" si="92"/>
        <v>1</v>
      </c>
      <c r="I289" s="124">
        <f t="shared" si="93"/>
        <v>1</v>
      </c>
      <c r="J289" s="124">
        <f t="shared" si="94"/>
        <v>2.0666151142632272E-5</v>
      </c>
      <c r="K289" s="124">
        <f t="shared" si="95"/>
        <v>0</v>
      </c>
      <c r="L289" s="124">
        <f t="shared" si="96"/>
        <v>0</v>
      </c>
      <c r="M289" s="120"/>
      <c r="N289" s="132">
        <f t="shared" si="84"/>
        <v>3.4528671443163579E-2</v>
      </c>
      <c r="O289" s="124">
        <f t="shared" si="97"/>
        <v>29077.57480876903</v>
      </c>
      <c r="P289" s="124">
        <f t="shared" si="98"/>
        <v>1</v>
      </c>
      <c r="Q289" s="124">
        <f t="shared" si="99"/>
        <v>1</v>
      </c>
      <c r="R289" s="124">
        <f t="shared" si="100"/>
        <v>22457.906584265889</v>
      </c>
      <c r="S289" s="124">
        <f t="shared" si="101"/>
        <v>19369.269942077088</v>
      </c>
      <c r="T289" s="124">
        <f t="shared" si="102"/>
        <v>29656.806743758912</v>
      </c>
      <c r="U289" s="124">
        <f t="shared" si="103"/>
        <v>1</v>
      </c>
      <c r="V289" s="124">
        <f t="shared" si="104"/>
        <v>0</v>
      </c>
      <c r="W289" s="124">
        <f t="shared" si="105"/>
        <v>1</v>
      </c>
      <c r="X289" s="124">
        <f t="shared" si="106"/>
        <v>1</v>
      </c>
      <c r="Y289" s="124">
        <f t="shared" si="107"/>
        <v>0</v>
      </c>
      <c r="Z289" s="124">
        <f t="shared" si="108"/>
        <v>1</v>
      </c>
      <c r="AA289" s="124">
        <f t="shared" si="85"/>
        <v>7.3379875302114403E-5</v>
      </c>
      <c r="AB289" s="124">
        <f t="shared" si="109"/>
        <v>0</v>
      </c>
      <c r="AC289" s="124">
        <f t="shared" si="110"/>
        <v>0</v>
      </c>
    </row>
    <row r="290" spans="2:29" s="114" customFormat="1">
      <c r="B290" s="115">
        <f t="shared" si="86"/>
        <v>-2.2400000000000624</v>
      </c>
      <c r="C290" s="124">
        <f t="shared" si="87"/>
        <v>5.7543993733707418E-3</v>
      </c>
      <c r="D290" s="124">
        <f t="shared" si="88"/>
        <v>741646.4349609596</v>
      </c>
      <c r="E290" s="124">
        <f t="shared" si="89"/>
        <v>1</v>
      </c>
      <c r="F290" s="124">
        <f t="shared" si="90"/>
        <v>1</v>
      </c>
      <c r="G290" s="124">
        <f t="shared" si="91"/>
        <v>750789.16565038974</v>
      </c>
      <c r="H290" s="124">
        <f t="shared" si="92"/>
        <v>1</v>
      </c>
      <c r="I290" s="124">
        <f t="shared" si="93"/>
        <v>1</v>
      </c>
      <c r="J290" s="124">
        <f t="shared" si="94"/>
        <v>2.8313928688108153E-5</v>
      </c>
      <c r="K290" s="124">
        <f t="shared" si="95"/>
        <v>0</v>
      </c>
      <c r="L290" s="124">
        <f t="shared" si="96"/>
        <v>0</v>
      </c>
      <c r="M290" s="120"/>
      <c r="N290" s="132">
        <f t="shared" si="84"/>
        <v>3.6155957594406464E-2</v>
      </c>
      <c r="O290" s="124">
        <f t="shared" si="97"/>
        <v>29692.680780529561</v>
      </c>
      <c r="P290" s="124">
        <f t="shared" si="98"/>
        <v>1</v>
      </c>
      <c r="Q290" s="124">
        <f t="shared" si="99"/>
        <v>1</v>
      </c>
      <c r="R290" s="124">
        <f t="shared" si="100"/>
        <v>22870.197873727411</v>
      </c>
      <c r="S290" s="124">
        <f t="shared" si="101"/>
        <v>19895.319297276495</v>
      </c>
      <c r="T290" s="124">
        <f t="shared" si="102"/>
        <v>30312.863288116288</v>
      </c>
      <c r="U290" s="124">
        <f t="shared" si="103"/>
        <v>1</v>
      </c>
      <c r="V290" s="124">
        <f t="shared" si="104"/>
        <v>0</v>
      </c>
      <c r="W290" s="124">
        <f t="shared" si="105"/>
        <v>1</v>
      </c>
      <c r="X290" s="124">
        <f t="shared" si="106"/>
        <v>1</v>
      </c>
      <c r="Y290" s="124">
        <f t="shared" si="107"/>
        <v>0</v>
      </c>
      <c r="Z290" s="124">
        <f t="shared" si="108"/>
        <v>1</v>
      </c>
      <c r="AA290" s="124">
        <f t="shared" si="85"/>
        <v>8.059643141296854E-5</v>
      </c>
      <c r="AB290" s="124">
        <f t="shared" si="109"/>
        <v>0</v>
      </c>
      <c r="AC290" s="124">
        <f t="shared" si="110"/>
        <v>0</v>
      </c>
    </row>
    <row r="291" spans="2:29" s="114" customFormat="1">
      <c r="B291" s="115">
        <f t="shared" si="86"/>
        <v>-2.2200000000000624</v>
      </c>
      <c r="C291" s="124">
        <f t="shared" si="87"/>
        <v>6.0255958607427097E-3</v>
      </c>
      <c r="D291" s="124">
        <f t="shared" si="88"/>
        <v>731130.93770472088</v>
      </c>
      <c r="E291" s="124">
        <f t="shared" si="89"/>
        <v>1</v>
      </c>
      <c r="F291" s="124">
        <f t="shared" si="90"/>
        <v>1</v>
      </c>
      <c r="G291" s="124">
        <f t="shared" si="91"/>
        <v>741356.13847333309</v>
      </c>
      <c r="H291" s="124">
        <f t="shared" si="92"/>
        <v>1</v>
      </c>
      <c r="I291" s="124">
        <f t="shared" si="93"/>
        <v>1</v>
      </c>
      <c r="J291" s="124">
        <f t="shared" si="94"/>
        <v>3.6381724454901521E-5</v>
      </c>
      <c r="K291" s="124">
        <f t="shared" si="95"/>
        <v>0</v>
      </c>
      <c r="L291" s="124">
        <f t="shared" si="96"/>
        <v>0</v>
      </c>
      <c r="M291" s="120"/>
      <c r="N291" s="132">
        <f t="shared" si="84"/>
        <v>3.7859935379220729E-2</v>
      </c>
      <c r="O291" s="124">
        <f t="shared" si="97"/>
        <v>30322.327715159048</v>
      </c>
      <c r="P291" s="124">
        <f t="shared" si="98"/>
        <v>1</v>
      </c>
      <c r="Q291" s="124">
        <f t="shared" si="99"/>
        <v>1</v>
      </c>
      <c r="R291" s="124">
        <f t="shared" si="100"/>
        <v>23302.369387584691</v>
      </c>
      <c r="S291" s="124">
        <f t="shared" si="101"/>
        <v>20440.230263308436</v>
      </c>
      <c r="T291" s="124">
        <f t="shared" si="102"/>
        <v>30996.82939096375</v>
      </c>
      <c r="U291" s="124">
        <f t="shared" si="103"/>
        <v>1</v>
      </c>
      <c r="V291" s="124">
        <f t="shared" si="104"/>
        <v>0</v>
      </c>
      <c r="W291" s="124">
        <f t="shared" si="105"/>
        <v>1</v>
      </c>
      <c r="X291" s="124">
        <f t="shared" si="106"/>
        <v>1</v>
      </c>
      <c r="Y291" s="124">
        <f t="shared" si="107"/>
        <v>0</v>
      </c>
      <c r="Z291" s="124">
        <f t="shared" si="108"/>
        <v>1</v>
      </c>
      <c r="AA291" s="124">
        <f t="shared" si="85"/>
        <v>9.1292975273919112E-5</v>
      </c>
      <c r="AB291" s="124">
        <f t="shared" si="109"/>
        <v>0</v>
      </c>
      <c r="AC291" s="124">
        <f t="shared" si="110"/>
        <v>0</v>
      </c>
    </row>
    <row r="292" spans="2:29" s="114" customFormat="1">
      <c r="B292" s="115">
        <f t="shared" si="86"/>
        <v>-2.2000000000000624</v>
      </c>
      <c r="C292" s="124">
        <f t="shared" si="87"/>
        <v>6.309573444801023E-3</v>
      </c>
      <c r="D292" s="124">
        <f t="shared" si="88"/>
        <v>720696.94121827662</v>
      </c>
      <c r="E292" s="124">
        <f t="shared" si="89"/>
        <v>1</v>
      </c>
      <c r="F292" s="124">
        <f t="shared" si="90"/>
        <v>1</v>
      </c>
      <c r="G292" s="124">
        <f t="shared" si="91"/>
        <v>731845.21296386083</v>
      </c>
      <c r="H292" s="124">
        <f t="shared" si="92"/>
        <v>1</v>
      </c>
      <c r="I292" s="124">
        <f t="shared" si="93"/>
        <v>1</v>
      </c>
      <c r="J292" s="124">
        <f t="shared" si="94"/>
        <v>4.4442990293541999E-5</v>
      </c>
      <c r="K292" s="124">
        <f t="shared" si="95"/>
        <v>0</v>
      </c>
      <c r="L292" s="124">
        <f t="shared" si="96"/>
        <v>0</v>
      </c>
      <c r="M292" s="120"/>
      <c r="N292" s="132">
        <f t="shared" si="84"/>
        <v>3.9644219162944278E-2</v>
      </c>
      <c r="O292" s="124">
        <f t="shared" si="97"/>
        <v>30966.853707858088</v>
      </c>
      <c r="P292" s="124">
        <f t="shared" si="98"/>
        <v>1</v>
      </c>
      <c r="Q292" s="124">
        <f t="shared" si="99"/>
        <v>1</v>
      </c>
      <c r="R292" s="124">
        <f t="shared" si="100"/>
        <v>23755.975915367981</v>
      </c>
      <c r="S292" s="124">
        <f t="shared" si="101"/>
        <v>21003.298893718125</v>
      </c>
      <c r="T292" s="124">
        <f t="shared" si="102"/>
        <v>31709.3827771908</v>
      </c>
      <c r="U292" s="124">
        <f t="shared" si="103"/>
        <v>1</v>
      </c>
      <c r="V292" s="124">
        <f t="shared" si="104"/>
        <v>0</v>
      </c>
      <c r="W292" s="124">
        <f t="shared" si="105"/>
        <v>1</v>
      </c>
      <c r="X292" s="124">
        <f t="shared" si="106"/>
        <v>1</v>
      </c>
      <c r="Y292" s="124">
        <f t="shared" si="107"/>
        <v>0</v>
      </c>
      <c r="Z292" s="124">
        <f t="shared" si="108"/>
        <v>1</v>
      </c>
      <c r="AA292" s="124">
        <f t="shared" si="85"/>
        <v>1.0589863268709132E-4</v>
      </c>
      <c r="AB292" s="124">
        <f t="shared" si="109"/>
        <v>0</v>
      </c>
      <c r="AC292" s="124">
        <f t="shared" si="110"/>
        <v>0</v>
      </c>
    </row>
    <row r="293" spans="2:29" s="114" customFormat="1">
      <c r="B293" s="115">
        <f t="shared" si="86"/>
        <v>-2.1800000000000623</v>
      </c>
      <c r="C293" s="124">
        <f t="shared" si="87"/>
        <v>6.6069344800750059E-3</v>
      </c>
      <c r="D293" s="124">
        <f t="shared" si="88"/>
        <v>710345.20071850007</v>
      </c>
      <c r="E293" s="124">
        <f t="shared" si="89"/>
        <v>1</v>
      </c>
      <c r="F293" s="124">
        <f t="shared" si="90"/>
        <v>1</v>
      </c>
      <c r="G293" s="124">
        <f t="shared" si="91"/>
        <v>722245.37537781696</v>
      </c>
      <c r="H293" s="124">
        <f t="shared" si="92"/>
        <v>1</v>
      </c>
      <c r="I293" s="124">
        <f t="shared" si="93"/>
        <v>1</v>
      </c>
      <c r="J293" s="124">
        <f t="shared" si="94"/>
        <v>5.2060829550949376E-5</v>
      </c>
      <c r="K293" s="124">
        <f t="shared" si="95"/>
        <v>0</v>
      </c>
      <c r="L293" s="124">
        <f t="shared" si="96"/>
        <v>0</v>
      </c>
      <c r="M293" s="120"/>
      <c r="N293" s="132">
        <f t="shared" si="84"/>
        <v>4.1512593650705476E-2</v>
      </c>
      <c r="O293" s="124">
        <f t="shared" si="97"/>
        <v>31626.603751148356</v>
      </c>
      <c r="P293" s="124">
        <f t="shared" si="98"/>
        <v>1</v>
      </c>
      <c r="Q293" s="124">
        <f t="shared" si="99"/>
        <v>1</v>
      </c>
      <c r="R293" s="124">
        <f t="shared" si="100"/>
        <v>24232.504698260807</v>
      </c>
      <c r="S293" s="124">
        <f t="shared" si="101"/>
        <v>21583.645271738897</v>
      </c>
      <c r="T293" s="124">
        <f t="shared" si="102"/>
        <v>32451.009647890602</v>
      </c>
      <c r="U293" s="124">
        <f t="shared" si="103"/>
        <v>1</v>
      </c>
      <c r="V293" s="124">
        <f t="shared" si="104"/>
        <v>0</v>
      </c>
      <c r="W293" s="124">
        <f t="shared" si="105"/>
        <v>1</v>
      </c>
      <c r="X293" s="124">
        <f t="shared" si="106"/>
        <v>1</v>
      </c>
      <c r="Y293" s="124">
        <f t="shared" si="107"/>
        <v>0</v>
      </c>
      <c r="Z293" s="124">
        <f t="shared" si="108"/>
        <v>1</v>
      </c>
      <c r="AA293" s="124">
        <f t="shared" si="85"/>
        <v>1.2489529141739507E-4</v>
      </c>
      <c r="AB293" s="124">
        <f t="shared" si="109"/>
        <v>0</v>
      </c>
      <c r="AC293" s="124">
        <f t="shared" si="110"/>
        <v>0</v>
      </c>
    </row>
    <row r="294" spans="2:29" s="114" customFormat="1">
      <c r="B294" s="115">
        <f t="shared" si="86"/>
        <v>-2.1600000000000623</v>
      </c>
      <c r="C294" s="124">
        <f t="shared" si="87"/>
        <v>6.9183097091883713E-3</v>
      </c>
      <c r="D294" s="124">
        <f t="shared" si="88"/>
        <v>700076.4465102203</v>
      </c>
      <c r="E294" s="124">
        <f t="shared" si="89"/>
        <v>1</v>
      </c>
      <c r="F294" s="124">
        <f t="shared" si="90"/>
        <v>1</v>
      </c>
      <c r="G294" s="124">
        <f t="shared" si="91"/>
        <v>712548.5666124461</v>
      </c>
      <c r="H294" s="124">
        <f t="shared" si="92"/>
        <v>1</v>
      </c>
      <c r="I294" s="124">
        <f t="shared" si="93"/>
        <v>1</v>
      </c>
      <c r="J294" s="124">
        <f t="shared" si="94"/>
        <v>5.8813627794431818E-5</v>
      </c>
      <c r="K294" s="124">
        <f t="shared" si="95"/>
        <v>0</v>
      </c>
      <c r="L294" s="124">
        <f t="shared" si="96"/>
        <v>0</v>
      </c>
      <c r="M294" s="120"/>
      <c r="N294" s="132">
        <f t="shared" si="84"/>
        <v>4.346902191529025E-2</v>
      </c>
      <c r="O294" s="124">
        <f t="shared" si="97"/>
        <v>32301.92982453528</v>
      </c>
      <c r="P294" s="124">
        <f t="shared" si="98"/>
        <v>1</v>
      </c>
      <c r="Q294" s="124">
        <f t="shared" si="99"/>
        <v>1</v>
      </c>
      <c r="R294" s="124">
        <f t="shared" si="100"/>
        <v>24733.351794711198</v>
      </c>
      <c r="S294" s="124">
        <f t="shared" si="101"/>
        <v>22180.214854235765</v>
      </c>
      <c r="T294" s="124">
        <f t="shared" si="102"/>
        <v>33221.990036435272</v>
      </c>
      <c r="U294" s="124">
        <f t="shared" si="103"/>
        <v>1</v>
      </c>
      <c r="V294" s="124">
        <f t="shared" si="104"/>
        <v>0</v>
      </c>
      <c r="W294" s="124">
        <f t="shared" si="105"/>
        <v>1</v>
      </c>
      <c r="X294" s="124">
        <f t="shared" si="106"/>
        <v>1</v>
      </c>
      <c r="Y294" s="124">
        <f t="shared" si="107"/>
        <v>0</v>
      </c>
      <c r="Z294" s="124">
        <f t="shared" si="108"/>
        <v>1</v>
      </c>
      <c r="AA294" s="124">
        <f t="shared" si="85"/>
        <v>1.4877106203710653E-4</v>
      </c>
      <c r="AB294" s="124">
        <f t="shared" si="109"/>
        <v>0</v>
      </c>
      <c r="AC294" s="124">
        <f t="shared" si="110"/>
        <v>0</v>
      </c>
    </row>
    <row r="295" spans="2:29" s="114" customFormat="1">
      <c r="B295" s="115">
        <f t="shared" si="86"/>
        <v>-2.1400000000000623</v>
      </c>
      <c r="C295" s="124">
        <f t="shared" si="87"/>
        <v>7.2443596007488592E-3</v>
      </c>
      <c r="D295" s="124">
        <f t="shared" si="88"/>
        <v>689891.38370570377</v>
      </c>
      <c r="E295" s="124">
        <f t="shared" si="89"/>
        <v>1</v>
      </c>
      <c r="F295" s="124">
        <f t="shared" si="90"/>
        <v>1</v>
      </c>
      <c r="G295" s="124">
        <f t="shared" si="91"/>
        <v>702749.72288423649</v>
      </c>
      <c r="H295" s="124">
        <f t="shared" si="92"/>
        <v>1</v>
      </c>
      <c r="I295" s="124">
        <f t="shared" si="93"/>
        <v>1</v>
      </c>
      <c r="J295" s="124">
        <f t="shared" si="94"/>
        <v>6.4319792066027586E-5</v>
      </c>
      <c r="K295" s="124">
        <f t="shared" si="95"/>
        <v>0</v>
      </c>
      <c r="L295" s="124">
        <f t="shared" si="96"/>
        <v>0</v>
      </c>
      <c r="M295" s="120"/>
      <c r="N295" s="132">
        <f t="shared" si="84"/>
        <v>4.5517653803350606E-2</v>
      </c>
      <c r="O295" s="124">
        <f t="shared" si="97"/>
        <v>32993.190982991626</v>
      </c>
      <c r="P295" s="124">
        <f t="shared" si="98"/>
        <v>1</v>
      </c>
      <c r="Q295" s="124">
        <f t="shared" si="99"/>
        <v>1</v>
      </c>
      <c r="R295" s="124">
        <f t="shared" si="100"/>
        <v>25259.796962521712</v>
      </c>
      <c r="S295" s="124">
        <f t="shared" si="101"/>
        <v>22791.782771805301</v>
      </c>
      <c r="T295" s="124">
        <f t="shared" si="102"/>
        <v>34022.385344137496</v>
      </c>
      <c r="U295" s="124">
        <f t="shared" si="103"/>
        <v>1</v>
      </c>
      <c r="V295" s="124">
        <f t="shared" si="104"/>
        <v>0</v>
      </c>
      <c r="W295" s="124">
        <f t="shared" si="105"/>
        <v>1</v>
      </c>
      <c r="X295" s="124">
        <f t="shared" si="106"/>
        <v>1</v>
      </c>
      <c r="Y295" s="124">
        <f t="shared" si="107"/>
        <v>0</v>
      </c>
      <c r="Z295" s="124">
        <f t="shared" si="108"/>
        <v>1</v>
      </c>
      <c r="AA295" s="124">
        <f t="shared" si="85"/>
        <v>1.7796729118541238E-4</v>
      </c>
      <c r="AB295" s="124">
        <f t="shared" si="109"/>
        <v>0</v>
      </c>
      <c r="AC295" s="124">
        <f t="shared" si="110"/>
        <v>0</v>
      </c>
    </row>
    <row r="296" spans="2:29" s="114" customFormat="1">
      <c r="B296" s="115">
        <f t="shared" si="86"/>
        <v>-2.1200000000000623</v>
      </c>
      <c r="C296" s="124">
        <f t="shared" si="87"/>
        <v>7.5857757502907457E-3</v>
      </c>
      <c r="D296" s="124">
        <f t="shared" si="88"/>
        <v>679790.69196053513</v>
      </c>
      <c r="E296" s="124">
        <f t="shared" si="89"/>
        <v>1</v>
      </c>
      <c r="F296" s="124">
        <f t="shared" si="90"/>
        <v>1</v>
      </c>
      <c r="G296" s="124">
        <f t="shared" si="91"/>
        <v>692846.75349222473</v>
      </c>
      <c r="H296" s="124">
        <f t="shared" si="92"/>
        <v>1</v>
      </c>
      <c r="I296" s="124">
        <f t="shared" si="93"/>
        <v>1</v>
      </c>
      <c r="J296" s="124">
        <f t="shared" si="94"/>
        <v>6.8260191306576768E-5</v>
      </c>
      <c r="K296" s="124">
        <f t="shared" si="95"/>
        <v>0</v>
      </c>
      <c r="L296" s="124">
        <f t="shared" si="96"/>
        <v>0</v>
      </c>
      <c r="M296" s="120"/>
      <c r="N296" s="132">
        <f t="shared" si="84"/>
        <v>4.7662834737786014E-2</v>
      </c>
      <c r="O296" s="124">
        <f t="shared" si="97"/>
        <v>33700.753444134534</v>
      </c>
      <c r="P296" s="124">
        <f t="shared" si="98"/>
        <v>1</v>
      </c>
      <c r="Q296" s="124">
        <f t="shared" si="99"/>
        <v>1</v>
      </c>
      <c r="R296" s="124">
        <f t="shared" si="100"/>
        <v>25812.977367608124</v>
      </c>
      <c r="S296" s="124">
        <f t="shared" si="101"/>
        <v>23416.961633308285</v>
      </c>
      <c r="T296" s="124">
        <f t="shared" si="102"/>
        <v>34852.028530868636</v>
      </c>
      <c r="U296" s="124">
        <f t="shared" si="103"/>
        <v>1</v>
      </c>
      <c r="V296" s="124">
        <f t="shared" si="104"/>
        <v>0</v>
      </c>
      <c r="W296" s="124">
        <f t="shared" si="105"/>
        <v>1</v>
      </c>
      <c r="X296" s="124">
        <f t="shared" si="106"/>
        <v>1</v>
      </c>
      <c r="Y296" s="124">
        <f t="shared" si="107"/>
        <v>0</v>
      </c>
      <c r="Z296" s="124">
        <f t="shared" si="108"/>
        <v>1</v>
      </c>
      <c r="AA296" s="124">
        <f t="shared" si="85"/>
        <v>2.1282288603602175E-4</v>
      </c>
      <c r="AB296" s="124">
        <f t="shared" si="109"/>
        <v>0</v>
      </c>
      <c r="AC296" s="124">
        <f t="shared" si="110"/>
        <v>0</v>
      </c>
    </row>
    <row r="297" spans="2:29" s="114" customFormat="1">
      <c r="B297" s="115">
        <f t="shared" si="86"/>
        <v>-2.1000000000000623</v>
      </c>
      <c r="C297" s="124">
        <f t="shared" si="87"/>
        <v>7.9432823472416689E-3</v>
      </c>
      <c r="D297" s="124">
        <f t="shared" si="88"/>
        <v>669775.02522617613</v>
      </c>
      <c r="E297" s="124">
        <f t="shared" si="89"/>
        <v>1</v>
      </c>
      <c r="F297" s="124">
        <f t="shared" si="90"/>
        <v>1</v>
      </c>
      <c r="G297" s="124">
        <f t="shared" si="91"/>
        <v>682840.4625317211</v>
      </c>
      <c r="H297" s="124">
        <f t="shared" si="92"/>
        <v>1</v>
      </c>
      <c r="I297" s="124">
        <f t="shared" si="93"/>
        <v>1</v>
      </c>
      <c r="J297" s="124">
        <f t="shared" si="94"/>
        <v>7.0397107989800679E-5</v>
      </c>
      <c r="K297" s="124">
        <f t="shared" si="95"/>
        <v>0</v>
      </c>
      <c r="L297" s="124">
        <f t="shared" si="96"/>
        <v>0</v>
      </c>
      <c r="M297" s="120"/>
      <c r="N297" s="132">
        <f t="shared" si="84"/>
        <v>4.990911493496783E-2</v>
      </c>
      <c r="O297" s="124">
        <f t="shared" si="97"/>
        <v>34424.990673964159</v>
      </c>
      <c r="P297" s="124">
        <f t="shared" si="98"/>
        <v>1</v>
      </c>
      <c r="Q297" s="124">
        <f t="shared" si="99"/>
        <v>1</v>
      </c>
      <c r="R297" s="124">
        <f t="shared" si="100"/>
        <v>26393.860578833915</v>
      </c>
      <c r="S297" s="124">
        <f t="shared" si="101"/>
        <v>24054.213372313621</v>
      </c>
      <c r="T297" s="124">
        <f t="shared" si="102"/>
        <v>35710.517459366427</v>
      </c>
      <c r="U297" s="124">
        <f t="shared" si="103"/>
        <v>1</v>
      </c>
      <c r="V297" s="124">
        <f t="shared" si="104"/>
        <v>0</v>
      </c>
      <c r="W297" s="124">
        <f t="shared" si="105"/>
        <v>1</v>
      </c>
      <c r="X297" s="124">
        <f t="shared" si="106"/>
        <v>1</v>
      </c>
      <c r="Y297" s="124">
        <f t="shared" si="107"/>
        <v>0</v>
      </c>
      <c r="Z297" s="124">
        <f t="shared" si="108"/>
        <v>1</v>
      </c>
      <c r="AA297" s="124">
        <f t="shared" si="85"/>
        <v>2.5352002135366512E-4</v>
      </c>
      <c r="AB297" s="124">
        <f t="shared" si="109"/>
        <v>0</v>
      </c>
      <c r="AC297" s="124">
        <f t="shared" si="110"/>
        <v>0</v>
      </c>
    </row>
    <row r="298" spans="2:29" s="114" customFormat="1">
      <c r="B298" s="115">
        <f t="shared" si="86"/>
        <v>-2.0800000000000622</v>
      </c>
      <c r="C298" s="124">
        <f t="shared" si="87"/>
        <v>8.3176377110255155E-3</v>
      </c>
      <c r="D298" s="124">
        <f t="shared" si="88"/>
        <v>659845.01151943009</v>
      </c>
      <c r="E298" s="124">
        <f t="shared" si="89"/>
        <v>1</v>
      </c>
      <c r="F298" s="124">
        <f t="shared" si="90"/>
        <v>1</v>
      </c>
      <c r="G298" s="124">
        <f t="shared" si="91"/>
        <v>672734.42294032604</v>
      </c>
      <c r="H298" s="124">
        <f t="shared" si="92"/>
        <v>1</v>
      </c>
      <c r="I298" s="124">
        <f t="shared" si="93"/>
        <v>1</v>
      </c>
      <c r="J298" s="124">
        <f t="shared" si="94"/>
        <v>7.0588777765032983E-5</v>
      </c>
      <c r="K298" s="124">
        <f t="shared" si="95"/>
        <v>0</v>
      </c>
      <c r="L298" s="124">
        <f t="shared" si="96"/>
        <v>0</v>
      </c>
      <c r="M298" s="120"/>
      <c r="N298" s="132">
        <f t="shared" si="84"/>
        <v>5.2261259056358367E-2</v>
      </c>
      <c r="O298" s="124">
        <f t="shared" si="97"/>
        <v>35166.2834710272</v>
      </c>
      <c r="P298" s="124">
        <f t="shared" si="98"/>
        <v>1</v>
      </c>
      <c r="Q298" s="124">
        <f t="shared" si="99"/>
        <v>1</v>
      </c>
      <c r="R298" s="124">
        <f t="shared" si="100"/>
        <v>27003.217467384249</v>
      </c>
      <c r="S298" s="124">
        <f t="shared" si="101"/>
        <v>24701.865625667142</v>
      </c>
      <c r="T298" s="124">
        <f t="shared" si="102"/>
        <v>36597.211901719529</v>
      </c>
      <c r="U298" s="124">
        <f t="shared" si="103"/>
        <v>1</v>
      </c>
      <c r="V298" s="124">
        <f t="shared" si="104"/>
        <v>0</v>
      </c>
      <c r="W298" s="124">
        <f t="shared" si="105"/>
        <v>1</v>
      </c>
      <c r="X298" s="124">
        <f t="shared" si="106"/>
        <v>1</v>
      </c>
      <c r="Y298" s="124">
        <f t="shared" si="107"/>
        <v>0</v>
      </c>
      <c r="Z298" s="124">
        <f t="shared" si="108"/>
        <v>1</v>
      </c>
      <c r="AA298" s="124">
        <f t="shared" si="85"/>
        <v>3.0003533475475493E-4</v>
      </c>
      <c r="AB298" s="124">
        <f t="shared" si="109"/>
        <v>0</v>
      </c>
      <c r="AC298" s="124">
        <f t="shared" si="110"/>
        <v>0</v>
      </c>
    </row>
    <row r="299" spans="2:29" s="114" customFormat="1">
      <c r="B299" s="115">
        <f t="shared" si="86"/>
        <v>-2.0600000000000622</v>
      </c>
      <c r="C299" s="124">
        <f t="shared" si="87"/>
        <v>8.7096358995595539E-3</v>
      </c>
      <c r="D299" s="124">
        <f t="shared" si="88"/>
        <v>650001.25270910026</v>
      </c>
      <c r="E299" s="124">
        <f t="shared" si="89"/>
        <v>1</v>
      </c>
      <c r="F299" s="124">
        <f t="shared" si="90"/>
        <v>1</v>
      </c>
      <c r="G299" s="124">
        <f t="shared" si="91"/>
        <v>662534.81210120069</v>
      </c>
      <c r="H299" s="124">
        <f t="shared" si="92"/>
        <v>1</v>
      </c>
      <c r="I299" s="124">
        <f t="shared" si="93"/>
        <v>1</v>
      </c>
      <c r="J299" s="124">
        <f t="shared" si="94"/>
        <v>6.8798880545342073E-5</v>
      </c>
      <c r="K299" s="124">
        <f t="shared" si="95"/>
        <v>0</v>
      </c>
      <c r="L299" s="124">
        <f t="shared" si="96"/>
        <v>0</v>
      </c>
      <c r="M299" s="120"/>
      <c r="N299" s="132">
        <f t="shared" si="84"/>
        <v>5.4724256314996444E-2</v>
      </c>
      <c r="O299" s="124">
        <f t="shared" si="97"/>
        <v>35925.020048866973</v>
      </c>
      <c r="P299" s="124">
        <f t="shared" si="98"/>
        <v>1</v>
      </c>
      <c r="Q299" s="124">
        <f t="shared" si="99"/>
        <v>1</v>
      </c>
      <c r="R299" s="124">
        <f t="shared" si="100"/>
        <v>27641.595789721556</v>
      </c>
      <c r="S299" s="124">
        <f t="shared" si="101"/>
        <v>25358.133045097136</v>
      </c>
      <c r="T299" s="124">
        <f t="shared" si="102"/>
        <v>37511.234708220414</v>
      </c>
      <c r="U299" s="124">
        <f t="shared" si="103"/>
        <v>1</v>
      </c>
      <c r="V299" s="124">
        <f t="shared" si="104"/>
        <v>0</v>
      </c>
      <c r="W299" s="124">
        <f t="shared" si="105"/>
        <v>1</v>
      </c>
      <c r="X299" s="124">
        <f t="shared" si="106"/>
        <v>1</v>
      </c>
      <c r="Y299" s="124">
        <f t="shared" si="107"/>
        <v>0</v>
      </c>
      <c r="Z299" s="124">
        <f t="shared" si="108"/>
        <v>1</v>
      </c>
      <c r="AA299" s="124">
        <f t="shared" si="85"/>
        <v>3.5210046740890953E-4</v>
      </c>
      <c r="AB299" s="124">
        <f t="shared" si="109"/>
        <v>0</v>
      </c>
      <c r="AC299" s="124">
        <f t="shared" si="110"/>
        <v>0</v>
      </c>
    </row>
    <row r="300" spans="2:29" s="114" customFormat="1">
      <c r="B300" s="115">
        <f t="shared" si="86"/>
        <v>-2.0400000000000622</v>
      </c>
      <c r="C300" s="124">
        <f t="shared" si="87"/>
        <v>9.1201083935577854E-3</v>
      </c>
      <c r="D300" s="124">
        <f t="shared" si="88"/>
        <v>640244.32432001911</v>
      </c>
      <c r="E300" s="124">
        <f t="shared" si="89"/>
        <v>1</v>
      </c>
      <c r="F300" s="124">
        <f t="shared" si="90"/>
        <v>1</v>
      </c>
      <c r="G300" s="124">
        <f t="shared" si="91"/>
        <v>652250.21837800439</v>
      </c>
      <c r="H300" s="124">
        <f t="shared" si="92"/>
        <v>1</v>
      </c>
      <c r="I300" s="124">
        <f t="shared" si="93"/>
        <v>1</v>
      </c>
      <c r="J300" s="124">
        <f t="shared" si="94"/>
        <v>6.5100627410003871E-5</v>
      </c>
      <c r="K300" s="124">
        <f t="shared" si="95"/>
        <v>0</v>
      </c>
      <c r="L300" s="124">
        <f t="shared" si="96"/>
        <v>0</v>
      </c>
      <c r="M300" s="120"/>
      <c r="N300" s="132">
        <f t="shared" si="84"/>
        <v>5.7303331058287499E-2</v>
      </c>
      <c r="O300" s="124">
        <f t="shared" si="97"/>
        <v>36701.596116614768</v>
      </c>
      <c r="P300" s="124">
        <f t="shared" si="98"/>
        <v>1</v>
      </c>
      <c r="Q300" s="124">
        <f t="shared" si="99"/>
        <v>1</v>
      </c>
      <c r="R300" s="124">
        <f t="shared" si="100"/>
        <v>28309.295384587491</v>
      </c>
      <c r="S300" s="124">
        <f t="shared" si="101"/>
        <v>26021.143807593136</v>
      </c>
      <c r="T300" s="124">
        <f t="shared" si="102"/>
        <v>38451.477607853631</v>
      </c>
      <c r="U300" s="124">
        <f t="shared" si="103"/>
        <v>1</v>
      </c>
      <c r="V300" s="124">
        <f t="shared" si="104"/>
        <v>0</v>
      </c>
      <c r="W300" s="124">
        <f t="shared" si="105"/>
        <v>1</v>
      </c>
      <c r="X300" s="124">
        <f t="shared" si="106"/>
        <v>1</v>
      </c>
      <c r="Y300" s="124">
        <f t="shared" si="107"/>
        <v>0</v>
      </c>
      <c r="Z300" s="124">
        <f t="shared" si="108"/>
        <v>1</v>
      </c>
      <c r="AA300" s="124">
        <f t="shared" si="85"/>
        <v>4.091752916025048E-4</v>
      </c>
      <c r="AB300" s="124">
        <f t="shared" si="109"/>
        <v>0</v>
      </c>
      <c r="AC300" s="124">
        <f t="shared" si="110"/>
        <v>0</v>
      </c>
    </row>
    <row r="301" spans="2:29" s="114" customFormat="1">
      <c r="B301" s="115">
        <f t="shared" si="86"/>
        <v>-2.0200000000000622</v>
      </c>
      <c r="C301" s="124">
        <f t="shared" si="87"/>
        <v>9.5499258602129919E-3</v>
      </c>
      <c r="D301" s="124">
        <f t="shared" si="88"/>
        <v>630574.77535468596</v>
      </c>
      <c r="E301" s="124">
        <f t="shared" si="89"/>
        <v>1</v>
      </c>
      <c r="F301" s="124">
        <f t="shared" si="90"/>
        <v>1</v>
      </c>
      <c r="G301" s="124">
        <f t="shared" si="91"/>
        <v>641891.42745474179</v>
      </c>
      <c r="H301" s="124">
        <f t="shared" si="92"/>
        <v>1</v>
      </c>
      <c r="I301" s="124">
        <f t="shared" si="93"/>
        <v>1</v>
      </c>
      <c r="J301" s="124">
        <f t="shared" si="94"/>
        <v>5.9675344147255934E-5</v>
      </c>
      <c r="K301" s="124">
        <f t="shared" si="95"/>
        <v>0</v>
      </c>
      <c r="L301" s="124">
        <f t="shared" si="96"/>
        <v>0</v>
      </c>
      <c r="M301" s="120"/>
      <c r="N301" s="132">
        <f t="shared" si="84"/>
        <v>6.0003953849544642E-2</v>
      </c>
      <c r="O301" s="124">
        <f t="shared" si="97"/>
        <v>37496.414957576584</v>
      </c>
      <c r="P301" s="124">
        <f t="shared" si="98"/>
        <v>1</v>
      </c>
      <c r="Q301" s="124">
        <f t="shared" si="99"/>
        <v>1</v>
      </c>
      <c r="R301" s="124">
        <f t="shared" si="100"/>
        <v>29006.346044016587</v>
      </c>
      <c r="S301" s="124">
        <f t="shared" si="101"/>
        <v>26688.971408063204</v>
      </c>
      <c r="T301" s="124">
        <f t="shared" si="102"/>
        <v>39416.61205184499</v>
      </c>
      <c r="U301" s="124">
        <f t="shared" si="103"/>
        <v>1</v>
      </c>
      <c r="V301" s="124">
        <f t="shared" si="104"/>
        <v>0</v>
      </c>
      <c r="W301" s="124">
        <f t="shared" si="105"/>
        <v>1</v>
      </c>
      <c r="X301" s="124">
        <f t="shared" si="106"/>
        <v>1</v>
      </c>
      <c r="Y301" s="124">
        <f t="shared" si="107"/>
        <v>0</v>
      </c>
      <c r="Z301" s="124">
        <f t="shared" si="108"/>
        <v>1</v>
      </c>
      <c r="AA301" s="124">
        <f t="shared" si="85"/>
        <v>4.7043641619273383E-4</v>
      </c>
      <c r="AB301" s="124">
        <f t="shared" si="109"/>
        <v>0</v>
      </c>
      <c r="AC301" s="124">
        <f t="shared" si="110"/>
        <v>0</v>
      </c>
    </row>
    <row r="302" spans="2:29" s="114" customFormat="1">
      <c r="B302" s="115">
        <f t="shared" si="86"/>
        <v>-2.0000000000000622</v>
      </c>
      <c r="C302" s="124">
        <f t="shared" si="87"/>
        <v>9.9999999999985656E-3</v>
      </c>
      <c r="D302" s="124">
        <f t="shared" si="88"/>
        <v>620993.12813266553</v>
      </c>
      <c r="E302" s="124">
        <f t="shared" si="89"/>
        <v>1</v>
      </c>
      <c r="F302" s="124">
        <f t="shared" si="90"/>
        <v>1</v>
      </c>
      <c r="G302" s="124">
        <f t="shared" si="91"/>
        <v>631471.19630255306</v>
      </c>
      <c r="H302" s="124">
        <f t="shared" si="92"/>
        <v>1</v>
      </c>
      <c r="I302" s="124">
        <f t="shared" si="93"/>
        <v>1</v>
      </c>
      <c r="J302" s="124">
        <f t="shared" si="94"/>
        <v>5.2805673909170147E-5</v>
      </c>
      <c r="K302" s="124">
        <f t="shared" si="95"/>
        <v>0</v>
      </c>
      <c r="L302" s="124">
        <f t="shared" si="96"/>
        <v>0</v>
      </c>
      <c r="M302" s="120"/>
      <c r="N302" s="132">
        <f t="shared" si="84"/>
        <v>6.2831853071786847E-2</v>
      </c>
      <c r="O302" s="124">
        <f t="shared" si="97"/>
        <v>38309.887505661951</v>
      </c>
      <c r="P302" s="124">
        <f t="shared" si="98"/>
        <v>1</v>
      </c>
      <c r="Q302" s="124">
        <f t="shared" si="99"/>
        <v>1</v>
      </c>
      <c r="R302" s="124">
        <f t="shared" si="100"/>
        <v>29732.489211697863</v>
      </c>
      <c r="S302" s="124">
        <f t="shared" si="101"/>
        <v>27359.671590912454</v>
      </c>
      <c r="T302" s="124">
        <f t="shared" si="102"/>
        <v>40405.105423526758</v>
      </c>
      <c r="U302" s="124">
        <f t="shared" si="103"/>
        <v>1</v>
      </c>
      <c r="V302" s="124">
        <f t="shared" si="104"/>
        <v>0</v>
      </c>
      <c r="W302" s="124">
        <f t="shared" si="105"/>
        <v>1</v>
      </c>
      <c r="X302" s="124">
        <f t="shared" si="106"/>
        <v>1</v>
      </c>
      <c r="Y302" s="124">
        <f t="shared" si="107"/>
        <v>0</v>
      </c>
      <c r="Z302" s="124">
        <f t="shared" si="108"/>
        <v>1</v>
      </c>
      <c r="AA302" s="124">
        <f t="shared" si="85"/>
        <v>5.3478262383521485E-4</v>
      </c>
      <c r="AB302" s="124">
        <f t="shared" si="109"/>
        <v>0</v>
      </c>
      <c r="AC302" s="124">
        <f t="shared" si="110"/>
        <v>0</v>
      </c>
    </row>
    <row r="303" spans="2:29" s="114" customFormat="1">
      <c r="B303" s="115">
        <f t="shared" si="86"/>
        <v>-1.9800000000000622</v>
      </c>
      <c r="C303" s="124">
        <f t="shared" si="87"/>
        <v>1.0471285480507492E-2</v>
      </c>
      <c r="D303" s="124">
        <f t="shared" si="88"/>
        <v>611499.87814793503</v>
      </c>
      <c r="E303" s="124">
        <f t="shared" si="89"/>
        <v>1</v>
      </c>
      <c r="F303" s="124">
        <f t="shared" si="90"/>
        <v>1</v>
      </c>
      <c r="G303" s="124">
        <f t="shared" si="91"/>
        <v>621004.02114036412</v>
      </c>
      <c r="H303" s="124">
        <f t="shared" si="92"/>
        <v>1</v>
      </c>
      <c r="I303" s="124">
        <f t="shared" si="93"/>
        <v>1</v>
      </c>
      <c r="J303" s="124">
        <f t="shared" si="94"/>
        <v>4.4863706463457816E-5</v>
      </c>
      <c r="K303" s="124">
        <f t="shared" si="95"/>
        <v>0</v>
      </c>
      <c r="L303" s="124">
        <f t="shared" si="96"/>
        <v>0</v>
      </c>
      <c r="M303" s="120"/>
      <c r="N303" s="132">
        <f t="shared" si="84"/>
        <v>6.5793027078407604E-2</v>
      </c>
      <c r="O303" s="124">
        <f t="shared" si="97"/>
        <v>39142.432419502205</v>
      </c>
      <c r="P303" s="124">
        <f t="shared" si="98"/>
        <v>1</v>
      </c>
      <c r="Q303" s="124">
        <f t="shared" si="99"/>
        <v>1</v>
      </c>
      <c r="R303" s="124">
        <f t="shared" si="100"/>
        <v>30487.164704648483</v>
      </c>
      <c r="S303" s="124">
        <f t="shared" si="101"/>
        <v>28031.324012507943</v>
      </c>
      <c r="T303" s="124">
        <f t="shared" si="102"/>
        <v>41415.242817380276</v>
      </c>
      <c r="U303" s="124">
        <f t="shared" si="103"/>
        <v>1</v>
      </c>
      <c r="V303" s="124">
        <f t="shared" si="104"/>
        <v>0</v>
      </c>
      <c r="W303" s="124">
        <f t="shared" si="105"/>
        <v>1</v>
      </c>
      <c r="X303" s="124">
        <f t="shared" si="106"/>
        <v>1</v>
      </c>
      <c r="Y303" s="124">
        <f t="shared" si="107"/>
        <v>0</v>
      </c>
      <c r="Z303" s="124">
        <f t="shared" si="108"/>
        <v>1</v>
      </c>
      <c r="AA303" s="124">
        <f t="shared" si="85"/>
        <v>6.0085782938912779E-4</v>
      </c>
      <c r="AB303" s="124">
        <f t="shared" si="109"/>
        <v>0</v>
      </c>
      <c r="AC303" s="124">
        <f t="shared" si="110"/>
        <v>0</v>
      </c>
    </row>
    <row r="304" spans="2:29" s="114" customFormat="1">
      <c r="B304" s="115">
        <f t="shared" si="86"/>
        <v>-1.9600000000000621</v>
      </c>
      <c r="C304" s="124">
        <f t="shared" si="87"/>
        <v>1.0964781961430274E-2</v>
      </c>
      <c r="D304" s="124">
        <f t="shared" si="88"/>
        <v>602095.49394430721</v>
      </c>
      <c r="E304" s="124">
        <f t="shared" si="89"/>
        <v>1</v>
      </c>
      <c r="F304" s="124">
        <f t="shared" si="90"/>
        <v>1</v>
      </c>
      <c r="G304" s="124">
        <f t="shared" si="91"/>
        <v>610505.90407165955</v>
      </c>
      <c r="H304" s="124">
        <f t="shared" si="92"/>
        <v>1</v>
      </c>
      <c r="I304" s="124">
        <f t="shared" si="93"/>
        <v>1</v>
      </c>
      <c r="J304" s="124">
        <f t="shared" si="94"/>
        <v>3.6294495316864118E-5</v>
      </c>
      <c r="K304" s="124">
        <f t="shared" si="95"/>
        <v>0</v>
      </c>
      <c r="L304" s="124">
        <f t="shared" si="96"/>
        <v>0</v>
      </c>
      <c r="M304" s="120"/>
      <c r="N304" s="132">
        <f t="shared" si="84"/>
        <v>6.8893756916486457E-2</v>
      </c>
      <c r="O304" s="124">
        <f t="shared" si="97"/>
        <v>39994.476154096883</v>
      </c>
      <c r="P304" s="124">
        <f t="shared" si="98"/>
        <v>1</v>
      </c>
      <c r="Q304" s="124">
        <f t="shared" si="99"/>
        <v>1</v>
      </c>
      <c r="R304" s="124">
        <f t="shared" si="100"/>
        <v>31269.503632458061</v>
      </c>
      <c r="S304" s="124">
        <f t="shared" si="101"/>
        <v>28702.077935716403</v>
      </c>
      <c r="T304" s="124">
        <f t="shared" si="102"/>
        <v>42445.154437794736</v>
      </c>
      <c r="U304" s="124">
        <f t="shared" si="103"/>
        <v>1</v>
      </c>
      <c r="V304" s="124">
        <f t="shared" si="104"/>
        <v>0</v>
      </c>
      <c r="W304" s="124">
        <f t="shared" si="105"/>
        <v>1</v>
      </c>
      <c r="X304" s="124">
        <f t="shared" si="106"/>
        <v>1</v>
      </c>
      <c r="Y304" s="124">
        <f t="shared" si="107"/>
        <v>0</v>
      </c>
      <c r="Z304" s="124">
        <f t="shared" si="108"/>
        <v>1</v>
      </c>
      <c r="AA304" s="124">
        <f t="shared" si="85"/>
        <v>6.6709102446934764E-4</v>
      </c>
      <c r="AB304" s="124">
        <f t="shared" si="109"/>
        <v>0</v>
      </c>
      <c r="AC304" s="124">
        <f t="shared" si="110"/>
        <v>0</v>
      </c>
    </row>
    <row r="305" spans="2:29" s="114" customFormat="1">
      <c r="B305" s="115">
        <f t="shared" si="86"/>
        <v>-1.9400000000000621</v>
      </c>
      <c r="C305" s="124">
        <f t="shared" si="87"/>
        <v>1.1481536214967183E-2</v>
      </c>
      <c r="D305" s="124">
        <f t="shared" si="88"/>
        <v>592780.41700904979</v>
      </c>
      <c r="E305" s="124">
        <f t="shared" si="89"/>
        <v>1</v>
      </c>
      <c r="F305" s="124">
        <f t="shared" si="90"/>
        <v>1</v>
      </c>
      <c r="G305" s="124">
        <f t="shared" si="91"/>
        <v>599994.12134787871</v>
      </c>
      <c r="H305" s="124">
        <f t="shared" si="92"/>
        <v>1</v>
      </c>
      <c r="I305" s="124">
        <f t="shared" si="93"/>
        <v>1</v>
      </c>
      <c r="J305" s="124">
        <f t="shared" si="94"/>
        <v>2.7595556779913576E-5</v>
      </c>
      <c r="K305" s="124">
        <f t="shared" si="95"/>
        <v>0</v>
      </c>
      <c r="L305" s="124">
        <f t="shared" si="96"/>
        <v>0</v>
      </c>
      <c r="M305" s="120"/>
      <c r="N305" s="132">
        <f t="shared" si="84"/>
        <v>7.2140619649732132E-2</v>
      </c>
      <c r="O305" s="124">
        <f t="shared" si="97"/>
        <v>40866.453029828212</v>
      </c>
      <c r="P305" s="124">
        <f t="shared" si="98"/>
        <v>1</v>
      </c>
      <c r="Q305" s="124">
        <f t="shared" si="99"/>
        <v>1</v>
      </c>
      <c r="R305" s="124">
        <f t="shared" si="100"/>
        <v>32078.328591466114</v>
      </c>
      <c r="S305" s="124">
        <f t="shared" si="101"/>
        <v>29370.20095743128</v>
      </c>
      <c r="T305" s="124">
        <f t="shared" si="102"/>
        <v>43492.848486871604</v>
      </c>
      <c r="U305" s="124">
        <f t="shared" si="103"/>
        <v>1</v>
      </c>
      <c r="V305" s="124">
        <f t="shared" si="104"/>
        <v>0</v>
      </c>
      <c r="W305" s="124">
        <f t="shared" si="105"/>
        <v>1</v>
      </c>
      <c r="X305" s="124">
        <f t="shared" si="106"/>
        <v>1</v>
      </c>
      <c r="Y305" s="124">
        <f t="shared" si="107"/>
        <v>0</v>
      </c>
      <c r="Z305" s="124">
        <f t="shared" si="108"/>
        <v>1</v>
      </c>
      <c r="AA305" s="124">
        <f t="shared" si="85"/>
        <v>7.3175156019447078E-4</v>
      </c>
      <c r="AB305" s="124">
        <f t="shared" si="109"/>
        <v>0</v>
      </c>
      <c r="AC305" s="124">
        <f t="shared" si="110"/>
        <v>0</v>
      </c>
    </row>
    <row r="306" spans="2:29" s="114" customFormat="1">
      <c r="B306" s="115">
        <f t="shared" si="86"/>
        <v>-1.9200000000000621</v>
      </c>
      <c r="C306" s="124">
        <f t="shared" si="87"/>
        <v>1.2022644346172406E-2</v>
      </c>
      <c r="D306" s="124">
        <f t="shared" si="88"/>
        <v>583555.06168480683</v>
      </c>
      <c r="E306" s="124">
        <f t="shared" si="89"/>
        <v>1</v>
      </c>
      <c r="F306" s="124">
        <f t="shared" si="90"/>
        <v>1</v>
      </c>
      <c r="G306" s="124">
        <f t="shared" si="91"/>
        <v>589486.99460034212</v>
      </c>
      <c r="H306" s="124">
        <f t="shared" si="92"/>
        <v>1</v>
      </c>
      <c r="I306" s="124">
        <f t="shared" si="93"/>
        <v>1</v>
      </c>
      <c r="J306" s="124">
        <f t="shared" si="94"/>
        <v>1.9293068844053762E-5</v>
      </c>
      <c r="K306" s="124">
        <f t="shared" si="95"/>
        <v>0</v>
      </c>
      <c r="L306" s="124">
        <f t="shared" si="96"/>
        <v>0</v>
      </c>
      <c r="M306" s="120"/>
      <c r="N306" s="132">
        <f t="shared" si="84"/>
        <v>7.5540502309316179E-2</v>
      </c>
      <c r="O306" s="124">
        <f t="shared" si="97"/>
        <v>41758.8052986767</v>
      </c>
      <c r="P306" s="124">
        <f t="shared" si="98"/>
        <v>1</v>
      </c>
      <c r="Q306" s="124">
        <f t="shared" si="99"/>
        <v>1</v>
      </c>
      <c r="R306" s="124">
        <f t="shared" si="100"/>
        <v>32912.162032861102</v>
      </c>
      <c r="S306" s="124">
        <f t="shared" si="101"/>
        <v>30034.129481130713</v>
      </c>
      <c r="T306" s="124">
        <f t="shared" si="102"/>
        <v>44556.249206667169</v>
      </c>
      <c r="U306" s="124">
        <f t="shared" si="103"/>
        <v>1</v>
      </c>
      <c r="V306" s="124">
        <f t="shared" si="104"/>
        <v>0</v>
      </c>
      <c r="W306" s="124">
        <f t="shared" si="105"/>
        <v>1</v>
      </c>
      <c r="X306" s="124">
        <f t="shared" si="106"/>
        <v>1</v>
      </c>
      <c r="Y306" s="124">
        <f t="shared" si="107"/>
        <v>0</v>
      </c>
      <c r="Z306" s="124">
        <f t="shared" si="108"/>
        <v>1</v>
      </c>
      <c r="AA306" s="124">
        <f t="shared" si="85"/>
        <v>7.9301709047769915E-4</v>
      </c>
      <c r="AB306" s="124">
        <f t="shared" si="109"/>
        <v>0</v>
      </c>
      <c r="AC306" s="124">
        <f t="shared" si="110"/>
        <v>0</v>
      </c>
    </row>
    <row r="307" spans="2:29" s="114" customFormat="1">
      <c r="B307" s="115">
        <f t="shared" si="86"/>
        <v>-1.9000000000000621</v>
      </c>
      <c r="C307" s="124">
        <f t="shared" si="87"/>
        <v>1.2589254117939866E-2</v>
      </c>
      <c r="D307" s="124">
        <f t="shared" si="88"/>
        <v>574419.81509989535</v>
      </c>
      <c r="E307" s="124">
        <f t="shared" si="89"/>
        <v>1</v>
      </c>
      <c r="F307" s="124">
        <f t="shared" si="90"/>
        <v>1</v>
      </c>
      <c r="G307" s="124">
        <f t="shared" si="91"/>
        <v>579003.66503769322</v>
      </c>
      <c r="H307" s="124">
        <f t="shared" si="92"/>
        <v>1</v>
      </c>
      <c r="I307" s="124">
        <f t="shared" si="93"/>
        <v>1</v>
      </c>
      <c r="J307" s="124">
        <f t="shared" si="94"/>
        <v>1.1915613116616156E-5</v>
      </c>
      <c r="K307" s="124">
        <f t="shared" si="95"/>
        <v>0</v>
      </c>
      <c r="L307" s="124">
        <f t="shared" si="96"/>
        <v>0</v>
      </c>
      <c r="M307" s="120"/>
      <c r="N307" s="132">
        <f t="shared" si="84"/>
        <v>7.9100616502189872E-2</v>
      </c>
      <c r="O307" s="124">
        <f t="shared" si="97"/>
        <v>42671.983207468147</v>
      </c>
      <c r="P307" s="124">
        <f t="shared" si="98"/>
        <v>1</v>
      </c>
      <c r="Q307" s="124">
        <f t="shared" si="99"/>
        <v>1</v>
      </c>
      <c r="R307" s="124">
        <f t="shared" si="100"/>
        <v>33769.243443823594</v>
      </c>
      <c r="S307" s="124">
        <f t="shared" si="101"/>
        <v>30692.519392843515</v>
      </c>
      <c r="T307" s="124">
        <f t="shared" si="102"/>
        <v>45633.239523929245</v>
      </c>
      <c r="U307" s="124">
        <f t="shared" si="103"/>
        <v>1</v>
      </c>
      <c r="V307" s="124">
        <f t="shared" si="104"/>
        <v>0</v>
      </c>
      <c r="W307" s="124">
        <f t="shared" si="105"/>
        <v>1</v>
      </c>
      <c r="X307" s="124">
        <f t="shared" si="106"/>
        <v>1</v>
      </c>
      <c r="Y307" s="124">
        <f t="shared" si="107"/>
        <v>0</v>
      </c>
      <c r="Z307" s="124">
        <f t="shared" si="108"/>
        <v>1</v>
      </c>
      <c r="AA307" s="124">
        <f t="shared" si="85"/>
        <v>8.4905061957657728E-4</v>
      </c>
      <c r="AB307" s="124">
        <f t="shared" si="109"/>
        <v>0</v>
      </c>
      <c r="AC307" s="124">
        <f t="shared" si="110"/>
        <v>0</v>
      </c>
    </row>
    <row r="308" spans="2:29" s="114" customFormat="1">
      <c r="B308" s="115">
        <f t="shared" si="86"/>
        <v>-1.8800000000000621</v>
      </c>
      <c r="C308" s="124">
        <f t="shared" si="87"/>
        <v>1.3182567385562177E-2</v>
      </c>
      <c r="D308" s="124">
        <f t="shared" si="88"/>
        <v>565375.03711703233</v>
      </c>
      <c r="E308" s="124">
        <f t="shared" si="89"/>
        <v>1</v>
      </c>
      <c r="F308" s="124">
        <f t="shared" si="90"/>
        <v>1</v>
      </c>
      <c r="G308" s="124">
        <f t="shared" si="91"/>
        <v>568563.86962308688</v>
      </c>
      <c r="H308" s="124">
        <f t="shared" si="92"/>
        <v>1</v>
      </c>
      <c r="I308" s="124">
        <f t="shared" si="93"/>
        <v>1</v>
      </c>
      <c r="J308" s="124">
        <f t="shared" si="94"/>
        <v>5.9664362844493595E-6</v>
      </c>
      <c r="K308" s="124">
        <f t="shared" si="95"/>
        <v>0</v>
      </c>
      <c r="L308" s="124">
        <f t="shared" si="96"/>
        <v>0</v>
      </c>
      <c r="M308" s="120"/>
      <c r="N308" s="132">
        <f t="shared" ref="N308:N371" si="111">2*PI()*C308</f>
        <v>8.2828513707869075E-2</v>
      </c>
      <c r="O308" s="124">
        <f t="shared" si="97"/>
        <v>43606.445057982179</v>
      </c>
      <c r="P308" s="124">
        <f t="shared" si="98"/>
        <v>1</v>
      </c>
      <c r="Q308" s="124">
        <f t="shared" si="99"/>
        <v>1</v>
      </c>
      <c r="R308" s="124">
        <f t="shared" si="100"/>
        <v>34647.555647011977</v>
      </c>
      <c r="S308" s="124">
        <f t="shared" si="101"/>
        <v>31344.295205141578</v>
      </c>
      <c r="T308" s="124">
        <f t="shared" si="102"/>
        <v>46721.707526800143</v>
      </c>
      <c r="U308" s="124">
        <f t="shared" si="103"/>
        <v>1</v>
      </c>
      <c r="V308" s="124">
        <f t="shared" si="104"/>
        <v>0</v>
      </c>
      <c r="W308" s="124">
        <f t="shared" si="105"/>
        <v>1</v>
      </c>
      <c r="X308" s="124">
        <f t="shared" si="106"/>
        <v>1</v>
      </c>
      <c r="Y308" s="124">
        <f t="shared" si="107"/>
        <v>0</v>
      </c>
      <c r="Z308" s="124">
        <f t="shared" si="108"/>
        <v>1</v>
      </c>
      <c r="AA308" s="124">
        <f t="shared" ref="AA308:AA371" si="112">(LOG10(O308)-LOG10(T308))^2</f>
        <v>8.9808243000166191E-4</v>
      </c>
      <c r="AB308" s="124">
        <f t="shared" si="109"/>
        <v>0</v>
      </c>
      <c r="AC308" s="124">
        <f t="shared" si="110"/>
        <v>0</v>
      </c>
    </row>
    <row r="309" spans="2:29" s="114" customFormat="1">
      <c r="B309" s="115">
        <f t="shared" ref="B309:B372" si="113">B308+0.02</f>
        <v>-1.860000000000062</v>
      </c>
      <c r="C309" s="124">
        <f t="shared" ref="C309:C372" si="114">10^B309</f>
        <v>1.3803842646026873E-2</v>
      </c>
      <c r="D309" s="124">
        <f t="shared" ref="D309:D372" si="115">IF(AND($D$12&lt;&gt;"",$E$12&lt;&gt;"",$F$12&lt;&gt;"",$G$12&lt;&gt;""),10^($D$12+$E$12/(1+EXP($F$12+$G$12*LOG10($C309)))),1)</f>
        <v>556421.06030052947</v>
      </c>
      <c r="E309" s="124">
        <f t="shared" ref="E309:E372" si="116">IF(AND($D$13&lt;&gt;"",$E$13&lt;&gt;"",$F$13&lt;&gt;"",$G$13&lt;&gt;""),10^($D$13+$E$13/(1+EXP($F$13+$G$13*LOG10($C309)))),1)</f>
        <v>1</v>
      </c>
      <c r="F309" s="124">
        <f t="shared" ref="F309:F372" si="117">IF(AND($D$14&lt;&gt;"",$E$14&lt;&gt;"",$F$14&lt;&gt;"",$G$14&lt;&gt;""),10^($D$14+$E$14/(1+EXP($F$14+$G$14*LOG10($C309)))),1)</f>
        <v>1</v>
      </c>
      <c r="G309" s="124">
        <f t="shared" ref="G309:G372" si="118">IF(OR($C$28="",$C$28=0),1,$C$28+$C$29*EXP(-C309/$F$29)+$C$30*EXP(-C309/$F$30)+$C$31*EXP(-C309/$F$31)+$C$32*EXP(-C309/$F$32)+$C$33*EXP(-C309/$F$33)+$C$34*EXP(-C309/$F$34)+$C$35*EXP(-C309/$F$35)+$C$36*EXP(-C309/$F$36)+$C$37*EXP(-C309/$F$37)+$C$38*EXP(-C309/$F$38)+$C$39*EXP(-C309/$F$39)+$C$40*EXP(-C309/$F$40)+$C$41*EXP(-C309/$F$41)+$C$42*EXP(-C309/$F$42))</f>
        <v>558187.7176751676</v>
      </c>
      <c r="H309" s="124">
        <f t="shared" ref="H309:H372" si="119">IF(OR($D$28="",$D$28=0),1,$D$28+$D$29*EXP(-C309/$F$29)+$D$30*EXP(-C309/$F$30)+$D$31*EXP(-C309/$F$31)+$D$32*EXP(-C309/$F$32)+$D$33*EXP(-C309/$F$33)+$D$34*EXP(-C309/$F$34)+$D$35*EXP(-C309/$F$35)+$D$36*EXP(-C309/$F$36)+$D$37*EXP(-C309/$F$37)+$D$38*EXP(-C309/$F$38)+$D$39*EXP(-C309/$F$39)+$D$40*EXP(-C309/$F$40)+$D$41*EXP(-C309/$F$41)+$D$42*EXP(-C309/$F$42))</f>
        <v>1</v>
      </c>
      <c r="I309" s="124">
        <f t="shared" ref="I309:I372" si="120">IF(OR($E$28="",$E$28=0),1,$E$28+$E$29*EXP(-C309/$F$29)+$E$30*EXP(-C309/$F$30)+$E$31*EXP(-C309/$F$31)+$E$32*EXP(-C309/$F$32)+$E$33*EXP(-C309/$F$33)+$E$34*EXP(-C309/$F$34)+$E$35*EXP(-C309/$F$35)+$E$36*EXP(-C309/$F$36)+$E$37*EXP(-C309/$F$37)+$E$38*EXP(-C309/$F$38)+$E$39*EXP(-C309/$F$39)+$E$40*EXP(-C309/$F$40)+$E$41*EXP(-C309/$F$41)+$E$42*EXP(-C309/$F$42))</f>
        <v>1</v>
      </c>
      <c r="J309" s="124">
        <f t="shared" ref="J309:J372" si="121">(LOG10(D309)-LOG10(G309))^2</f>
        <v>1.8953485381725279E-6</v>
      </c>
      <c r="K309" s="124">
        <f t="shared" ref="K309:K372" si="122">(LOG10(E309)-LOG10(H309))^2</f>
        <v>0</v>
      </c>
      <c r="L309" s="124">
        <f t="shared" ref="L309:L372" si="123">(LOG10(F309)-LOG10(I309))^2</f>
        <v>0</v>
      </c>
      <c r="M309" s="120"/>
      <c r="N309" s="132">
        <f t="shared" si="111"/>
        <v>8.6732101296135025E-2</v>
      </c>
      <c r="O309" s="124">
        <f t="shared" ref="O309:O372" si="124">IF(AND($L$12&lt;&gt;"",$M$12&lt;&gt;"",$N$12&lt;&gt;"",$O$12&lt;&gt;""),10^($L$12+$M$12/(1+EXP($N$12+$O$12*LOG10($C309)))),1)</f>
        <v>44562.657263742753</v>
      </c>
      <c r="P309" s="124">
        <f t="shared" ref="P309:P372" si="125">IF(AND($L$13&lt;&gt;"",$M$13&lt;&gt;"",$N$13&lt;&gt;"",$O$13&lt;&gt;""),10^($L$13+$M$13/(1+EXP($N$13+$O$13*LOG10($C309)))),1)</f>
        <v>1</v>
      </c>
      <c r="Q309" s="124">
        <f t="shared" ref="Q309:Q372" si="126">IF(AND($L$14&lt;&gt;"",$M$14&lt;&gt;"",$N$14&lt;&gt;"",$O$14&lt;&gt;""),10^($L$14+$M$14/(1+EXP($N$14+$O$14*LOG10($C309)))),1)</f>
        <v>1</v>
      </c>
      <c r="R309" s="124">
        <f t="shared" ref="R309:R372" si="127">IF(OR($C$28="",$C$28=0),1,$C$28+($N309^2*$F$29^2*$C$29)/($N309^2*$F$29^2+1)+($N309^2*$F$30^2*$C$30)/($N309^2*$F$30^2+1)+($N309^2*$F$31^2*$C$31)/($N309^2*$F$31^2+1)+($N309^2*$F$32^2*$C$32)/($N309^2*$F$32^2+1)+($N309^2*$F$33^2*$C$33)/($N309^2*$F$33^2+1)+($N309^2*$F$34^2*$C$34)/($N309^2*$F$34^2+1)+($N309^2*$F$35^2*$C$35)/($N309^2*$F$35^2+1)+($N309^2*$F$36^2*$C$36)/($N309^2*$F$36^2+1)+($N309^2*$F$37^2*$C$37)/($N309^2*$F$37^2+1)+($N309^2*$F$38^2*$C$38)/($N309^2*$F$38^2+1)+($N309^2*$F$39^2*$C$39)/($N309^2*$F$39^2+1)+($N309^2*$F$40^2*$C$40)/($N309^2*$F$40^2+1)+($N309^2*$F$41^2*$C$41)/($N309^2*$F$41^2+1)+($N309^2*$F$42^2*$C$42)/($N309^2*$F$42^2+1))</f>
        <v>35544.860131541893</v>
      </c>
      <c r="S309" s="124">
        <f t="shared" ref="S309:S372" si="128">IF(OR($C$28="",$C$28=0),0,($N309*$F$29*$C$29)/($N309^2*$F$29^2+1)+($N309*$F$30*$C$30)/($N309^2*$F$30^2+1)+($N309*$F$31*$C$31)/($N309^2*$F$31^2+1)+($N309*$F$32*$C$32)/($N309^2*$F$32^2+1)+($N309*$F$33*$C$33)/($N309^2*$F$33^2+1)+($N309*$F$34*$C$34)/($N309^2*$F$34^2+1)+($N309*$F$35*$C$35)/($N309^2*$F$35^2+1)+($N309*$F$36*$C$36)/($N309^2*$F$36^2+1)+($N309*$F$37*$C$37)/($N309^2*$F$37^2+1)+($N309*$F$38*$C$38)/($N309^2*$F$38^2+1)+($N309*$F$39*$C$39)/($N309^2*$F$39^2+1)+($N309*$F$40*$C$40)/($N309^2*$F$40^2+1)+($N309*$F$41*$C$41)/($N309^2*$F$41^2+1)+($N309*$F$42*$C$42)/($N309^2*$F$42^2+1))</f>
        <v>31988.695822897313</v>
      </c>
      <c r="T309" s="124">
        <f t="shared" ref="T309:T372" si="129">SQRT(R309^2+S309^2)</f>
        <v>47819.595797337352</v>
      </c>
      <c r="U309" s="124">
        <f t="shared" ref="U309:U372" si="130">IF(OR($D$28="",$D$28=0),1,$D$28+($N309^2*$F$29^2*$D$29)/($N309^2*$F$29^2+1)+($N309^2*$F$30^2*$D$30)/($N309^2*$F$30^2+1)+($N309^2*$F$31^2*$D$31)/($N309^2*$F$31^2+1)+($N309^2*$F$32^2*$D$32)/($N309^2*$F$32^2+1)+($N309^2*$F$33^2*$D$33)/($N309^2*$F$33^2+1)+($N309^2*$F$34^2*$D$34)/($N309^2*$F$34^2+1)+($N309^2*$F$35^2*$D$35)/($N309^2*$F$35^2+1)+($N309^2*$F$36^2*$D$36)/($N309^2*$F$36^2+1)+($N309^2*$F$37^2*$D$37)/($N309^2*$F$37^2+1)+($N309^2*$F$38^2*$D$38)/($N309^2*$F$38^2+1)+($N309^2*$F$39^2*$D$39)/($N309^2*$F$39^2+1)+($N309^2*$F$40^2*$D$40)/($N309^2*$F$40^2+1)+($N309^2*$F$41^2*$D$41)/($N309^2*$F$41^2+1)+($N309^2*$F$42^2*$D$42)/($N309^2*$F$42^2+1))</f>
        <v>1</v>
      </c>
      <c r="V309" s="124">
        <f t="shared" ref="V309:V372" si="131">IF(OR($D$28="",$D$28=0),0,($N309*$F$29*$D$29)/($N309^2*$F$29^2+1)+($N309*$F$30*$D$30)/($N309^2*$F$30^2+1)+($N309*$F$31*$D$31)/($N309^2*$F$31^2+1)+($N309*$F$32*$D$32)/($N309^2*$F$32^2+1)+($N309*$F$33*$D$33)/($N309^2*$F$33^2+1)+($N309*$F$34*$D$34)/($N309^2*$F$34^2+1)+($N309*$F$35*$D$35)/($N309^2*$F$35^2+1)+($N309*$F$36*$D$36)/($N309^2*$F$36^2+1)+($N309*$F$37*$D$37)/($N309^2*$F$37^2+1)+($N309*$F$38*$D$38)/($N309^2*$F$38^2+1)+($N309*$F$39*$D$39)/($N309^2*$F$39^2+1)+($N309*$F$40*$D$40)/($N309^2*$F$40^2+1)+($N309*$F$41*$D$41)/($N309^2*$F$41^2+1)+($N309*$F$42*$D$42)/($N309^2*$F$42^2+1))</f>
        <v>0</v>
      </c>
      <c r="W309" s="124">
        <f t="shared" ref="W309:W372" si="132">SQRT(U309^2+V309^2)</f>
        <v>1</v>
      </c>
      <c r="X309" s="124">
        <f t="shared" ref="X309:X372" si="133">IF(OR($E$28="",$E$28=0),1,$E$28+($N309^2*$F$29^2*$E$29)/($N309^2*$F$29^2+1)+($N309^2*$F$30^2*$E$30)/($N309^2*$F$30^2+1)+($N309^2*$F$31^2*$E$31)/($N309^2*$F$31^2+1)+($N309^2*$F$32^2*$E$32)/($N309^2*$F$32^2+1)+($N309^2*$F$33^2*$E$33)/($N309^2*$F$33^2+1)+($N309^2*$F$34^2*$E$34)/($N309^2*$F$34^2+1)+($N309^2*$F$35^2*$E$35)/($N309^2*$F$35^2+1)+($N309^2*$F$36^2*$E$36)/($N309^2*$F$36^2+1)+($N309^2*$F$37^2*$E$37)/($N309^2*$F$37^2+1)+($N309^2*$F$38^2*$E$38)/($N309^2*$F$38^2+1)+($N309^2*$F$39^2*$E$39)/($N309^2*$F$39^2+1)+($N309^2*$F$40^2*$E$40)/($N309^2*$F$40^2+1)+($N309^2*$F$41^2*$E$41)/($N309^2*$F$41^2+1)+($N309^2*$F$42^2*$E$42)/($N309^2*$F$42^2+1))</f>
        <v>1</v>
      </c>
      <c r="Y309" s="124">
        <f t="shared" ref="Y309:Y372" si="134">IF(OR($E$28="",$E$28=0),0,($N309*$F$29*$E$29)/($N309^2*$F$29^2+1)+($N309*$F$30*$E$30)/($N309^2*$F$30^2+1)+($N309*$F$31*$E$31)/($N309^2*$F$31^2+1)+($N309*$F$32*$E$32)/($N309^2*$F$32^2+1)+($N309*$F$33*$E$33)/($N309^2*$F$33^2+1)+($N309*$F$34*$E$34)/($N309^2*$F$34^2+1)+($N309*$F$35*$E$35)/($N309^2*$F$35^2+1)+($N309*$F$36*$E$36)/($N309^2*$F$36^2+1)+($N309*$F$37*$E$37)/($N309^2*$F$37^2+1)+($N309*$F$38*$E$38)/($N309^2*$F$38^2+1)+($N309*$F$39*$E$39)/($N309^2*$F$39^2+1)+($N309*$F$40*$E$40)/($N309^2*$F$40^2+1)+($N309*$F$41*$E$41)/($N309^2*$F$41^2+1)+($N309*$F$42*$E$42)/($N309^2*$F$42^2+1))</f>
        <v>0</v>
      </c>
      <c r="Z309" s="124">
        <f t="shared" ref="Z309:Z372" si="135">SQRT(X309^2+Y309^2)</f>
        <v>1</v>
      </c>
      <c r="AA309" s="124">
        <f t="shared" si="112"/>
        <v>9.3849225820440629E-4</v>
      </c>
      <c r="AB309" s="124">
        <f t="shared" ref="AB309:AB372" si="136">(LOG10(P309)-LOG10(W309))^2</f>
        <v>0</v>
      </c>
      <c r="AC309" s="124">
        <f t="shared" ref="AC309:AC372" si="137">(LOG10(Q309)-LOG10(Z309))^2</f>
        <v>0</v>
      </c>
    </row>
    <row r="310" spans="2:29" s="114" customFormat="1">
      <c r="B310" s="115">
        <f t="shared" si="113"/>
        <v>-1.840000000000062</v>
      </c>
      <c r="C310" s="124">
        <f t="shared" si="114"/>
        <v>1.4454397707457206E-2</v>
      </c>
      <c r="D310" s="124">
        <f t="shared" si="115"/>
        <v>547558.18990196928</v>
      </c>
      <c r="E310" s="124">
        <f t="shared" si="116"/>
        <v>1</v>
      </c>
      <c r="F310" s="124">
        <f t="shared" si="117"/>
        <v>1</v>
      </c>
      <c r="G310" s="124">
        <f t="shared" si="118"/>
        <v>547895.4661826404</v>
      </c>
      <c r="H310" s="124">
        <f t="shared" si="119"/>
        <v>1</v>
      </c>
      <c r="I310" s="124">
        <f t="shared" si="120"/>
        <v>1</v>
      </c>
      <c r="J310" s="124">
        <f t="shared" si="121"/>
        <v>7.1517483277376618E-8</v>
      </c>
      <c r="K310" s="124">
        <f t="shared" si="122"/>
        <v>0</v>
      </c>
      <c r="L310" s="124">
        <f t="shared" si="123"/>
        <v>0</v>
      </c>
      <c r="M310" s="120"/>
      <c r="N310" s="132">
        <f t="shared" si="111"/>
        <v>9.0819659299625419E-2</v>
      </c>
      <c r="O310" s="124">
        <f t="shared" si="124"/>
        <v>45541.094403316332</v>
      </c>
      <c r="P310" s="124">
        <f t="shared" si="125"/>
        <v>1</v>
      </c>
      <c r="Q310" s="124">
        <f t="shared" si="126"/>
        <v>1</v>
      </c>
      <c r="R310" s="124">
        <f t="shared" si="127"/>
        <v>36458.740901436162</v>
      </c>
      <c r="S310" s="124">
        <f t="shared" si="128"/>
        <v>32625.31507492339</v>
      </c>
      <c r="T310" s="124">
        <f t="shared" si="129"/>
        <v>48924.952446129959</v>
      </c>
      <c r="U310" s="124">
        <f t="shared" si="130"/>
        <v>1</v>
      </c>
      <c r="V310" s="124">
        <f t="shared" si="131"/>
        <v>0</v>
      </c>
      <c r="W310" s="124">
        <f t="shared" si="132"/>
        <v>1</v>
      </c>
      <c r="X310" s="124">
        <f t="shared" si="133"/>
        <v>1</v>
      </c>
      <c r="Y310" s="124">
        <f t="shared" si="134"/>
        <v>0</v>
      </c>
      <c r="Z310" s="124">
        <f t="shared" si="135"/>
        <v>1</v>
      </c>
      <c r="AA310" s="124">
        <f t="shared" si="112"/>
        <v>9.6888696780505438E-4</v>
      </c>
      <c r="AB310" s="124">
        <f t="shared" si="136"/>
        <v>0</v>
      </c>
      <c r="AC310" s="124">
        <f t="shared" si="137"/>
        <v>0</v>
      </c>
    </row>
    <row r="311" spans="2:29" s="114" customFormat="1">
      <c r="B311" s="115">
        <f t="shared" si="113"/>
        <v>-1.820000000000062</v>
      </c>
      <c r="C311" s="124">
        <f t="shared" si="114"/>
        <v>1.5135612484359911E-2</v>
      </c>
      <c r="D311" s="124">
        <f t="shared" si="115"/>
        <v>538786.70386434335</v>
      </c>
      <c r="E311" s="124">
        <f t="shared" si="116"/>
        <v>1</v>
      </c>
      <c r="F311" s="124">
        <f t="shared" si="117"/>
        <v>1</v>
      </c>
      <c r="G311" s="124">
        <f t="shared" si="118"/>
        <v>537707.29234695807</v>
      </c>
      <c r="H311" s="124">
        <f t="shared" si="119"/>
        <v>1</v>
      </c>
      <c r="I311" s="124">
        <f t="shared" si="120"/>
        <v>1</v>
      </c>
      <c r="J311" s="124">
        <f t="shared" si="121"/>
        <v>7.5854225144889239E-7</v>
      </c>
      <c r="K311" s="124">
        <f t="shared" si="122"/>
        <v>0</v>
      </c>
      <c r="L311" s="124">
        <f t="shared" si="123"/>
        <v>0</v>
      </c>
      <c r="M311" s="120"/>
      <c r="N311" s="132">
        <f t="shared" si="111"/>
        <v>9.5099857976894103E-2</v>
      </c>
      <c r="O311" s="124">
        <f t="shared" si="124"/>
        <v>46542.239269933089</v>
      </c>
      <c r="P311" s="124">
        <f t="shared" si="125"/>
        <v>1</v>
      </c>
      <c r="Q311" s="124">
        <f t="shared" si="126"/>
        <v>1</v>
      </c>
      <c r="R311" s="124">
        <f t="shared" si="127"/>
        <v>37386.655894761956</v>
      </c>
      <c r="S311" s="124">
        <f t="shared" si="128"/>
        <v>33254.135258285554</v>
      </c>
      <c r="T311" s="124">
        <f t="shared" si="129"/>
        <v>50035.982560250472</v>
      </c>
      <c r="U311" s="124">
        <f t="shared" si="130"/>
        <v>1</v>
      </c>
      <c r="V311" s="124">
        <f t="shared" si="131"/>
        <v>0</v>
      </c>
      <c r="W311" s="124">
        <f t="shared" si="132"/>
        <v>1</v>
      </c>
      <c r="X311" s="124">
        <f t="shared" si="133"/>
        <v>1</v>
      </c>
      <c r="Y311" s="124">
        <f t="shared" si="134"/>
        <v>0</v>
      </c>
      <c r="Z311" s="124">
        <f t="shared" si="135"/>
        <v>1</v>
      </c>
      <c r="AA311" s="124">
        <f t="shared" si="112"/>
        <v>9.881691566169372E-4</v>
      </c>
      <c r="AB311" s="124">
        <f t="shared" si="136"/>
        <v>0</v>
      </c>
      <c r="AC311" s="124">
        <f t="shared" si="137"/>
        <v>0</v>
      </c>
    </row>
    <row r="312" spans="2:29" s="114" customFormat="1">
      <c r="B312" s="115">
        <f t="shared" si="113"/>
        <v>-1.800000000000062</v>
      </c>
      <c r="C312" s="124">
        <f t="shared" si="114"/>
        <v>1.5848931924608862E-2</v>
      </c>
      <c r="D312" s="124">
        <f t="shared" si="115"/>
        <v>530106.85284463316</v>
      </c>
      <c r="E312" s="124">
        <f t="shared" si="116"/>
        <v>1</v>
      </c>
      <c r="F312" s="124">
        <f t="shared" si="117"/>
        <v>1</v>
      </c>
      <c r="G312" s="124">
        <f t="shared" si="118"/>
        <v>527643.06240491313</v>
      </c>
      <c r="H312" s="124">
        <f t="shared" si="119"/>
        <v>1</v>
      </c>
      <c r="I312" s="124">
        <f t="shared" si="120"/>
        <v>1</v>
      </c>
      <c r="J312" s="124">
        <f t="shared" si="121"/>
        <v>4.0932824907088582E-6</v>
      </c>
      <c r="K312" s="124">
        <f t="shared" si="122"/>
        <v>0</v>
      </c>
      <c r="L312" s="124">
        <f t="shared" si="123"/>
        <v>0</v>
      </c>
      <c r="M312" s="120"/>
      <c r="N312" s="132">
        <f t="shared" si="111"/>
        <v>9.9581776203191877E-2</v>
      </c>
      <c r="O312" s="124">
        <f t="shared" si="124"/>
        <v>47566.582917248175</v>
      </c>
      <c r="P312" s="124">
        <f t="shared" si="125"/>
        <v>1</v>
      </c>
      <c r="Q312" s="124">
        <f t="shared" si="126"/>
        <v>1</v>
      </c>
      <c r="R312" s="124">
        <f t="shared" si="127"/>
        <v>38325.994621323764</v>
      </c>
      <c r="S312" s="124">
        <f t="shared" si="128"/>
        <v>33875.55215857915</v>
      </c>
      <c r="T312" s="124">
        <f t="shared" si="129"/>
        <v>51151.098695554472</v>
      </c>
      <c r="U312" s="124">
        <f t="shared" si="130"/>
        <v>1</v>
      </c>
      <c r="V312" s="124">
        <f t="shared" si="131"/>
        <v>0</v>
      </c>
      <c r="W312" s="124">
        <f t="shared" si="132"/>
        <v>1</v>
      </c>
      <c r="X312" s="124">
        <f t="shared" si="133"/>
        <v>1</v>
      </c>
      <c r="Y312" s="124">
        <f t="shared" si="134"/>
        <v>0</v>
      </c>
      <c r="Z312" s="124">
        <f t="shared" si="135"/>
        <v>1</v>
      </c>
      <c r="AA312" s="124">
        <f t="shared" si="112"/>
        <v>9.9559261648298749E-4</v>
      </c>
      <c r="AB312" s="124">
        <f t="shared" si="136"/>
        <v>0</v>
      </c>
      <c r="AC312" s="124">
        <f t="shared" si="137"/>
        <v>0</v>
      </c>
    </row>
    <row r="313" spans="2:29" s="114" customFormat="1">
      <c r="B313" s="115">
        <f t="shared" si="113"/>
        <v>-1.780000000000062</v>
      </c>
      <c r="C313" s="124">
        <f t="shared" si="114"/>
        <v>1.6595869074373236E-2</v>
      </c>
      <c r="D313" s="124">
        <f t="shared" si="115"/>
        <v>521518.86025477096</v>
      </c>
      <c r="E313" s="124">
        <f t="shared" si="116"/>
        <v>1</v>
      </c>
      <c r="F313" s="124">
        <f t="shared" si="117"/>
        <v>1</v>
      </c>
      <c r="G313" s="124">
        <f t="shared" si="118"/>
        <v>517722.09654944914</v>
      </c>
      <c r="H313" s="124">
        <f t="shared" si="119"/>
        <v>1</v>
      </c>
      <c r="I313" s="124">
        <f t="shared" si="120"/>
        <v>1</v>
      </c>
      <c r="J313" s="124">
        <f t="shared" si="121"/>
        <v>1.0069945239495943E-5</v>
      </c>
      <c r="K313" s="124">
        <f t="shared" si="122"/>
        <v>0</v>
      </c>
      <c r="L313" s="124">
        <f t="shared" si="123"/>
        <v>0</v>
      </c>
      <c r="M313" s="120"/>
      <c r="N313" s="132">
        <f t="shared" si="111"/>
        <v>0.10427492072797799</v>
      </c>
      <c r="O313" s="124">
        <f t="shared" si="124"/>
        <v>48614.624701057743</v>
      </c>
      <c r="P313" s="124">
        <f t="shared" si="125"/>
        <v>1</v>
      </c>
      <c r="Q313" s="124">
        <f t="shared" si="126"/>
        <v>1</v>
      </c>
      <c r="R313" s="124">
        <f t="shared" si="127"/>
        <v>39274.140322031657</v>
      </c>
      <c r="S313" s="124">
        <f t="shared" si="128"/>
        <v>34490.390330645154</v>
      </c>
      <c r="T313" s="124">
        <f t="shared" si="129"/>
        <v>52268.969027472638</v>
      </c>
      <c r="U313" s="124">
        <f t="shared" si="130"/>
        <v>1</v>
      </c>
      <c r="V313" s="124">
        <f t="shared" si="131"/>
        <v>0</v>
      </c>
      <c r="W313" s="124">
        <f t="shared" si="132"/>
        <v>1</v>
      </c>
      <c r="X313" s="124">
        <f t="shared" si="133"/>
        <v>1</v>
      </c>
      <c r="Y313" s="124">
        <f t="shared" si="134"/>
        <v>0</v>
      </c>
      <c r="Z313" s="124">
        <f t="shared" si="135"/>
        <v>1</v>
      </c>
      <c r="AA313" s="124">
        <f t="shared" si="112"/>
        <v>9.9080131471382176E-4</v>
      </c>
      <c r="AB313" s="124">
        <f t="shared" si="136"/>
        <v>0</v>
      </c>
      <c r="AC313" s="124">
        <f t="shared" si="137"/>
        <v>0</v>
      </c>
    </row>
    <row r="314" spans="2:29" s="114" customFormat="1">
      <c r="B314" s="115">
        <f t="shared" si="113"/>
        <v>-1.760000000000062</v>
      </c>
      <c r="C314" s="124">
        <f t="shared" si="114"/>
        <v>1.7378008287491271E-2</v>
      </c>
      <c r="D314" s="124">
        <f t="shared" si="115"/>
        <v>513022.92232090293</v>
      </c>
      <c r="E314" s="124">
        <f t="shared" si="116"/>
        <v>1</v>
      </c>
      <c r="F314" s="124">
        <f t="shared" si="117"/>
        <v>1</v>
      </c>
      <c r="G314" s="124">
        <f t="shared" si="118"/>
        <v>507962.93067476247</v>
      </c>
      <c r="H314" s="124">
        <f t="shared" si="119"/>
        <v>1</v>
      </c>
      <c r="I314" s="124">
        <f t="shared" si="120"/>
        <v>1</v>
      </c>
      <c r="J314" s="124">
        <f t="shared" si="121"/>
        <v>1.8530872850089092E-5</v>
      </c>
      <c r="K314" s="124">
        <f t="shared" si="122"/>
        <v>0</v>
      </c>
      <c r="L314" s="124">
        <f t="shared" si="123"/>
        <v>0</v>
      </c>
      <c r="M314" s="120"/>
      <c r="N314" s="132">
        <f t="shared" si="111"/>
        <v>0.10918924634001023</v>
      </c>
      <c r="O314" s="124">
        <f t="shared" si="124"/>
        <v>49686.872316777582</v>
      </c>
      <c r="P314" s="124">
        <f t="shared" si="125"/>
        <v>1</v>
      </c>
      <c r="Q314" s="124">
        <f t="shared" si="126"/>
        <v>1</v>
      </c>
      <c r="R314" s="124">
        <f t="shared" si="127"/>
        <v>40228.534698532603</v>
      </c>
      <c r="S314" s="124">
        <f t="shared" si="128"/>
        <v>35099.907830400807</v>
      </c>
      <c r="T314" s="124">
        <f t="shared" si="129"/>
        <v>53388.561824548837</v>
      </c>
      <c r="U314" s="124">
        <f t="shared" si="130"/>
        <v>1</v>
      </c>
      <c r="V314" s="124">
        <f t="shared" si="131"/>
        <v>0</v>
      </c>
      <c r="W314" s="124">
        <f t="shared" si="132"/>
        <v>1</v>
      </c>
      <c r="X314" s="124">
        <f t="shared" si="133"/>
        <v>1</v>
      </c>
      <c r="Y314" s="124">
        <f t="shared" si="134"/>
        <v>0</v>
      </c>
      <c r="Z314" s="124">
        <f t="shared" si="135"/>
        <v>1</v>
      </c>
      <c r="AA314" s="124">
        <f t="shared" si="112"/>
        <v>9.7384953351931363E-4</v>
      </c>
      <c r="AB314" s="124">
        <f t="shared" si="136"/>
        <v>0</v>
      </c>
      <c r="AC314" s="124">
        <f t="shared" si="137"/>
        <v>0</v>
      </c>
    </row>
    <row r="315" spans="2:29" s="114" customFormat="1">
      <c r="B315" s="115">
        <f t="shared" si="113"/>
        <v>-1.7400000000000619</v>
      </c>
      <c r="C315" s="124">
        <f t="shared" si="114"/>
        <v>1.8197008586097227E-2</v>
      </c>
      <c r="D315" s="124">
        <f t="shared" si="115"/>
        <v>504619.20816087112</v>
      </c>
      <c r="E315" s="124">
        <f t="shared" si="116"/>
        <v>1</v>
      </c>
      <c r="F315" s="124">
        <f t="shared" si="117"/>
        <v>1</v>
      </c>
      <c r="G315" s="124">
        <f t="shared" si="118"/>
        <v>498383.07663764793</v>
      </c>
      <c r="H315" s="124">
        <f t="shared" si="119"/>
        <v>1</v>
      </c>
      <c r="I315" s="124">
        <f t="shared" si="120"/>
        <v>1</v>
      </c>
      <c r="J315" s="124">
        <f t="shared" si="121"/>
        <v>2.9165303086539051E-5</v>
      </c>
      <c r="K315" s="124">
        <f t="shared" si="122"/>
        <v>0</v>
      </c>
      <c r="L315" s="124">
        <f t="shared" si="123"/>
        <v>0</v>
      </c>
      <c r="M315" s="120"/>
      <c r="N315" s="132">
        <f t="shared" si="111"/>
        <v>0.11433517698278688</v>
      </c>
      <c r="O315" s="124">
        <f t="shared" si="124"/>
        <v>50783.841832497077</v>
      </c>
      <c r="P315" s="124">
        <f t="shared" si="125"/>
        <v>1</v>
      </c>
      <c r="Q315" s="124">
        <f t="shared" si="126"/>
        <v>1</v>
      </c>
      <c r="R315" s="124">
        <f t="shared" si="127"/>
        <v>41186.74311985798</v>
      </c>
      <c r="S315" s="124">
        <f t="shared" si="128"/>
        <v>35705.790051034208</v>
      </c>
      <c r="T315" s="124">
        <f t="shared" si="129"/>
        <v>54509.185024082886</v>
      </c>
      <c r="U315" s="124">
        <f t="shared" si="130"/>
        <v>1</v>
      </c>
      <c r="V315" s="124">
        <f t="shared" si="131"/>
        <v>0</v>
      </c>
      <c r="W315" s="124">
        <f t="shared" si="132"/>
        <v>1</v>
      </c>
      <c r="X315" s="124">
        <f t="shared" si="133"/>
        <v>1</v>
      </c>
      <c r="Y315" s="124">
        <f t="shared" si="134"/>
        <v>0</v>
      </c>
      <c r="Z315" s="124">
        <f t="shared" si="135"/>
        <v>1</v>
      </c>
      <c r="AA315" s="124">
        <f t="shared" si="112"/>
        <v>9.4520192364595237E-4</v>
      </c>
      <c r="AB315" s="124">
        <f t="shared" si="136"/>
        <v>0</v>
      </c>
      <c r="AC315" s="124">
        <f t="shared" si="137"/>
        <v>0</v>
      </c>
    </row>
    <row r="316" spans="2:29" s="114" customFormat="1">
      <c r="B316" s="115">
        <f t="shared" si="113"/>
        <v>-1.7200000000000619</v>
      </c>
      <c r="C316" s="124">
        <f t="shared" si="114"/>
        <v>1.905460717962975E-2</v>
      </c>
      <c r="D316" s="124">
        <f t="shared" si="115"/>
        <v>496307.85987977113</v>
      </c>
      <c r="E316" s="124">
        <f t="shared" si="116"/>
        <v>1</v>
      </c>
      <c r="F316" s="124">
        <f t="shared" si="117"/>
        <v>1</v>
      </c>
      <c r="G316" s="124">
        <f t="shared" si="118"/>
        <v>488998.7836791522</v>
      </c>
      <c r="H316" s="124">
        <f t="shared" si="119"/>
        <v>1</v>
      </c>
      <c r="I316" s="124">
        <f t="shared" si="120"/>
        <v>1</v>
      </c>
      <c r="J316" s="124">
        <f t="shared" si="121"/>
        <v>4.1517070697310991E-5</v>
      </c>
      <c r="K316" s="124">
        <f t="shared" si="122"/>
        <v>0</v>
      </c>
      <c r="L316" s="124">
        <f t="shared" si="123"/>
        <v>0</v>
      </c>
      <c r="M316" s="120"/>
      <c r="N316" s="132">
        <f t="shared" si="111"/>
        <v>0.1197236278651283</v>
      </c>
      <c r="O316" s="124">
        <f t="shared" si="124"/>
        <v>51906.057717412608</v>
      </c>
      <c r="P316" s="124">
        <f t="shared" si="125"/>
        <v>1</v>
      </c>
      <c r="Q316" s="124">
        <f t="shared" si="126"/>
        <v>1</v>
      </c>
      <c r="R316" s="124">
        <f t="shared" si="127"/>
        <v>42146.51819620539</v>
      </c>
      <c r="S316" s="124">
        <f t="shared" si="128"/>
        <v>36310.132800981541</v>
      </c>
      <c r="T316" s="124">
        <f t="shared" si="129"/>
        <v>55630.519861744848</v>
      </c>
      <c r="U316" s="124">
        <f t="shared" si="130"/>
        <v>1</v>
      </c>
      <c r="V316" s="124">
        <f t="shared" si="131"/>
        <v>0</v>
      </c>
      <c r="W316" s="124">
        <f t="shared" si="132"/>
        <v>1</v>
      </c>
      <c r="X316" s="124">
        <f t="shared" si="133"/>
        <v>1</v>
      </c>
      <c r="Y316" s="124">
        <f t="shared" si="134"/>
        <v>0</v>
      </c>
      <c r="Z316" s="124">
        <f t="shared" si="135"/>
        <v>1</v>
      </c>
      <c r="AA316" s="124">
        <f t="shared" si="112"/>
        <v>9.0571342369278804E-4</v>
      </c>
      <c r="AB316" s="124">
        <f t="shared" si="136"/>
        <v>0</v>
      </c>
      <c r="AC316" s="124">
        <f t="shared" si="137"/>
        <v>0</v>
      </c>
    </row>
    <row r="317" spans="2:29" s="114" customFormat="1">
      <c r="B317" s="115">
        <f t="shared" si="113"/>
        <v>-1.7000000000000619</v>
      </c>
      <c r="C317" s="124">
        <f t="shared" si="114"/>
        <v>1.9952623149685947E-2</v>
      </c>
      <c r="D317" s="124">
        <f t="shared" si="115"/>
        <v>488088.99268346396</v>
      </c>
      <c r="E317" s="124">
        <f t="shared" si="116"/>
        <v>1</v>
      </c>
      <c r="F317" s="124">
        <f t="shared" si="117"/>
        <v>1</v>
      </c>
      <c r="G317" s="124">
        <f t="shared" si="118"/>
        <v>479824.80453087488</v>
      </c>
      <c r="H317" s="124">
        <f t="shared" si="119"/>
        <v>1</v>
      </c>
      <c r="I317" s="124">
        <f t="shared" si="120"/>
        <v>1</v>
      </c>
      <c r="J317" s="124">
        <f t="shared" si="121"/>
        <v>5.5001781024263368E-5</v>
      </c>
      <c r="K317" s="124">
        <f t="shared" si="122"/>
        <v>0</v>
      </c>
      <c r="L317" s="124">
        <f t="shared" si="123"/>
        <v>0</v>
      </c>
      <c r="M317" s="120"/>
      <c r="N317" s="132">
        <f t="shared" si="111"/>
        <v>0.12536602861379803</v>
      </c>
      <c r="O317" s="124">
        <f t="shared" si="124"/>
        <v>53054.052865446793</v>
      </c>
      <c r="P317" s="124">
        <f t="shared" si="125"/>
        <v>1</v>
      </c>
      <c r="Q317" s="124">
        <f t="shared" si="126"/>
        <v>1</v>
      </c>
      <c r="R317" s="124">
        <f t="shared" si="127"/>
        <v>43105.859719431035</v>
      </c>
      <c r="S317" s="124">
        <f t="shared" si="128"/>
        <v>36915.415229701081</v>
      </c>
      <c r="T317" s="124">
        <f t="shared" si="129"/>
        <v>56752.647724423514</v>
      </c>
      <c r="U317" s="124">
        <f t="shared" si="130"/>
        <v>1</v>
      </c>
      <c r="V317" s="124">
        <f t="shared" si="131"/>
        <v>0</v>
      </c>
      <c r="W317" s="124">
        <f t="shared" si="132"/>
        <v>1</v>
      </c>
      <c r="X317" s="124">
        <f t="shared" si="133"/>
        <v>1</v>
      </c>
      <c r="Y317" s="124">
        <f t="shared" si="134"/>
        <v>0</v>
      </c>
      <c r="Z317" s="124">
        <f t="shared" si="135"/>
        <v>1</v>
      </c>
      <c r="AA317" s="124">
        <f t="shared" si="112"/>
        <v>8.5659018573205296E-4</v>
      </c>
      <c r="AB317" s="124">
        <f t="shared" si="136"/>
        <v>0</v>
      </c>
      <c r="AC317" s="124">
        <f t="shared" si="137"/>
        <v>0</v>
      </c>
    </row>
    <row r="318" spans="2:29" s="114" customFormat="1">
      <c r="B318" s="115">
        <f t="shared" si="113"/>
        <v>-1.6800000000000619</v>
      </c>
      <c r="C318" s="124">
        <f t="shared" si="114"/>
        <v>2.0892961308537409E-2</v>
      </c>
      <c r="D318" s="124">
        <f t="shared" si="115"/>
        <v>479962.69500986714</v>
      </c>
      <c r="E318" s="124">
        <f t="shared" si="116"/>
        <v>1</v>
      </c>
      <c r="F318" s="124">
        <f t="shared" si="117"/>
        <v>1</v>
      </c>
      <c r="G318" s="124">
        <f t="shared" si="118"/>
        <v>470874.17049410834</v>
      </c>
      <c r="H318" s="124">
        <f t="shared" si="119"/>
        <v>1</v>
      </c>
      <c r="I318" s="124">
        <f t="shared" si="120"/>
        <v>1</v>
      </c>
      <c r="J318" s="124">
        <f t="shared" si="121"/>
        <v>6.8933417541914183E-5</v>
      </c>
      <c r="K318" s="124">
        <f t="shared" si="122"/>
        <v>0</v>
      </c>
      <c r="L318" s="124">
        <f t="shared" si="123"/>
        <v>0</v>
      </c>
      <c r="M318" s="120"/>
      <c r="N318" s="132">
        <f t="shared" si="111"/>
        <v>0.13127434751727382</v>
      </c>
      <c r="O318" s="124">
        <f t="shared" si="124"/>
        <v>54228.368613857994</v>
      </c>
      <c r="P318" s="124">
        <f t="shared" si="125"/>
        <v>1</v>
      </c>
      <c r="Q318" s="124">
        <f t="shared" si="126"/>
        <v>1</v>
      </c>
      <c r="R318" s="124">
        <f t="shared" si="127"/>
        <v>44063.069194530071</v>
      </c>
      <c r="S318" s="124">
        <f t="shared" si="128"/>
        <v>37524.463624821641</v>
      </c>
      <c r="T318" s="124">
        <f t="shared" si="129"/>
        <v>57876.06964171381</v>
      </c>
      <c r="U318" s="124">
        <f t="shared" si="130"/>
        <v>1</v>
      </c>
      <c r="V318" s="124">
        <f t="shared" si="131"/>
        <v>0</v>
      </c>
      <c r="W318" s="124">
        <f t="shared" si="132"/>
        <v>1</v>
      </c>
      <c r="X318" s="124">
        <f t="shared" si="133"/>
        <v>1</v>
      </c>
      <c r="Y318" s="124">
        <f t="shared" si="134"/>
        <v>0</v>
      </c>
      <c r="Z318" s="124">
        <f t="shared" si="135"/>
        <v>1</v>
      </c>
      <c r="AA318" s="124">
        <f t="shared" si="112"/>
        <v>7.9933375155283727E-4</v>
      </c>
      <c r="AB318" s="124">
        <f t="shared" si="136"/>
        <v>0</v>
      </c>
      <c r="AC318" s="124">
        <f t="shared" si="137"/>
        <v>0</v>
      </c>
    </row>
    <row r="319" spans="2:29" s="114" customFormat="1">
      <c r="B319" s="115">
        <f t="shared" si="113"/>
        <v>-1.6600000000000619</v>
      </c>
      <c r="C319" s="124">
        <f t="shared" si="114"/>
        <v>2.1877616239492404E-2</v>
      </c>
      <c r="D319" s="124">
        <f t="shared" si="115"/>
        <v>471929.02867784613</v>
      </c>
      <c r="E319" s="124">
        <f t="shared" si="116"/>
        <v>1</v>
      </c>
      <c r="F319" s="124">
        <f t="shared" si="117"/>
        <v>1</v>
      </c>
      <c r="G319" s="124">
        <f t="shared" si="118"/>
        <v>462157.98039385729</v>
      </c>
      <c r="H319" s="124">
        <f t="shared" si="119"/>
        <v>1</v>
      </c>
      <c r="I319" s="124">
        <f t="shared" si="120"/>
        <v>1</v>
      </c>
      <c r="J319" s="124">
        <f t="shared" si="121"/>
        <v>8.2559670514565834E-5</v>
      </c>
      <c r="K319" s="124">
        <f t="shared" si="122"/>
        <v>0</v>
      </c>
      <c r="L319" s="124">
        <f t="shared" si="123"/>
        <v>0</v>
      </c>
      <c r="M319" s="120"/>
      <c r="N319" s="132">
        <f t="shared" si="111"/>
        <v>0.13746111691209217</v>
      </c>
      <c r="O319" s="124">
        <f t="shared" si="124"/>
        <v>55429.554756641162</v>
      </c>
      <c r="P319" s="124">
        <f t="shared" si="125"/>
        <v>1</v>
      </c>
      <c r="Q319" s="124">
        <f t="shared" si="126"/>
        <v>1</v>
      </c>
      <c r="R319" s="124">
        <f t="shared" si="127"/>
        <v>45016.797505097529</v>
      </c>
      <c r="S319" s="124">
        <f t="shared" si="128"/>
        <v>38140.407440886469</v>
      </c>
      <c r="T319" s="124">
        <f t="shared" si="129"/>
        <v>59001.718088304711</v>
      </c>
      <c r="U319" s="124">
        <f t="shared" si="130"/>
        <v>1</v>
      </c>
      <c r="V319" s="124">
        <f t="shared" si="131"/>
        <v>0</v>
      </c>
      <c r="W319" s="124">
        <f t="shared" si="132"/>
        <v>1</v>
      </c>
      <c r="X319" s="124">
        <f t="shared" si="133"/>
        <v>1</v>
      </c>
      <c r="Y319" s="124">
        <f t="shared" si="134"/>
        <v>0</v>
      </c>
      <c r="Z319" s="124">
        <f t="shared" si="135"/>
        <v>1</v>
      </c>
      <c r="AA319" s="124">
        <f t="shared" si="112"/>
        <v>7.3567167140408394E-4</v>
      </c>
      <c r="AB319" s="124">
        <f t="shared" si="136"/>
        <v>0</v>
      </c>
      <c r="AC319" s="124">
        <f t="shared" si="137"/>
        <v>0</v>
      </c>
    </row>
    <row r="320" spans="2:29" s="114" customFormat="1">
      <c r="B320" s="115">
        <f t="shared" si="113"/>
        <v>-1.6400000000000619</v>
      </c>
      <c r="C320" s="124">
        <f t="shared" si="114"/>
        <v>2.2908676527674456E-2</v>
      </c>
      <c r="D320" s="124">
        <f t="shared" si="115"/>
        <v>463988.02905349754</v>
      </c>
      <c r="E320" s="124">
        <f t="shared" si="116"/>
        <v>1</v>
      </c>
      <c r="F320" s="124">
        <f t="shared" si="117"/>
        <v>1</v>
      </c>
      <c r="G320" s="124">
        <f t="shared" si="118"/>
        <v>453685.20874791907</v>
      </c>
      <c r="H320" s="124">
        <f t="shared" si="119"/>
        <v>1</v>
      </c>
      <c r="I320" s="124">
        <f t="shared" si="120"/>
        <v>1</v>
      </c>
      <c r="J320" s="124">
        <f t="shared" si="121"/>
        <v>9.5104535334227932E-5</v>
      </c>
      <c r="K320" s="124">
        <f t="shared" si="122"/>
        <v>0</v>
      </c>
      <c r="L320" s="124">
        <f t="shared" si="123"/>
        <v>0</v>
      </c>
      <c r="M320" s="120"/>
      <c r="N320" s="132">
        <f t="shared" si="111"/>
        <v>0.14393945976561401</v>
      </c>
      <c r="O320" s="124">
        <f t="shared" si="124"/>
        <v>56658.169552522988</v>
      </c>
      <c r="P320" s="124">
        <f t="shared" si="125"/>
        <v>1</v>
      </c>
      <c r="Q320" s="124">
        <f t="shared" si="126"/>
        <v>1</v>
      </c>
      <c r="R320" s="124">
        <f t="shared" si="127"/>
        <v>45966.084639533976</v>
      </c>
      <c r="S320" s="124">
        <f t="shared" si="128"/>
        <v>38766.629154359318</v>
      </c>
      <c r="T320" s="124">
        <f t="shared" si="129"/>
        <v>60130.961019099166</v>
      </c>
      <c r="U320" s="124">
        <f t="shared" si="130"/>
        <v>1</v>
      </c>
      <c r="V320" s="124">
        <f t="shared" si="131"/>
        <v>0</v>
      </c>
      <c r="W320" s="124">
        <f t="shared" si="132"/>
        <v>1</v>
      </c>
      <c r="X320" s="124">
        <f t="shared" si="133"/>
        <v>1</v>
      </c>
      <c r="Y320" s="124">
        <f t="shared" si="134"/>
        <v>0</v>
      </c>
      <c r="Z320" s="124">
        <f t="shared" si="135"/>
        <v>1</v>
      </c>
      <c r="AA320" s="124">
        <f t="shared" si="112"/>
        <v>6.6747849184861055E-4</v>
      </c>
      <c r="AB320" s="124">
        <f t="shared" si="136"/>
        <v>0</v>
      </c>
      <c r="AC320" s="124">
        <f t="shared" si="137"/>
        <v>0</v>
      </c>
    </row>
    <row r="321" spans="2:29" s="114" customFormat="1">
      <c r="B321" s="115">
        <f t="shared" si="113"/>
        <v>-1.6200000000000618</v>
      </c>
      <c r="C321" s="124">
        <f t="shared" si="114"/>
        <v>2.3988329190191483E-2</v>
      </c>
      <c r="D321" s="124">
        <f t="shared" si="115"/>
        <v>456139.70523359382</v>
      </c>
      <c r="E321" s="124">
        <f t="shared" si="116"/>
        <v>1</v>
      </c>
      <c r="F321" s="124">
        <f t="shared" si="117"/>
        <v>1</v>
      </c>
      <c r="G321" s="124">
        <f t="shared" si="118"/>
        <v>445462.5387328919</v>
      </c>
      <c r="H321" s="124">
        <f t="shared" si="119"/>
        <v>1</v>
      </c>
      <c r="I321" s="124">
        <f t="shared" si="120"/>
        <v>1</v>
      </c>
      <c r="J321" s="124">
        <f t="shared" si="121"/>
        <v>1.0581598610598351E-4</v>
      </c>
      <c r="K321" s="124">
        <f t="shared" si="122"/>
        <v>0</v>
      </c>
      <c r="L321" s="124">
        <f t="shared" si="123"/>
        <v>0</v>
      </c>
      <c r="M321" s="120"/>
      <c r="N321" s="132">
        <f t="shared" si="111"/>
        <v>0.15072311751159831</v>
      </c>
      <c r="O321" s="124">
        <f t="shared" si="124"/>
        <v>57914.779727353125</v>
      </c>
      <c r="P321" s="124">
        <f t="shared" si="125"/>
        <v>1</v>
      </c>
      <c r="Q321" s="124">
        <f t="shared" si="126"/>
        <v>1</v>
      </c>
      <c r="R321" s="124">
        <f t="shared" si="127"/>
        <v>46910.390820392931</v>
      </c>
      <c r="S321" s="124">
        <f t="shared" si="128"/>
        <v>39406.709660950204</v>
      </c>
      <c r="T321" s="124">
        <f t="shared" si="129"/>
        <v>61265.598285044362</v>
      </c>
      <c r="U321" s="124">
        <f t="shared" si="130"/>
        <v>1</v>
      </c>
      <c r="V321" s="124">
        <f t="shared" si="131"/>
        <v>0</v>
      </c>
      <c r="W321" s="124">
        <f t="shared" si="132"/>
        <v>1</v>
      </c>
      <c r="X321" s="124">
        <f t="shared" si="133"/>
        <v>1</v>
      </c>
      <c r="Y321" s="124">
        <f t="shared" si="134"/>
        <v>0</v>
      </c>
      <c r="Z321" s="124">
        <f t="shared" si="135"/>
        <v>1</v>
      </c>
      <c r="AA321" s="124">
        <f t="shared" si="112"/>
        <v>5.9669152215265997E-4</v>
      </c>
      <c r="AB321" s="124">
        <f t="shared" si="136"/>
        <v>0</v>
      </c>
      <c r="AC321" s="124">
        <f t="shared" si="137"/>
        <v>0</v>
      </c>
    </row>
    <row r="322" spans="2:29" s="114" customFormat="1">
      <c r="B322" s="115">
        <f t="shared" si="113"/>
        <v>-1.6000000000000618</v>
      </c>
      <c r="C322" s="124">
        <f t="shared" si="114"/>
        <v>2.5118864315092214E-2</v>
      </c>
      <c r="D322" s="124">
        <f t="shared" si="115"/>
        <v>448384.04024595814</v>
      </c>
      <c r="E322" s="124">
        <f t="shared" si="116"/>
        <v>1</v>
      </c>
      <c r="F322" s="124">
        <f t="shared" si="117"/>
        <v>1</v>
      </c>
      <c r="G322" s="124">
        <f t="shared" si="118"/>
        <v>437494.22555651848</v>
      </c>
      <c r="H322" s="124">
        <f t="shared" si="119"/>
        <v>1</v>
      </c>
      <c r="I322" s="124">
        <f t="shared" si="120"/>
        <v>1</v>
      </c>
      <c r="J322" s="124">
        <f t="shared" si="121"/>
        <v>1.1401585620597473E-4</v>
      </c>
      <c r="K322" s="124">
        <f t="shared" si="122"/>
        <v>0</v>
      </c>
      <c r="L322" s="124">
        <f t="shared" si="123"/>
        <v>0</v>
      </c>
      <c r="M322" s="120"/>
      <c r="N322" s="132">
        <f t="shared" si="111"/>
        <v>0.15782647919762502</v>
      </c>
      <c r="O322" s="124">
        <f t="shared" si="124"/>
        <v>59199.960470689286</v>
      </c>
      <c r="P322" s="124">
        <f t="shared" si="125"/>
        <v>1</v>
      </c>
      <c r="Q322" s="124">
        <f t="shared" si="126"/>
        <v>1</v>
      </c>
      <c r="R322" s="124">
        <f t="shared" si="127"/>
        <v>47849.618793078327</v>
      </c>
      <c r="S322" s="124">
        <f t="shared" si="128"/>
        <v>40064.370939632507</v>
      </c>
      <c r="T322" s="124">
        <f t="shared" si="129"/>
        <v>62407.850767602824</v>
      </c>
      <c r="U322" s="124">
        <f t="shared" si="130"/>
        <v>1</v>
      </c>
      <c r="V322" s="124">
        <f t="shared" si="131"/>
        <v>0</v>
      </c>
      <c r="W322" s="124">
        <f t="shared" si="132"/>
        <v>1</v>
      </c>
      <c r="X322" s="124">
        <f t="shared" si="133"/>
        <v>1</v>
      </c>
      <c r="Y322" s="124">
        <f t="shared" si="134"/>
        <v>0</v>
      </c>
      <c r="Z322" s="124">
        <f t="shared" si="135"/>
        <v>1</v>
      </c>
      <c r="AA322" s="124">
        <f t="shared" si="112"/>
        <v>5.2522599946885266E-4</v>
      </c>
      <c r="AB322" s="124">
        <f t="shared" si="136"/>
        <v>0</v>
      </c>
      <c r="AC322" s="124">
        <f t="shared" si="137"/>
        <v>0</v>
      </c>
    </row>
    <row r="323" spans="2:29" s="114" customFormat="1">
      <c r="B323" s="115">
        <f t="shared" si="113"/>
        <v>-1.5800000000000618</v>
      </c>
      <c r="C323" s="124">
        <f t="shared" si="114"/>
        <v>2.6302679918950071E-2</v>
      </c>
      <c r="D323" s="124">
        <f t="shared" si="115"/>
        <v>440720.9912664842</v>
      </c>
      <c r="E323" s="124">
        <f t="shared" si="116"/>
        <v>1</v>
      </c>
      <c r="F323" s="124">
        <f t="shared" si="117"/>
        <v>1</v>
      </c>
      <c r="G323" s="124">
        <f t="shared" si="118"/>
        <v>429781.99564403604</v>
      </c>
      <c r="H323" s="124">
        <f t="shared" si="119"/>
        <v>1</v>
      </c>
      <c r="I323" s="124">
        <f t="shared" si="120"/>
        <v>1</v>
      </c>
      <c r="J323" s="124">
        <f t="shared" si="121"/>
        <v>1.1914853395465919E-4</v>
      </c>
      <c r="K323" s="124">
        <f t="shared" si="122"/>
        <v>0</v>
      </c>
      <c r="L323" s="124">
        <f t="shared" si="123"/>
        <v>0</v>
      </c>
      <c r="M323" s="120"/>
      <c r="N323" s="132">
        <f t="shared" si="111"/>
        <v>0.16526461200619463</v>
      </c>
      <c r="O323" s="124">
        <f t="shared" si="124"/>
        <v>60514.295426379409</v>
      </c>
      <c r="P323" s="124">
        <f t="shared" si="125"/>
        <v>1</v>
      </c>
      <c r="Q323" s="124">
        <f t="shared" si="126"/>
        <v>1</v>
      </c>
      <c r="R323" s="124">
        <f t="shared" si="127"/>
        <v>48784.127411427718</v>
      </c>
      <c r="S323" s="124">
        <f t="shared" si="128"/>
        <v>40743.417612839134</v>
      </c>
      <c r="T323" s="124">
        <f t="shared" si="129"/>
        <v>63560.342715160245</v>
      </c>
      <c r="U323" s="124">
        <f t="shared" si="130"/>
        <v>1</v>
      </c>
      <c r="V323" s="124">
        <f t="shared" si="131"/>
        <v>0</v>
      </c>
      <c r="W323" s="124">
        <f t="shared" si="132"/>
        <v>1</v>
      </c>
      <c r="X323" s="124">
        <f t="shared" si="133"/>
        <v>1</v>
      </c>
      <c r="Y323" s="124">
        <f t="shared" si="134"/>
        <v>0</v>
      </c>
      <c r="Z323" s="124">
        <f t="shared" si="135"/>
        <v>1</v>
      </c>
      <c r="AA323" s="124">
        <f t="shared" si="112"/>
        <v>4.5489421053295377E-4</v>
      </c>
      <c r="AB323" s="124">
        <f t="shared" si="136"/>
        <v>0</v>
      </c>
      <c r="AC323" s="124">
        <f t="shared" si="137"/>
        <v>0</v>
      </c>
    </row>
    <row r="324" spans="2:29" s="114" customFormat="1">
      <c r="B324" s="115">
        <f t="shared" si="113"/>
        <v>-1.5600000000000618</v>
      </c>
      <c r="C324" s="124">
        <f t="shared" si="114"/>
        <v>2.7542287033377733E-2</v>
      </c>
      <c r="D324" s="124">
        <f t="shared" si="115"/>
        <v>433150.48985252343</v>
      </c>
      <c r="E324" s="124">
        <f t="shared" si="116"/>
        <v>1</v>
      </c>
      <c r="F324" s="124">
        <f t="shared" si="117"/>
        <v>1</v>
      </c>
      <c r="G324" s="124">
        <f t="shared" si="118"/>
        <v>422324.98660343216</v>
      </c>
      <c r="H324" s="124">
        <f t="shared" si="119"/>
        <v>1</v>
      </c>
      <c r="I324" s="124">
        <f t="shared" si="120"/>
        <v>1</v>
      </c>
      <c r="J324" s="124">
        <f t="shared" si="121"/>
        <v>1.2082478782683108E-4</v>
      </c>
      <c r="K324" s="124">
        <f t="shared" si="122"/>
        <v>0</v>
      </c>
      <c r="L324" s="124">
        <f t="shared" si="123"/>
        <v>0</v>
      </c>
      <c r="M324" s="120"/>
      <c r="N324" s="132">
        <f t="shared" si="111"/>
        <v>0.17305329321424182</v>
      </c>
      <c r="O324" s="124">
        <f t="shared" si="124"/>
        <v>61858.376676941683</v>
      </c>
      <c r="P324" s="124">
        <f t="shared" si="125"/>
        <v>1</v>
      </c>
      <c r="Q324" s="124">
        <f t="shared" si="126"/>
        <v>1</v>
      </c>
      <c r="R324" s="124">
        <f t="shared" si="127"/>
        <v>49714.736981661728</v>
      </c>
      <c r="S324" s="124">
        <f t="shared" si="128"/>
        <v>41447.678852020246</v>
      </c>
      <c r="T324" s="124">
        <f t="shared" si="129"/>
        <v>64726.077861832557</v>
      </c>
      <c r="U324" s="124">
        <f t="shared" si="130"/>
        <v>1</v>
      </c>
      <c r="V324" s="124">
        <f t="shared" si="131"/>
        <v>0</v>
      </c>
      <c r="W324" s="124">
        <f t="shared" si="132"/>
        <v>1</v>
      </c>
      <c r="X324" s="124">
        <f t="shared" si="133"/>
        <v>1</v>
      </c>
      <c r="Y324" s="124">
        <f t="shared" si="134"/>
        <v>0</v>
      </c>
      <c r="Z324" s="124">
        <f t="shared" si="135"/>
        <v>1</v>
      </c>
      <c r="AA324" s="124">
        <f t="shared" si="112"/>
        <v>3.8733280687330797E-4</v>
      </c>
      <c r="AB324" s="124">
        <f t="shared" si="136"/>
        <v>0</v>
      </c>
      <c r="AC324" s="124">
        <f t="shared" si="137"/>
        <v>0</v>
      </c>
    </row>
    <row r="325" spans="2:29" s="114" customFormat="1">
      <c r="B325" s="115">
        <f t="shared" si="113"/>
        <v>-1.5400000000000618</v>
      </c>
      <c r="C325" s="124">
        <f t="shared" si="114"/>
        <v>2.884031503126195E-2</v>
      </c>
      <c r="D325" s="124">
        <f t="shared" si="115"/>
        <v>425672.44219233835</v>
      </c>
      <c r="E325" s="124">
        <f t="shared" si="116"/>
        <v>1</v>
      </c>
      <c r="F325" s="124">
        <f t="shared" si="117"/>
        <v>1</v>
      </c>
      <c r="G325" s="124">
        <f t="shared" si="118"/>
        <v>415119.73224404373</v>
      </c>
      <c r="H325" s="124">
        <f t="shared" si="119"/>
        <v>1</v>
      </c>
      <c r="I325" s="124">
        <f t="shared" si="120"/>
        <v>1</v>
      </c>
      <c r="J325" s="124">
        <f t="shared" si="121"/>
        <v>1.1885703881233229E-4</v>
      </c>
      <c r="K325" s="124">
        <f t="shared" si="122"/>
        <v>0</v>
      </c>
      <c r="L325" s="124">
        <f t="shared" si="123"/>
        <v>0</v>
      </c>
      <c r="M325" s="120"/>
      <c r="N325" s="132">
        <f t="shared" si="111"/>
        <v>0.18120904365885565</v>
      </c>
      <c r="O325" s="124">
        <f t="shared" si="124"/>
        <v>63232.804721540764</v>
      </c>
      <c r="P325" s="124">
        <f t="shared" si="125"/>
        <v>1</v>
      </c>
      <c r="Q325" s="124">
        <f t="shared" si="126"/>
        <v>1</v>
      </c>
      <c r="R325" s="124">
        <f t="shared" si="127"/>
        <v>50642.727075367387</v>
      </c>
      <c r="S325" s="124">
        <f t="shared" si="128"/>
        <v>42180.951835043415</v>
      </c>
      <c r="T325" s="124">
        <f t="shared" si="129"/>
        <v>65908.409959127384</v>
      </c>
      <c r="U325" s="124">
        <f t="shared" si="130"/>
        <v>1</v>
      </c>
      <c r="V325" s="124">
        <f t="shared" si="131"/>
        <v>0</v>
      </c>
      <c r="W325" s="124">
        <f t="shared" si="132"/>
        <v>1</v>
      </c>
      <c r="X325" s="124">
        <f t="shared" si="133"/>
        <v>1</v>
      </c>
      <c r="Y325" s="124">
        <f t="shared" si="134"/>
        <v>0</v>
      </c>
      <c r="Z325" s="124">
        <f t="shared" si="135"/>
        <v>1</v>
      </c>
      <c r="AA325" s="124">
        <f t="shared" si="112"/>
        <v>3.2394200038275722E-4</v>
      </c>
      <c r="AB325" s="124">
        <f t="shared" si="136"/>
        <v>0</v>
      </c>
      <c r="AC325" s="124">
        <f t="shared" si="137"/>
        <v>0</v>
      </c>
    </row>
    <row r="326" spans="2:29" s="114" customFormat="1">
      <c r="B326" s="115">
        <f t="shared" si="113"/>
        <v>-1.5200000000000617</v>
      </c>
      <c r="C326" s="124">
        <f t="shared" si="114"/>
        <v>3.0199517204015848E-2</v>
      </c>
      <c r="D326" s="124">
        <f t="shared" si="115"/>
        <v>418286.72937028977</v>
      </c>
      <c r="E326" s="124">
        <f t="shared" si="116"/>
        <v>1</v>
      </c>
      <c r="F326" s="124">
        <f t="shared" si="117"/>
        <v>1</v>
      </c>
      <c r="G326" s="124">
        <f t="shared" si="118"/>
        <v>408160.19598584599</v>
      </c>
      <c r="H326" s="124">
        <f t="shared" si="119"/>
        <v>1</v>
      </c>
      <c r="I326" s="124">
        <f t="shared" si="120"/>
        <v>1</v>
      </c>
      <c r="J326" s="124">
        <f t="shared" si="121"/>
        <v>1.1328274062661008E-4</v>
      </c>
      <c r="K326" s="124">
        <f t="shared" si="122"/>
        <v>0</v>
      </c>
      <c r="L326" s="124">
        <f t="shared" si="123"/>
        <v>0</v>
      </c>
      <c r="M326" s="120"/>
      <c r="N326" s="132">
        <f t="shared" si="111"/>
        <v>0.18974916278018952</v>
      </c>
      <c r="O326" s="124">
        <f t="shared" si="124"/>
        <v>64638.188447366978</v>
      </c>
      <c r="P326" s="124">
        <f t="shared" si="125"/>
        <v>1</v>
      </c>
      <c r="Q326" s="124">
        <f t="shared" si="126"/>
        <v>1</v>
      </c>
      <c r="R326" s="124">
        <f t="shared" si="127"/>
        <v>51569.827687398203</v>
      </c>
      <c r="S326" s="124">
        <f t="shared" si="128"/>
        <v>42946.947682208331</v>
      </c>
      <c r="T326" s="124">
        <f t="shared" si="129"/>
        <v>67111.00835873562</v>
      </c>
      <c r="U326" s="124">
        <f t="shared" si="130"/>
        <v>1</v>
      </c>
      <c r="V326" s="124">
        <f t="shared" si="131"/>
        <v>0</v>
      </c>
      <c r="W326" s="124">
        <f t="shared" si="132"/>
        <v>1</v>
      </c>
      <c r="X326" s="124">
        <f t="shared" si="133"/>
        <v>1</v>
      </c>
      <c r="Y326" s="124">
        <f t="shared" si="134"/>
        <v>0</v>
      </c>
      <c r="Z326" s="124">
        <f t="shared" si="135"/>
        <v>1</v>
      </c>
      <c r="AA326" s="124">
        <f t="shared" si="112"/>
        <v>2.6583958531740807E-4</v>
      </c>
      <c r="AB326" s="124">
        <f t="shared" si="136"/>
        <v>0</v>
      </c>
      <c r="AC326" s="124">
        <f t="shared" si="137"/>
        <v>0</v>
      </c>
    </row>
    <row r="327" spans="2:29" s="114" customFormat="1">
      <c r="B327" s="115">
        <f t="shared" si="113"/>
        <v>-1.5000000000000617</v>
      </c>
      <c r="C327" s="124">
        <f t="shared" si="114"/>
        <v>3.1622776601679288E-2</v>
      </c>
      <c r="D327" s="124">
        <f t="shared" si="115"/>
        <v>410993.207647426</v>
      </c>
      <c r="E327" s="124">
        <f t="shared" si="116"/>
        <v>1</v>
      </c>
      <c r="F327" s="124">
        <f t="shared" si="117"/>
        <v>1</v>
      </c>
      <c r="G327" s="124">
        <f t="shared" si="118"/>
        <v>401437.85482420458</v>
      </c>
      <c r="H327" s="124">
        <f t="shared" si="119"/>
        <v>1</v>
      </c>
      <c r="I327" s="124">
        <f t="shared" si="120"/>
        <v>1</v>
      </c>
      <c r="J327" s="124">
        <f t="shared" si="121"/>
        <v>1.0437322021348631E-4</v>
      </c>
      <c r="K327" s="124">
        <f t="shared" si="122"/>
        <v>0</v>
      </c>
      <c r="L327" s="124">
        <f t="shared" si="123"/>
        <v>0</v>
      </c>
      <c r="M327" s="120"/>
      <c r="N327" s="132">
        <f t="shared" si="111"/>
        <v>0.19869176531589372</v>
      </c>
      <c r="O327" s="124">
        <f t="shared" si="124"/>
        <v>66075.145094217689</v>
      </c>
      <c r="P327" s="124">
        <f t="shared" si="125"/>
        <v>1</v>
      </c>
      <c r="Q327" s="124">
        <f t="shared" si="126"/>
        <v>1</v>
      </c>
      <c r="R327" s="124">
        <f t="shared" si="127"/>
        <v>52498.204694427433</v>
      </c>
      <c r="S327" s="124">
        <f t="shared" si="128"/>
        <v>43749.240506044596</v>
      </c>
      <c r="T327" s="124">
        <f t="shared" si="129"/>
        <v>68337.819258399919</v>
      </c>
      <c r="U327" s="124">
        <f t="shared" si="130"/>
        <v>1</v>
      </c>
      <c r="V327" s="124">
        <f t="shared" si="131"/>
        <v>0</v>
      </c>
      <c r="W327" s="124">
        <f t="shared" si="132"/>
        <v>1</v>
      </c>
      <c r="X327" s="124">
        <f t="shared" si="133"/>
        <v>1</v>
      </c>
      <c r="Y327" s="124">
        <f t="shared" si="134"/>
        <v>0</v>
      </c>
      <c r="Z327" s="124">
        <f t="shared" si="135"/>
        <v>1</v>
      </c>
      <c r="AA327" s="124">
        <f t="shared" si="112"/>
        <v>2.1383184696346222E-4</v>
      </c>
      <c r="AB327" s="124">
        <f t="shared" si="136"/>
        <v>0</v>
      </c>
      <c r="AC327" s="124">
        <f t="shared" si="137"/>
        <v>0</v>
      </c>
    </row>
    <row r="328" spans="2:29" s="114" customFormat="1">
      <c r="B328" s="115">
        <f t="shared" si="113"/>
        <v>-1.4800000000000617</v>
      </c>
      <c r="C328" s="124">
        <f t="shared" si="114"/>
        <v>3.3113112148254388E-2</v>
      </c>
      <c r="D328" s="124">
        <f t="shared" si="115"/>
        <v>403791.70875710464</v>
      </c>
      <c r="E328" s="124">
        <f t="shared" si="116"/>
        <v>1</v>
      </c>
      <c r="F328" s="124">
        <f t="shared" si="117"/>
        <v>1</v>
      </c>
      <c r="G328" s="124">
        <f t="shared" si="118"/>
        <v>394941.8346305617</v>
      </c>
      <c r="H328" s="124">
        <f t="shared" si="119"/>
        <v>1</v>
      </c>
      <c r="I328" s="124">
        <f t="shared" si="120"/>
        <v>1</v>
      </c>
      <c r="J328" s="124">
        <f t="shared" si="121"/>
        <v>9.2626339244657421E-5</v>
      </c>
      <c r="K328" s="124">
        <f t="shared" si="122"/>
        <v>0</v>
      </c>
      <c r="L328" s="124">
        <f t="shared" si="123"/>
        <v>0</v>
      </c>
      <c r="M328" s="120"/>
      <c r="N328" s="132">
        <f t="shared" si="111"/>
        <v>0.20805581972490184</v>
      </c>
      <c r="O328" s="124">
        <f t="shared" si="124"/>
        <v>67544.300212089191</v>
      </c>
      <c r="P328" s="124">
        <f t="shared" si="125"/>
        <v>1</v>
      </c>
      <c r="Q328" s="124">
        <f t="shared" si="126"/>
        <v>1</v>
      </c>
      <c r="R328" s="124">
        <f t="shared" si="127"/>
        <v>53430.440569673687</v>
      </c>
      <c r="S328" s="124">
        <f t="shared" si="128"/>
        <v>44591.219929217994</v>
      </c>
      <c r="T328" s="124">
        <f t="shared" si="129"/>
        <v>69593.023172192479</v>
      </c>
      <c r="U328" s="124">
        <f t="shared" si="130"/>
        <v>1</v>
      </c>
      <c r="V328" s="124">
        <f t="shared" si="131"/>
        <v>0</v>
      </c>
      <c r="W328" s="124">
        <f t="shared" si="132"/>
        <v>1</v>
      </c>
      <c r="X328" s="124">
        <f t="shared" si="133"/>
        <v>1</v>
      </c>
      <c r="Y328" s="124">
        <f t="shared" si="134"/>
        <v>0</v>
      </c>
      <c r="Z328" s="124">
        <f t="shared" si="135"/>
        <v>1</v>
      </c>
      <c r="AA328" s="124">
        <f t="shared" si="112"/>
        <v>1.684024358807753E-4</v>
      </c>
      <c r="AB328" s="124">
        <f t="shared" si="136"/>
        <v>0</v>
      </c>
      <c r="AC328" s="124">
        <f t="shared" si="137"/>
        <v>0</v>
      </c>
    </row>
    <row r="329" spans="2:29" s="114" customFormat="1">
      <c r="B329" s="115">
        <f t="shared" si="113"/>
        <v>-1.4600000000000617</v>
      </c>
      <c r="C329" s="124">
        <f t="shared" si="114"/>
        <v>3.4673685045248225E-2</v>
      </c>
      <c r="D329" s="124">
        <f t="shared" si="115"/>
        <v>396682.04021527816</v>
      </c>
      <c r="E329" s="124">
        <f t="shared" si="116"/>
        <v>1</v>
      </c>
      <c r="F329" s="124">
        <f t="shared" si="117"/>
        <v>1</v>
      </c>
      <c r="G329" s="124">
        <f t="shared" si="118"/>
        <v>388659.09601134463</v>
      </c>
      <c r="H329" s="124">
        <f t="shared" si="119"/>
        <v>1</v>
      </c>
      <c r="I329" s="124">
        <f t="shared" si="120"/>
        <v>1</v>
      </c>
      <c r="J329" s="124">
        <f t="shared" si="121"/>
        <v>7.8742587679439332E-5</v>
      </c>
      <c r="K329" s="124">
        <f t="shared" si="122"/>
        <v>0</v>
      </c>
      <c r="L329" s="124">
        <f t="shared" si="123"/>
        <v>0</v>
      </c>
      <c r="M329" s="120"/>
      <c r="N329" s="132">
        <f t="shared" si="111"/>
        <v>0.21786118842207619</v>
      </c>
      <c r="O329" s="124">
        <f t="shared" si="124"/>
        <v>69046.287611583422</v>
      </c>
      <c r="P329" s="124">
        <f t="shared" si="125"/>
        <v>1</v>
      </c>
      <c r="Q329" s="124">
        <f t="shared" si="126"/>
        <v>1</v>
      </c>
      <c r="R329" s="124">
        <f t="shared" si="127"/>
        <v>54369.511239431922</v>
      </c>
      <c r="S329" s="124">
        <f t="shared" si="128"/>
        <v>45476.047173535</v>
      </c>
      <c r="T329" s="124">
        <f t="shared" si="129"/>
        <v>70880.98912222017</v>
      </c>
      <c r="U329" s="124">
        <f t="shared" si="130"/>
        <v>1</v>
      </c>
      <c r="V329" s="124">
        <f t="shared" si="131"/>
        <v>0</v>
      </c>
      <c r="W329" s="124">
        <f t="shared" si="132"/>
        <v>1</v>
      </c>
      <c r="X329" s="124">
        <f t="shared" si="133"/>
        <v>1</v>
      </c>
      <c r="Y329" s="124">
        <f t="shared" si="134"/>
        <v>0</v>
      </c>
      <c r="Z329" s="124">
        <f t="shared" si="135"/>
        <v>1</v>
      </c>
      <c r="AA329" s="124">
        <f t="shared" si="112"/>
        <v>1.297192612450347E-4</v>
      </c>
      <c r="AB329" s="124">
        <f t="shared" si="136"/>
        <v>0</v>
      </c>
      <c r="AC329" s="124">
        <f t="shared" si="137"/>
        <v>0</v>
      </c>
    </row>
    <row r="330" spans="2:29" s="114" customFormat="1">
      <c r="B330" s="115">
        <f t="shared" si="113"/>
        <v>-1.4400000000000617</v>
      </c>
      <c r="C330" s="124">
        <f t="shared" si="114"/>
        <v>3.6307805477004969E-2</v>
      </c>
      <c r="D330" s="124">
        <f t="shared" si="115"/>
        <v>389663.98564505624</v>
      </c>
      <c r="E330" s="124">
        <f t="shared" si="116"/>
        <v>1</v>
      </c>
      <c r="F330" s="124">
        <f t="shared" si="117"/>
        <v>1</v>
      </c>
      <c r="G330" s="124">
        <f t="shared" si="118"/>
        <v>382574.66826813668</v>
      </c>
      <c r="H330" s="124">
        <f t="shared" si="119"/>
        <v>1</v>
      </c>
      <c r="I330" s="124">
        <f t="shared" si="120"/>
        <v>1</v>
      </c>
      <c r="J330" s="124">
        <f t="shared" si="121"/>
        <v>6.3585601194740795E-5</v>
      </c>
      <c r="K330" s="124">
        <f t="shared" si="122"/>
        <v>0</v>
      </c>
      <c r="L330" s="124">
        <f t="shared" si="123"/>
        <v>0</v>
      </c>
      <c r="M330" s="120"/>
      <c r="N330" s="132">
        <f t="shared" si="111"/>
        <v>0.22812866990905212</v>
      </c>
      <c r="O330" s="124">
        <f t="shared" si="124"/>
        <v>70581.749306941347</v>
      </c>
      <c r="P330" s="124">
        <f t="shared" si="125"/>
        <v>1</v>
      </c>
      <c r="Q330" s="124">
        <f t="shared" si="126"/>
        <v>1</v>
      </c>
      <c r="R330" s="124">
        <f t="shared" si="127"/>
        <v>55318.759841201841</v>
      </c>
      <c r="S330" s="124">
        <f t="shared" si="128"/>
        <v>46406.614615265207</v>
      </c>
      <c r="T330" s="124">
        <f t="shared" si="129"/>
        <v>72206.225980993579</v>
      </c>
      <c r="U330" s="124">
        <f t="shared" si="130"/>
        <v>1</v>
      </c>
      <c r="V330" s="124">
        <f t="shared" si="131"/>
        <v>0</v>
      </c>
      <c r="W330" s="124">
        <f t="shared" si="132"/>
        <v>1</v>
      </c>
      <c r="X330" s="124">
        <f t="shared" si="133"/>
        <v>1</v>
      </c>
      <c r="Y330" s="124">
        <f t="shared" si="134"/>
        <v>0</v>
      </c>
      <c r="Z330" s="124">
        <f t="shared" si="135"/>
        <v>1</v>
      </c>
      <c r="AA330" s="124">
        <f t="shared" si="112"/>
        <v>9.7658439226454123E-5</v>
      </c>
      <c r="AB330" s="124">
        <f t="shared" si="136"/>
        <v>0</v>
      </c>
      <c r="AC330" s="124">
        <f t="shared" si="137"/>
        <v>0</v>
      </c>
    </row>
    <row r="331" spans="2:29" s="114" customFormat="1">
      <c r="B331" s="115">
        <f t="shared" si="113"/>
        <v>-1.4200000000000617</v>
      </c>
      <c r="C331" s="124">
        <f t="shared" si="114"/>
        <v>3.8018939632050712E-2</v>
      </c>
      <c r="D331" s="124">
        <f t="shared" si="115"/>
        <v>382737.30511511781</v>
      </c>
      <c r="E331" s="124">
        <f t="shared" si="116"/>
        <v>1</v>
      </c>
      <c r="F331" s="124">
        <f t="shared" si="117"/>
        <v>1</v>
      </c>
      <c r="G331" s="124">
        <f t="shared" si="118"/>
        <v>376671.92726901831</v>
      </c>
      <c r="H331" s="124">
        <f t="shared" si="119"/>
        <v>1</v>
      </c>
      <c r="I331" s="124">
        <f t="shared" si="120"/>
        <v>1</v>
      </c>
      <c r="J331" s="124">
        <f t="shared" si="121"/>
        <v>4.8129467859744998E-5</v>
      </c>
      <c r="K331" s="124">
        <f t="shared" si="122"/>
        <v>0</v>
      </c>
      <c r="L331" s="124">
        <f t="shared" si="123"/>
        <v>0</v>
      </c>
      <c r="M331" s="120"/>
      <c r="N331" s="132">
        <f t="shared" si="111"/>
        <v>0.23888004289064871</v>
      </c>
      <c r="O331" s="124">
        <f t="shared" si="124"/>
        <v>72151.335451514096</v>
      </c>
      <c r="P331" s="124">
        <f t="shared" si="125"/>
        <v>1</v>
      </c>
      <c r="Q331" s="124">
        <f t="shared" si="126"/>
        <v>1</v>
      </c>
      <c r="R331" s="124">
        <f t="shared" si="127"/>
        <v>56281.867976793481</v>
      </c>
      <c r="S331" s="124">
        <f t="shared" si="128"/>
        <v>47385.508547063524</v>
      </c>
      <c r="T331" s="124">
        <f t="shared" si="129"/>
        <v>73573.331331543231</v>
      </c>
      <c r="U331" s="124">
        <f t="shared" si="130"/>
        <v>1</v>
      </c>
      <c r="V331" s="124">
        <f t="shared" si="131"/>
        <v>0</v>
      </c>
      <c r="W331" s="124">
        <f t="shared" si="132"/>
        <v>1</v>
      </c>
      <c r="X331" s="124">
        <f t="shared" si="133"/>
        <v>1</v>
      </c>
      <c r="Y331" s="124">
        <f t="shared" si="134"/>
        <v>0</v>
      </c>
      <c r="Z331" s="124">
        <f t="shared" si="135"/>
        <v>1</v>
      </c>
      <c r="AA331" s="124">
        <f t="shared" si="112"/>
        <v>7.184337376243582E-5</v>
      </c>
      <c r="AB331" s="124">
        <f t="shared" si="136"/>
        <v>0</v>
      </c>
      <c r="AC331" s="124">
        <f t="shared" si="137"/>
        <v>0</v>
      </c>
    </row>
    <row r="332" spans="2:29" s="114" customFormat="1">
      <c r="B332" s="115">
        <f t="shared" si="113"/>
        <v>-1.4000000000000616</v>
      </c>
      <c r="C332" s="124">
        <f t="shared" si="114"/>
        <v>3.9810717055344072E-2</v>
      </c>
      <c r="D332" s="124">
        <f t="shared" si="115"/>
        <v>375901.73549157742</v>
      </c>
      <c r="E332" s="124">
        <f t="shared" si="116"/>
        <v>1</v>
      </c>
      <c r="F332" s="124">
        <f t="shared" si="117"/>
        <v>1</v>
      </c>
      <c r="G332" s="124">
        <f t="shared" si="118"/>
        <v>370932.9113337957</v>
      </c>
      <c r="H332" s="124">
        <f t="shared" si="119"/>
        <v>1</v>
      </c>
      <c r="I332" s="124">
        <f t="shared" si="120"/>
        <v>1</v>
      </c>
      <c r="J332" s="124">
        <f t="shared" si="121"/>
        <v>3.3396408981917224E-5</v>
      </c>
      <c r="K332" s="124">
        <f t="shared" si="122"/>
        <v>0</v>
      </c>
      <c r="L332" s="124">
        <f t="shared" si="123"/>
        <v>0</v>
      </c>
      <c r="M332" s="120"/>
      <c r="N332" s="132">
        <f t="shared" si="111"/>
        <v>0.25013811247042161</v>
      </c>
      <c r="O332" s="124">
        <f t="shared" si="124"/>
        <v>73755.704265484936</v>
      </c>
      <c r="P332" s="124">
        <f t="shared" si="125"/>
        <v>1</v>
      </c>
      <c r="Q332" s="124">
        <f t="shared" si="126"/>
        <v>1</v>
      </c>
      <c r="R332" s="124">
        <f t="shared" si="127"/>
        <v>57262.824862427035</v>
      </c>
      <c r="S332" s="124">
        <f t="shared" si="128"/>
        <v>48414.97478950915</v>
      </c>
      <c r="T332" s="124">
        <f t="shared" si="129"/>
        <v>74986.938163214785</v>
      </c>
      <c r="U332" s="124">
        <f t="shared" si="130"/>
        <v>1</v>
      </c>
      <c r="V332" s="124">
        <f t="shared" si="131"/>
        <v>0</v>
      </c>
      <c r="W332" s="124">
        <f t="shared" si="132"/>
        <v>1</v>
      </c>
      <c r="X332" s="124">
        <f t="shared" si="133"/>
        <v>1</v>
      </c>
      <c r="Y332" s="124">
        <f t="shared" si="134"/>
        <v>0</v>
      </c>
      <c r="Z332" s="124">
        <f t="shared" si="135"/>
        <v>1</v>
      </c>
      <c r="AA332" s="124">
        <f t="shared" si="112"/>
        <v>5.1696196956600431E-5</v>
      </c>
      <c r="AB332" s="124">
        <f t="shared" si="136"/>
        <v>0</v>
      </c>
      <c r="AC332" s="124">
        <f t="shared" si="137"/>
        <v>0</v>
      </c>
    </row>
    <row r="333" spans="2:29" s="114" customFormat="1">
      <c r="B333" s="115">
        <f t="shared" si="113"/>
        <v>-1.3800000000000616</v>
      </c>
      <c r="C333" s="124">
        <f t="shared" si="114"/>
        <v>4.1686938347027608E-2</v>
      </c>
      <c r="D333" s="124">
        <f t="shared" si="115"/>
        <v>369156.99080284958</v>
      </c>
      <c r="E333" s="124">
        <f t="shared" si="116"/>
        <v>1</v>
      </c>
      <c r="F333" s="124">
        <f t="shared" si="117"/>
        <v>1</v>
      </c>
      <c r="G333" s="124">
        <f t="shared" si="118"/>
        <v>365338.6676436729</v>
      </c>
      <c r="H333" s="124">
        <f t="shared" si="119"/>
        <v>1</v>
      </c>
      <c r="I333" s="124">
        <f t="shared" si="120"/>
        <v>1</v>
      </c>
      <c r="J333" s="124">
        <f t="shared" si="121"/>
        <v>2.0389347874782682E-5</v>
      </c>
      <c r="K333" s="124">
        <f t="shared" si="122"/>
        <v>0</v>
      </c>
      <c r="L333" s="124">
        <f t="shared" si="123"/>
        <v>0</v>
      </c>
      <c r="M333" s="120"/>
      <c r="N333" s="132">
        <f t="shared" si="111"/>
        <v>0.26192675852334513</v>
      </c>
      <c r="O333" s="124">
        <f t="shared" si="124"/>
        <v>75395.521955665812</v>
      </c>
      <c r="P333" s="124">
        <f t="shared" si="125"/>
        <v>1</v>
      </c>
      <c r="Q333" s="124">
        <f t="shared" si="126"/>
        <v>1</v>
      </c>
      <c r="R333" s="124">
        <f t="shared" si="127"/>
        <v>58265.89457639226</v>
      </c>
      <c r="S333" s="124">
        <f t="shared" si="128"/>
        <v>49496.886756791173</v>
      </c>
      <c r="T333" s="124">
        <f t="shared" si="129"/>
        <v>76451.659690302782</v>
      </c>
      <c r="U333" s="124">
        <f t="shared" si="130"/>
        <v>1</v>
      </c>
      <c r="V333" s="124">
        <f t="shared" si="131"/>
        <v>0</v>
      </c>
      <c r="W333" s="124">
        <f t="shared" si="132"/>
        <v>1</v>
      </c>
      <c r="X333" s="124">
        <f t="shared" si="133"/>
        <v>1</v>
      </c>
      <c r="Y333" s="124">
        <f t="shared" si="134"/>
        <v>0</v>
      </c>
      <c r="Z333" s="124">
        <f t="shared" si="135"/>
        <v>1</v>
      </c>
      <c r="AA333" s="124">
        <f t="shared" si="112"/>
        <v>3.6498101004845135E-5</v>
      </c>
      <c r="AB333" s="124">
        <f t="shared" si="136"/>
        <v>0</v>
      </c>
      <c r="AC333" s="124">
        <f t="shared" si="137"/>
        <v>0</v>
      </c>
    </row>
    <row r="334" spans="2:29" s="114" customFormat="1">
      <c r="B334" s="115">
        <f t="shared" si="113"/>
        <v>-1.3600000000000616</v>
      </c>
      <c r="C334" s="124">
        <f t="shared" si="114"/>
        <v>4.3651583224010394E-2</v>
      </c>
      <c r="D334" s="124">
        <f t="shared" si="115"/>
        <v>362502.76261706493</v>
      </c>
      <c r="E334" s="124">
        <f t="shared" si="116"/>
        <v>1</v>
      </c>
      <c r="F334" s="124">
        <f t="shared" si="117"/>
        <v>1</v>
      </c>
      <c r="G334" s="124">
        <f t="shared" si="118"/>
        <v>359869.62030246493</v>
      </c>
      <c r="H334" s="124">
        <f t="shared" si="119"/>
        <v>1</v>
      </c>
      <c r="I334" s="124">
        <f t="shared" si="120"/>
        <v>1</v>
      </c>
      <c r="J334" s="124">
        <f t="shared" si="121"/>
        <v>1.0024410835715649E-5</v>
      </c>
      <c r="K334" s="124">
        <f t="shared" si="122"/>
        <v>0</v>
      </c>
      <c r="L334" s="124">
        <f t="shared" si="123"/>
        <v>0</v>
      </c>
      <c r="M334" s="120"/>
      <c r="N334" s="132">
        <f t="shared" si="111"/>
        <v>0.274270986348229</v>
      </c>
      <c r="O334" s="124">
        <f t="shared" si="124"/>
        <v>77071.462627186716</v>
      </c>
      <c r="P334" s="124">
        <f t="shared" si="125"/>
        <v>1</v>
      </c>
      <c r="Q334" s="124">
        <f t="shared" si="126"/>
        <v>1</v>
      </c>
      <c r="R334" s="124">
        <f t="shared" si="127"/>
        <v>59295.581406756857</v>
      </c>
      <c r="S334" s="124">
        <f t="shared" si="128"/>
        <v>50632.715599557472</v>
      </c>
      <c r="T334" s="124">
        <f t="shared" si="129"/>
        <v>77972.032571627889</v>
      </c>
      <c r="U334" s="124">
        <f t="shared" si="130"/>
        <v>1</v>
      </c>
      <c r="V334" s="124">
        <f t="shared" si="131"/>
        <v>0</v>
      </c>
      <c r="W334" s="124">
        <f t="shared" si="132"/>
        <v>1</v>
      </c>
      <c r="X334" s="124">
        <f t="shared" si="133"/>
        <v>1</v>
      </c>
      <c r="Y334" s="124">
        <f t="shared" si="134"/>
        <v>0</v>
      </c>
      <c r="Z334" s="124">
        <f t="shared" si="135"/>
        <v>1</v>
      </c>
      <c r="AA334" s="124">
        <f t="shared" si="112"/>
        <v>2.5454594289823601E-5</v>
      </c>
      <c r="AB334" s="124">
        <f t="shared" si="136"/>
        <v>0</v>
      </c>
      <c r="AC334" s="124">
        <f t="shared" si="137"/>
        <v>0</v>
      </c>
    </row>
    <row r="335" spans="2:29" s="114" customFormat="1">
      <c r="B335" s="115">
        <f t="shared" si="113"/>
        <v>-1.3400000000000616</v>
      </c>
      <c r="C335" s="124">
        <f t="shared" si="114"/>
        <v>4.5708818961481004E-2</v>
      </c>
      <c r="D335" s="124">
        <f t="shared" si="115"/>
        <v>355938.72043159307</v>
      </c>
      <c r="E335" s="124">
        <f t="shared" si="116"/>
        <v>1</v>
      </c>
      <c r="F335" s="124">
        <f t="shared" si="117"/>
        <v>1</v>
      </c>
      <c r="G335" s="124">
        <f t="shared" si="118"/>
        <v>354505.95009387564</v>
      </c>
      <c r="H335" s="124">
        <f t="shared" si="119"/>
        <v>1</v>
      </c>
      <c r="I335" s="124">
        <f t="shared" si="120"/>
        <v>1</v>
      </c>
      <c r="J335" s="124">
        <f t="shared" si="121"/>
        <v>3.0684739014163531E-6</v>
      </c>
      <c r="K335" s="124">
        <f t="shared" si="122"/>
        <v>0</v>
      </c>
      <c r="L335" s="124">
        <f t="shared" si="123"/>
        <v>0</v>
      </c>
      <c r="M335" s="120"/>
      <c r="N335" s="132">
        <f t="shared" si="111"/>
        <v>0.28719697970730912</v>
      </c>
      <c r="O335" s="124">
        <f t="shared" si="124"/>
        <v>78784.208186905787</v>
      </c>
      <c r="P335" s="124">
        <f t="shared" si="125"/>
        <v>1</v>
      </c>
      <c r="Q335" s="124">
        <f t="shared" si="126"/>
        <v>1</v>
      </c>
      <c r="R335" s="124">
        <f t="shared" si="127"/>
        <v>60356.593118738791</v>
      </c>
      <c r="S335" s="124">
        <f t="shared" si="128"/>
        <v>51823.502119481913</v>
      </c>
      <c r="T335" s="124">
        <f t="shared" si="129"/>
        <v>79552.458823275432</v>
      </c>
      <c r="U335" s="124">
        <f t="shared" si="130"/>
        <v>1</v>
      </c>
      <c r="V335" s="124">
        <f t="shared" si="131"/>
        <v>0</v>
      </c>
      <c r="W335" s="124">
        <f t="shared" si="132"/>
        <v>1</v>
      </c>
      <c r="X335" s="124">
        <f t="shared" si="133"/>
        <v>1</v>
      </c>
      <c r="Y335" s="124">
        <f t="shared" si="134"/>
        <v>0</v>
      </c>
      <c r="Z335" s="124">
        <f t="shared" si="135"/>
        <v>1</v>
      </c>
      <c r="AA335" s="124">
        <f t="shared" si="112"/>
        <v>1.7761444775630898E-5</v>
      </c>
      <c r="AB335" s="124">
        <f t="shared" si="136"/>
        <v>0</v>
      </c>
      <c r="AC335" s="124">
        <f t="shared" si="137"/>
        <v>0</v>
      </c>
    </row>
    <row r="336" spans="2:29" s="114" customFormat="1">
      <c r="B336" s="115">
        <f t="shared" si="113"/>
        <v>-1.3200000000000616</v>
      </c>
      <c r="C336" s="124">
        <f t="shared" si="114"/>
        <v>4.7863009232257045E-2</v>
      </c>
      <c r="D336" s="124">
        <f t="shared" si="115"/>
        <v>349464.51207416184</v>
      </c>
      <c r="E336" s="124">
        <f t="shared" si="116"/>
        <v>1</v>
      </c>
      <c r="F336" s="124">
        <f t="shared" si="117"/>
        <v>1</v>
      </c>
      <c r="G336" s="124">
        <f t="shared" si="118"/>
        <v>349227.97528141079</v>
      </c>
      <c r="H336" s="124">
        <f t="shared" si="119"/>
        <v>1</v>
      </c>
      <c r="I336" s="124">
        <f t="shared" si="120"/>
        <v>1</v>
      </c>
      <c r="J336" s="124">
        <f t="shared" si="121"/>
        <v>8.6467700111222547E-8</v>
      </c>
      <c r="K336" s="124">
        <f t="shared" si="122"/>
        <v>0</v>
      </c>
      <c r="L336" s="124">
        <f t="shared" si="123"/>
        <v>0</v>
      </c>
      <c r="M336" s="120"/>
      <c r="N336" s="132">
        <f t="shared" si="111"/>
        <v>0.30073215636551837</v>
      </c>
      <c r="O336" s="124">
        <f t="shared" si="124"/>
        <v>80534.448238375218</v>
      </c>
      <c r="P336" s="124">
        <f t="shared" si="125"/>
        <v>1</v>
      </c>
      <c r="Q336" s="124">
        <f t="shared" si="126"/>
        <v>1</v>
      </c>
      <c r="R336" s="124">
        <f t="shared" si="127"/>
        <v>61453.801803902556</v>
      </c>
      <c r="S336" s="124">
        <f t="shared" si="128"/>
        <v>53069.830269333557</v>
      </c>
      <c r="T336" s="124">
        <f t="shared" si="129"/>
        <v>81197.146753868205</v>
      </c>
      <c r="U336" s="124">
        <f t="shared" si="130"/>
        <v>1</v>
      </c>
      <c r="V336" s="124">
        <f t="shared" si="131"/>
        <v>0</v>
      </c>
      <c r="W336" s="124">
        <f t="shared" si="132"/>
        <v>1</v>
      </c>
      <c r="X336" s="124">
        <f t="shared" si="133"/>
        <v>1</v>
      </c>
      <c r="Y336" s="124">
        <f t="shared" si="134"/>
        <v>0</v>
      </c>
      <c r="Z336" s="124">
        <f t="shared" si="135"/>
        <v>1</v>
      </c>
      <c r="AA336" s="124">
        <f t="shared" si="112"/>
        <v>1.2667057191922106E-5</v>
      </c>
      <c r="AB336" s="124">
        <f t="shared" si="136"/>
        <v>0</v>
      </c>
      <c r="AC336" s="124">
        <f t="shared" si="137"/>
        <v>0</v>
      </c>
    </row>
    <row r="337" spans="2:29" s="114" customFormat="1">
      <c r="B337" s="115">
        <f t="shared" si="113"/>
        <v>-1.3000000000000616</v>
      </c>
      <c r="C337" s="124">
        <f t="shared" si="114"/>
        <v>5.0118723362720101E-2</v>
      </c>
      <c r="D337" s="124">
        <f t="shared" si="115"/>
        <v>343079.76411513938</v>
      </c>
      <c r="E337" s="124">
        <f t="shared" si="116"/>
        <v>1</v>
      </c>
      <c r="F337" s="124">
        <f t="shared" si="117"/>
        <v>1</v>
      </c>
      <c r="G337" s="124">
        <f t="shared" si="118"/>
        <v>344016.52255191212</v>
      </c>
      <c r="H337" s="124">
        <f t="shared" si="119"/>
        <v>1</v>
      </c>
      <c r="I337" s="124">
        <f t="shared" si="120"/>
        <v>1</v>
      </c>
      <c r="J337" s="124">
        <f t="shared" si="121"/>
        <v>1.4023266114616105E-6</v>
      </c>
      <c r="K337" s="124">
        <f t="shared" si="122"/>
        <v>0</v>
      </c>
      <c r="L337" s="124">
        <f t="shared" si="123"/>
        <v>0</v>
      </c>
      <c r="M337" s="120"/>
      <c r="N337" s="132">
        <f t="shared" si="111"/>
        <v>0.31490522624724121</v>
      </c>
      <c r="O337" s="124">
        <f t="shared" si="124"/>
        <v>82322.879968195266</v>
      </c>
      <c r="P337" s="124">
        <f t="shared" si="125"/>
        <v>1</v>
      </c>
      <c r="Q337" s="124">
        <f t="shared" si="126"/>
        <v>1</v>
      </c>
      <c r="R337" s="124">
        <f t="shared" si="127"/>
        <v>62592.201850131933</v>
      </c>
      <c r="S337" s="124">
        <f t="shared" si="128"/>
        <v>54371.802212895724</v>
      </c>
      <c r="T337" s="124">
        <f t="shared" si="129"/>
        <v>82910.051310597511</v>
      </c>
      <c r="U337" s="124">
        <f t="shared" si="130"/>
        <v>1</v>
      </c>
      <c r="V337" s="124">
        <f t="shared" si="131"/>
        <v>0</v>
      </c>
      <c r="W337" s="124">
        <f t="shared" si="132"/>
        <v>1</v>
      </c>
      <c r="X337" s="124">
        <f t="shared" si="133"/>
        <v>1</v>
      </c>
      <c r="Y337" s="124">
        <f t="shared" si="134"/>
        <v>0</v>
      </c>
      <c r="Z337" s="124">
        <f t="shared" si="135"/>
        <v>1</v>
      </c>
      <c r="AA337" s="124">
        <f t="shared" si="112"/>
        <v>9.5272762397672248E-6</v>
      </c>
      <c r="AB337" s="124">
        <f t="shared" si="136"/>
        <v>0</v>
      </c>
      <c r="AC337" s="124">
        <f t="shared" si="137"/>
        <v>0</v>
      </c>
    </row>
    <row r="338" spans="2:29" s="114" customFormat="1">
      <c r="B338" s="115">
        <f t="shared" si="113"/>
        <v>-1.2800000000000615</v>
      </c>
      <c r="C338" s="124">
        <f t="shared" si="114"/>
        <v>5.2480746024969813E-2</v>
      </c>
      <c r="D338" s="124">
        <f t="shared" si="115"/>
        <v>336784.0822904259</v>
      </c>
      <c r="E338" s="124">
        <f t="shared" si="116"/>
        <v>1</v>
      </c>
      <c r="F338" s="124">
        <f t="shared" si="117"/>
        <v>1</v>
      </c>
      <c r="G338" s="124">
        <f t="shared" si="118"/>
        <v>338853.27745495574</v>
      </c>
      <c r="H338" s="124">
        <f t="shared" si="119"/>
        <v>1</v>
      </c>
      <c r="I338" s="124">
        <f t="shared" si="120"/>
        <v>1</v>
      </c>
      <c r="J338" s="124">
        <f t="shared" si="121"/>
        <v>7.0763112499822888E-6</v>
      </c>
      <c r="K338" s="124">
        <f t="shared" si="122"/>
        <v>0</v>
      </c>
      <c r="L338" s="124">
        <f t="shared" si="123"/>
        <v>0</v>
      </c>
      <c r="M338" s="120"/>
      <c r="N338" s="132">
        <f t="shared" si="111"/>
        <v>0.3297462523339138</v>
      </c>
      <c r="O338" s="124">
        <f t="shared" si="124"/>
        <v>84150.208023603322</v>
      </c>
      <c r="P338" s="124">
        <f t="shared" si="125"/>
        <v>1</v>
      </c>
      <c r="Q338" s="124">
        <f t="shared" si="126"/>
        <v>1</v>
      </c>
      <c r="R338" s="124">
        <f t="shared" si="127"/>
        <v>63776.864490124099</v>
      </c>
      <c r="S338" s="124">
        <f t="shared" si="128"/>
        <v>55729.015113869886</v>
      </c>
      <c r="T338" s="124">
        <f t="shared" si="129"/>
        <v>84694.814302610001</v>
      </c>
      <c r="U338" s="124">
        <f t="shared" si="130"/>
        <v>1</v>
      </c>
      <c r="V338" s="124">
        <f t="shared" si="131"/>
        <v>0</v>
      </c>
      <c r="W338" s="124">
        <f t="shared" si="132"/>
        <v>1</v>
      </c>
      <c r="X338" s="124">
        <f t="shared" si="133"/>
        <v>1</v>
      </c>
      <c r="Y338" s="124">
        <f t="shared" si="134"/>
        <v>0</v>
      </c>
      <c r="Z338" s="124">
        <f t="shared" si="135"/>
        <v>1</v>
      </c>
      <c r="AA338" s="124">
        <f t="shared" si="112"/>
        <v>7.849109555079566E-6</v>
      </c>
      <c r="AB338" s="124">
        <f t="shared" si="136"/>
        <v>0</v>
      </c>
      <c r="AC338" s="124">
        <f t="shared" si="137"/>
        <v>0</v>
      </c>
    </row>
    <row r="339" spans="2:29" s="114" customFormat="1">
      <c r="B339" s="115">
        <f t="shared" si="113"/>
        <v>-1.2600000000000615</v>
      </c>
      <c r="C339" s="124">
        <f t="shared" si="114"/>
        <v>5.4954087385754649E-2</v>
      </c>
      <c r="D339" s="124">
        <f t="shared" si="115"/>
        <v>330577.05193450931</v>
      </c>
      <c r="E339" s="124">
        <f t="shared" si="116"/>
        <v>1</v>
      </c>
      <c r="F339" s="124">
        <f t="shared" si="117"/>
        <v>1</v>
      </c>
      <c r="G339" s="124">
        <f t="shared" si="118"/>
        <v>333721.10445325723</v>
      </c>
      <c r="H339" s="124">
        <f t="shared" si="119"/>
        <v>1</v>
      </c>
      <c r="I339" s="124">
        <f t="shared" si="120"/>
        <v>1</v>
      </c>
      <c r="J339" s="124">
        <f t="shared" si="121"/>
        <v>1.6900073333646034E-5</v>
      </c>
      <c r="K339" s="124">
        <f t="shared" si="122"/>
        <v>0</v>
      </c>
      <c r="L339" s="124">
        <f t="shared" si="123"/>
        <v>0</v>
      </c>
      <c r="M339" s="120"/>
      <c r="N339" s="132">
        <f t="shared" si="111"/>
        <v>0.34528671443163667</v>
      </c>
      <c r="O339" s="124">
        <f t="shared" si="124"/>
        <v>86017.144381144637</v>
      </c>
      <c r="P339" s="124">
        <f t="shared" si="125"/>
        <v>1</v>
      </c>
      <c r="Q339" s="124">
        <f t="shared" si="126"/>
        <v>1</v>
      </c>
      <c r="R339" s="124">
        <f t="shared" si="127"/>
        <v>65012.888353885995</v>
      </c>
      <c r="S339" s="124">
        <f t="shared" si="128"/>
        <v>57140.540044021531</v>
      </c>
      <c r="T339" s="124">
        <f t="shared" si="129"/>
        <v>86554.705063545072</v>
      </c>
      <c r="U339" s="124">
        <f t="shared" si="130"/>
        <v>1</v>
      </c>
      <c r="V339" s="124">
        <f t="shared" si="131"/>
        <v>0</v>
      </c>
      <c r="W339" s="124">
        <f t="shared" si="132"/>
        <v>1</v>
      </c>
      <c r="X339" s="124">
        <f t="shared" si="133"/>
        <v>1</v>
      </c>
      <c r="Y339" s="124">
        <f t="shared" si="134"/>
        <v>0</v>
      </c>
      <c r="Z339" s="124">
        <f t="shared" si="135"/>
        <v>1</v>
      </c>
      <c r="AA339" s="124">
        <f t="shared" si="112"/>
        <v>7.3205971692675252E-6</v>
      </c>
      <c r="AB339" s="124">
        <f t="shared" si="136"/>
        <v>0</v>
      </c>
      <c r="AC339" s="124">
        <f t="shared" si="137"/>
        <v>0</v>
      </c>
    </row>
    <row r="340" spans="2:29" s="114" customFormat="1">
      <c r="B340" s="115">
        <f t="shared" si="113"/>
        <v>-1.2400000000000615</v>
      </c>
      <c r="C340" s="124">
        <f t="shared" si="114"/>
        <v>5.7543993733707534E-2</v>
      </c>
      <c r="D340" s="124">
        <f t="shared" si="115"/>
        <v>324458.23842311749</v>
      </c>
      <c r="E340" s="124">
        <f t="shared" si="116"/>
        <v>1</v>
      </c>
      <c r="F340" s="124">
        <f t="shared" si="117"/>
        <v>1</v>
      </c>
      <c r="G340" s="124">
        <f t="shared" si="118"/>
        <v>328604.32795424009</v>
      </c>
      <c r="H340" s="124">
        <f t="shared" si="119"/>
        <v>1</v>
      </c>
      <c r="I340" s="124">
        <f t="shared" si="120"/>
        <v>1</v>
      </c>
      <c r="J340" s="124">
        <f t="shared" si="121"/>
        <v>3.0409414241057468E-5</v>
      </c>
      <c r="K340" s="124">
        <f t="shared" si="122"/>
        <v>0</v>
      </c>
      <c r="L340" s="124">
        <f t="shared" si="123"/>
        <v>0</v>
      </c>
      <c r="M340" s="120"/>
      <c r="N340" s="132">
        <f t="shared" si="111"/>
        <v>0.36155957594406535</v>
      </c>
      <c r="O340" s="124">
        <f t="shared" si="124"/>
        <v>87924.408206281805</v>
      </c>
      <c r="P340" s="124">
        <f t="shared" si="125"/>
        <v>1</v>
      </c>
      <c r="Q340" s="124">
        <f t="shared" si="126"/>
        <v>1</v>
      </c>
      <c r="R340" s="124">
        <f t="shared" si="127"/>
        <v>66305.345473714769</v>
      </c>
      <c r="S340" s="124">
        <f t="shared" si="128"/>
        <v>58604.903639425218</v>
      </c>
      <c r="T340" s="124">
        <f t="shared" si="129"/>
        <v>88492.562224036563</v>
      </c>
      <c r="U340" s="124">
        <f t="shared" si="130"/>
        <v>1</v>
      </c>
      <c r="V340" s="124">
        <f t="shared" si="131"/>
        <v>0</v>
      </c>
      <c r="W340" s="124">
        <f t="shared" si="132"/>
        <v>1</v>
      </c>
      <c r="X340" s="124">
        <f t="shared" si="133"/>
        <v>1</v>
      </c>
      <c r="Y340" s="124">
        <f t="shared" si="134"/>
        <v>0</v>
      </c>
      <c r="Z340" s="124">
        <f t="shared" si="135"/>
        <v>1</v>
      </c>
      <c r="AA340" s="124">
        <f t="shared" si="112"/>
        <v>7.8249768559444604E-6</v>
      </c>
      <c r="AB340" s="124">
        <f t="shared" si="136"/>
        <v>0</v>
      </c>
      <c r="AC340" s="124">
        <f t="shared" si="137"/>
        <v>0</v>
      </c>
    </row>
    <row r="341" spans="2:29" s="114" customFormat="1">
      <c r="B341" s="115">
        <f t="shared" si="113"/>
        <v>-1.2200000000000615</v>
      </c>
      <c r="C341" s="124">
        <f t="shared" si="114"/>
        <v>6.0255958607427225E-2</v>
      </c>
      <c r="D341" s="124">
        <f t="shared" si="115"/>
        <v>318427.1876249963</v>
      </c>
      <c r="E341" s="124">
        <f t="shared" si="116"/>
        <v>1</v>
      </c>
      <c r="F341" s="124">
        <f t="shared" si="117"/>
        <v>1</v>
      </c>
      <c r="G341" s="124">
        <f t="shared" si="118"/>
        <v>323488.96738419356</v>
      </c>
      <c r="H341" s="124">
        <f t="shared" si="119"/>
        <v>1</v>
      </c>
      <c r="I341" s="124">
        <f t="shared" si="120"/>
        <v>1</v>
      </c>
      <c r="J341" s="124">
        <f t="shared" si="121"/>
        <v>4.6913355343238615E-5</v>
      </c>
      <c r="K341" s="124">
        <f t="shared" si="122"/>
        <v>0</v>
      </c>
      <c r="L341" s="124">
        <f t="shared" si="123"/>
        <v>0</v>
      </c>
      <c r="M341" s="120"/>
      <c r="N341" s="132">
        <f t="shared" si="111"/>
        <v>0.37859935379220805</v>
      </c>
      <c r="O341" s="124">
        <f t="shared" si="124"/>
        <v>89872.725703803153</v>
      </c>
      <c r="P341" s="124">
        <f t="shared" si="125"/>
        <v>1</v>
      </c>
      <c r="Q341" s="124">
        <f t="shared" si="126"/>
        <v>1</v>
      </c>
      <c r="R341" s="124">
        <f t="shared" si="127"/>
        <v>67659.222274084983</v>
      </c>
      <c r="S341" s="124">
        <f t="shared" si="128"/>
        <v>60120.073379565889</v>
      </c>
      <c r="T341" s="124">
        <f t="shared" si="129"/>
        <v>90510.737384569045</v>
      </c>
      <c r="U341" s="124">
        <f t="shared" si="130"/>
        <v>1</v>
      </c>
      <c r="V341" s="124">
        <f t="shared" si="131"/>
        <v>0</v>
      </c>
      <c r="W341" s="124">
        <f t="shared" si="132"/>
        <v>1</v>
      </c>
      <c r="X341" s="124">
        <f t="shared" si="133"/>
        <v>1</v>
      </c>
      <c r="Y341" s="124">
        <f t="shared" si="134"/>
        <v>0</v>
      </c>
      <c r="Z341" s="124">
        <f t="shared" si="135"/>
        <v>1</v>
      </c>
      <c r="AA341" s="124">
        <f t="shared" si="112"/>
        <v>9.4383494942954088E-6</v>
      </c>
      <c r="AB341" s="124">
        <f t="shared" si="136"/>
        <v>0</v>
      </c>
      <c r="AC341" s="124">
        <f t="shared" si="137"/>
        <v>0</v>
      </c>
    </row>
    <row r="342" spans="2:29" s="114" customFormat="1">
      <c r="B342" s="115">
        <f t="shared" si="113"/>
        <v>-1.2000000000000615</v>
      </c>
      <c r="C342" s="124">
        <f t="shared" si="114"/>
        <v>6.3095734448010379E-2</v>
      </c>
      <c r="D342" s="124">
        <f t="shared" si="115"/>
        <v>312483.42636224173</v>
      </c>
      <c r="E342" s="124">
        <f t="shared" si="116"/>
        <v>1</v>
      </c>
      <c r="F342" s="124">
        <f t="shared" si="117"/>
        <v>1</v>
      </c>
      <c r="G342" s="124">
        <f t="shared" si="118"/>
        <v>318362.92140282807</v>
      </c>
      <c r="H342" s="124">
        <f t="shared" si="119"/>
        <v>1</v>
      </c>
      <c r="I342" s="124">
        <f t="shared" si="120"/>
        <v>1</v>
      </c>
      <c r="J342" s="124">
        <f t="shared" si="121"/>
        <v>6.5537011673994392E-5</v>
      </c>
      <c r="K342" s="124">
        <f t="shared" si="122"/>
        <v>0</v>
      </c>
      <c r="L342" s="124">
        <f t="shared" si="123"/>
        <v>0</v>
      </c>
      <c r="M342" s="120"/>
      <c r="N342" s="132">
        <f t="shared" si="111"/>
        <v>0.39644219162944372</v>
      </c>
      <c r="O342" s="124">
        <f t="shared" si="124"/>
        <v>91862.829958902323</v>
      </c>
      <c r="P342" s="124">
        <f t="shared" si="125"/>
        <v>1</v>
      </c>
      <c r="Q342" s="124">
        <f t="shared" si="126"/>
        <v>1</v>
      </c>
      <c r="R342" s="124">
        <f t="shared" si="127"/>
        <v>69079.355228536559</v>
      </c>
      <c r="S342" s="124">
        <f t="shared" si="128"/>
        <v>61683.447605377689</v>
      </c>
      <c r="T342" s="124">
        <f t="shared" si="129"/>
        <v>92611.04160560832</v>
      </c>
      <c r="U342" s="124">
        <f t="shared" si="130"/>
        <v>1</v>
      </c>
      <c r="V342" s="124">
        <f t="shared" si="131"/>
        <v>0</v>
      </c>
      <c r="W342" s="124">
        <f t="shared" si="132"/>
        <v>1</v>
      </c>
      <c r="X342" s="124">
        <f t="shared" si="133"/>
        <v>1</v>
      </c>
      <c r="Y342" s="124">
        <f t="shared" si="134"/>
        <v>0</v>
      </c>
      <c r="Z342" s="124">
        <f t="shared" si="135"/>
        <v>1</v>
      </c>
      <c r="AA342" s="124">
        <f t="shared" si="112"/>
        <v>1.2411165885457164E-5</v>
      </c>
      <c r="AB342" s="124">
        <f t="shared" si="136"/>
        <v>0</v>
      </c>
      <c r="AC342" s="124">
        <f t="shared" si="137"/>
        <v>0</v>
      </c>
    </row>
    <row r="343" spans="2:29" s="114" customFormat="1">
      <c r="B343" s="115">
        <f t="shared" si="113"/>
        <v>-1.1800000000000614</v>
      </c>
      <c r="C343" s="124">
        <f t="shared" si="114"/>
        <v>6.6069344800750218E-2</v>
      </c>
      <c r="D343" s="124">
        <f t="shared" si="115"/>
        <v>306626.46287869447</v>
      </c>
      <c r="E343" s="124">
        <f t="shared" si="116"/>
        <v>1</v>
      </c>
      <c r="F343" s="124">
        <f t="shared" si="117"/>
        <v>1</v>
      </c>
      <c r="G343" s="124">
        <f t="shared" si="118"/>
        <v>313216.09861589095</v>
      </c>
      <c r="H343" s="124">
        <f t="shared" si="119"/>
        <v>1</v>
      </c>
      <c r="I343" s="124">
        <f t="shared" si="120"/>
        <v>1</v>
      </c>
      <c r="J343" s="124">
        <f t="shared" si="121"/>
        <v>8.5274929207043175E-5</v>
      </c>
      <c r="K343" s="124">
        <f t="shared" si="122"/>
        <v>0</v>
      </c>
      <c r="L343" s="124">
        <f t="shared" si="123"/>
        <v>0</v>
      </c>
      <c r="M343" s="120"/>
      <c r="N343" s="132">
        <f t="shared" si="111"/>
        <v>0.41512593650705576</v>
      </c>
      <c r="O343" s="124">
        <f t="shared" si="124"/>
        <v>93895.460768808072</v>
      </c>
      <c r="P343" s="124">
        <f t="shared" si="125"/>
        <v>1</v>
      </c>
      <c r="Q343" s="124">
        <f t="shared" si="126"/>
        <v>1</v>
      </c>
      <c r="R343" s="124">
        <f t="shared" si="127"/>
        <v>70570.36108443285</v>
      </c>
      <c r="S343" s="124">
        <f t="shared" si="128"/>
        <v>63291.851615096166</v>
      </c>
      <c r="T343" s="124">
        <f t="shared" si="129"/>
        <v>94794.695761179522</v>
      </c>
      <c r="U343" s="124">
        <f t="shared" si="130"/>
        <v>1</v>
      </c>
      <c r="V343" s="124">
        <f t="shared" si="131"/>
        <v>0</v>
      </c>
      <c r="W343" s="124">
        <f t="shared" si="132"/>
        <v>1</v>
      </c>
      <c r="X343" s="124">
        <f t="shared" si="133"/>
        <v>1</v>
      </c>
      <c r="Y343" s="124">
        <f t="shared" si="134"/>
        <v>0</v>
      </c>
      <c r="Z343" s="124">
        <f t="shared" si="135"/>
        <v>1</v>
      </c>
      <c r="AA343" s="124">
        <f t="shared" si="112"/>
        <v>1.7134960085260963E-5</v>
      </c>
      <c r="AB343" s="124">
        <f t="shared" si="136"/>
        <v>0</v>
      </c>
      <c r="AC343" s="124">
        <f t="shared" si="137"/>
        <v>0</v>
      </c>
    </row>
    <row r="344" spans="2:29" s="114" customFormat="1">
      <c r="B344" s="115">
        <f t="shared" si="113"/>
        <v>-1.1600000000000614</v>
      </c>
      <c r="C344" s="124">
        <f t="shared" si="114"/>
        <v>6.9183097091883847E-2</v>
      </c>
      <c r="D344" s="124">
        <f t="shared" si="115"/>
        <v>300855.78731582232</v>
      </c>
      <c r="E344" s="124">
        <f t="shared" si="116"/>
        <v>1</v>
      </c>
      <c r="F344" s="124">
        <f t="shared" si="117"/>
        <v>1</v>
      </c>
      <c r="G344" s="124">
        <f t="shared" si="118"/>
        <v>308040.49448283418</v>
      </c>
      <c r="H344" s="124">
        <f t="shared" si="119"/>
        <v>1</v>
      </c>
      <c r="I344" s="124">
        <f t="shared" si="120"/>
        <v>1</v>
      </c>
      <c r="J344" s="124">
        <f t="shared" si="121"/>
        <v>1.0505105716101101E-4</v>
      </c>
      <c r="K344" s="124">
        <f t="shared" si="122"/>
        <v>0</v>
      </c>
      <c r="L344" s="124">
        <f t="shared" si="123"/>
        <v>0</v>
      </c>
      <c r="M344" s="120"/>
      <c r="N344" s="132">
        <f t="shared" si="111"/>
        <v>0.43469021915290335</v>
      </c>
      <c r="O344" s="124">
        <f t="shared" si="124"/>
        <v>95971.36446484561</v>
      </c>
      <c r="P344" s="124">
        <f t="shared" si="125"/>
        <v>1</v>
      </c>
      <c r="Q344" s="124">
        <f t="shared" si="126"/>
        <v>1</v>
      </c>
      <c r="R344" s="124">
        <f t="shared" si="127"/>
        <v>72136.561845525677</v>
      </c>
      <c r="S344" s="124">
        <f t="shared" si="128"/>
        <v>64941.541364847821</v>
      </c>
      <c r="T344" s="124">
        <f t="shared" si="129"/>
        <v>97062.285928859055</v>
      </c>
      <c r="U344" s="124">
        <f t="shared" si="130"/>
        <v>1</v>
      </c>
      <c r="V344" s="124">
        <f t="shared" si="131"/>
        <v>0</v>
      </c>
      <c r="W344" s="124">
        <f t="shared" si="132"/>
        <v>1</v>
      </c>
      <c r="X344" s="124">
        <f t="shared" si="133"/>
        <v>1</v>
      </c>
      <c r="Y344" s="124">
        <f t="shared" si="134"/>
        <v>0</v>
      </c>
      <c r="Z344" s="124">
        <f t="shared" si="135"/>
        <v>1</v>
      </c>
      <c r="AA344" s="124">
        <f t="shared" si="112"/>
        <v>2.4096767509130663E-5</v>
      </c>
      <c r="AB344" s="124">
        <f t="shared" si="136"/>
        <v>0</v>
      </c>
      <c r="AC344" s="124">
        <f t="shared" si="137"/>
        <v>0</v>
      </c>
    </row>
    <row r="345" spans="2:29" s="114" customFormat="1">
      <c r="B345" s="115">
        <f t="shared" si="113"/>
        <v>-1.1400000000000614</v>
      </c>
      <c r="C345" s="124">
        <f t="shared" si="114"/>
        <v>7.2443596007488759E-2</v>
      </c>
      <c r="D345" s="124">
        <f t="shared" si="115"/>
        <v>295170.872195579</v>
      </c>
      <c r="E345" s="124">
        <f t="shared" si="116"/>
        <v>1</v>
      </c>
      <c r="F345" s="124">
        <f t="shared" si="117"/>
        <v>1</v>
      </c>
      <c r="G345" s="124">
        <f t="shared" si="118"/>
        <v>302830.21638042515</v>
      </c>
      <c r="H345" s="124">
        <f t="shared" si="119"/>
        <v>1</v>
      </c>
      <c r="I345" s="124">
        <f t="shared" si="120"/>
        <v>1</v>
      </c>
      <c r="J345" s="124">
        <f t="shared" si="121"/>
        <v>1.2378138484788395E-4</v>
      </c>
      <c r="K345" s="124">
        <f t="shared" si="122"/>
        <v>0</v>
      </c>
      <c r="L345" s="124">
        <f t="shared" si="123"/>
        <v>0</v>
      </c>
      <c r="M345" s="120"/>
      <c r="N345" s="132">
        <f t="shared" si="111"/>
        <v>0.45517653803350711</v>
      </c>
      <c r="O345" s="124">
        <f t="shared" si="124"/>
        <v>98091.293724830102</v>
      </c>
      <c r="P345" s="124">
        <f t="shared" si="125"/>
        <v>1</v>
      </c>
      <c r="Q345" s="124">
        <f t="shared" si="126"/>
        <v>1</v>
      </c>
      <c r="R345" s="124">
        <f t="shared" si="127"/>
        <v>73781.905059579265</v>
      </c>
      <c r="S345" s="124">
        <f t="shared" si="128"/>
        <v>66628.216435768627</v>
      </c>
      <c r="T345" s="124">
        <f t="shared" si="129"/>
        <v>99413.725106910642</v>
      </c>
      <c r="U345" s="124">
        <f t="shared" si="130"/>
        <v>1</v>
      </c>
      <c r="V345" s="124">
        <f t="shared" si="131"/>
        <v>0</v>
      </c>
      <c r="W345" s="124">
        <f t="shared" si="132"/>
        <v>1</v>
      </c>
      <c r="X345" s="124">
        <f t="shared" si="133"/>
        <v>1</v>
      </c>
      <c r="Y345" s="124">
        <f t="shared" si="134"/>
        <v>0</v>
      </c>
      <c r="Z345" s="124">
        <f t="shared" si="135"/>
        <v>1</v>
      </c>
      <c r="AA345" s="124">
        <f t="shared" si="112"/>
        <v>3.3824517942798608E-5</v>
      </c>
      <c r="AB345" s="124">
        <f t="shared" si="136"/>
        <v>0</v>
      </c>
      <c r="AC345" s="124">
        <f t="shared" si="137"/>
        <v>0</v>
      </c>
    </row>
    <row r="346" spans="2:29" s="114" customFormat="1">
      <c r="B346" s="115">
        <f t="shared" si="113"/>
        <v>-1.1200000000000614</v>
      </c>
      <c r="C346" s="124">
        <f t="shared" si="114"/>
        <v>7.5857757502907644E-2</v>
      </c>
      <c r="D346" s="124">
        <f t="shared" si="115"/>
        <v>289571.17290967557</v>
      </c>
      <c r="E346" s="124">
        <f t="shared" si="116"/>
        <v>1</v>
      </c>
      <c r="F346" s="124">
        <f t="shared" si="117"/>
        <v>1</v>
      </c>
      <c r="G346" s="124">
        <f t="shared" si="118"/>
        <v>297581.46081921039</v>
      </c>
      <c r="H346" s="124">
        <f t="shared" si="119"/>
        <v>1</v>
      </c>
      <c r="I346" s="124">
        <f t="shared" si="120"/>
        <v>1</v>
      </c>
      <c r="J346" s="124">
        <f t="shared" si="121"/>
        <v>1.4043544380632834E-4</v>
      </c>
      <c r="K346" s="124">
        <f t="shared" si="122"/>
        <v>0</v>
      </c>
      <c r="L346" s="124">
        <f t="shared" si="123"/>
        <v>0</v>
      </c>
      <c r="M346" s="120"/>
      <c r="N346" s="132">
        <f t="shared" si="111"/>
        <v>0.47662834737786131</v>
      </c>
      <c r="O346" s="124">
        <f t="shared" si="124"/>
        <v>100256.00737569365</v>
      </c>
      <c r="P346" s="124">
        <f t="shared" si="125"/>
        <v>1</v>
      </c>
      <c r="Q346" s="124">
        <f t="shared" si="126"/>
        <v>1</v>
      </c>
      <c r="R346" s="124">
        <f t="shared" si="127"/>
        <v>75509.880377424779</v>
      </c>
      <c r="S346" s="124">
        <f t="shared" si="128"/>
        <v>68347.043990944105</v>
      </c>
      <c r="T346" s="124">
        <f t="shared" si="129"/>
        <v>101848.22264974999</v>
      </c>
      <c r="U346" s="124">
        <f t="shared" si="130"/>
        <v>1</v>
      </c>
      <c r="V346" s="124">
        <f t="shared" si="131"/>
        <v>0</v>
      </c>
      <c r="W346" s="124">
        <f t="shared" si="132"/>
        <v>1</v>
      </c>
      <c r="X346" s="124">
        <f t="shared" si="133"/>
        <v>1</v>
      </c>
      <c r="Y346" s="124">
        <f t="shared" si="134"/>
        <v>0</v>
      </c>
      <c r="Z346" s="124">
        <f t="shared" si="135"/>
        <v>1</v>
      </c>
      <c r="AA346" s="124">
        <f t="shared" si="112"/>
        <v>4.6827324959565222E-5</v>
      </c>
      <c r="AB346" s="124">
        <f t="shared" si="136"/>
        <v>0</v>
      </c>
      <c r="AC346" s="124">
        <f t="shared" si="137"/>
        <v>0</v>
      </c>
    </row>
    <row r="347" spans="2:29" s="114" customFormat="1">
      <c r="B347" s="115">
        <f t="shared" si="113"/>
        <v>-1.1000000000000614</v>
      </c>
      <c r="C347" s="124">
        <f t="shared" si="114"/>
        <v>7.9432823472416911E-2</v>
      </c>
      <c r="D347" s="124">
        <f t="shared" si="115"/>
        <v>284056.12821472256</v>
      </c>
      <c r="E347" s="124">
        <f t="shared" si="116"/>
        <v>1</v>
      </c>
      <c r="F347" s="124">
        <f t="shared" si="117"/>
        <v>1</v>
      </c>
      <c r="G347" s="124">
        <f t="shared" si="118"/>
        <v>292292.44848224812</v>
      </c>
      <c r="H347" s="124">
        <f t="shared" si="119"/>
        <v>1</v>
      </c>
      <c r="I347" s="124">
        <f t="shared" si="120"/>
        <v>1</v>
      </c>
      <c r="J347" s="124">
        <f t="shared" si="121"/>
        <v>1.5409329719815091E-4</v>
      </c>
      <c r="K347" s="124">
        <f t="shared" si="122"/>
        <v>0</v>
      </c>
      <c r="L347" s="124">
        <f t="shared" si="123"/>
        <v>0</v>
      </c>
      <c r="M347" s="120"/>
      <c r="N347" s="132">
        <f t="shared" si="111"/>
        <v>0.49909114934967969</v>
      </c>
      <c r="O347" s="124">
        <f t="shared" si="124"/>
        <v>102466.27018626068</v>
      </c>
      <c r="P347" s="124">
        <f t="shared" si="125"/>
        <v>1</v>
      </c>
      <c r="Q347" s="124">
        <f t="shared" si="126"/>
        <v>1</v>
      </c>
      <c r="R347" s="124">
        <f t="shared" si="127"/>
        <v>77323.433818664591</v>
      </c>
      <c r="S347" s="124">
        <f t="shared" si="128"/>
        <v>70092.695412592046</v>
      </c>
      <c r="T347" s="124">
        <f t="shared" si="129"/>
        <v>104364.26288587395</v>
      </c>
      <c r="U347" s="124">
        <f t="shared" si="130"/>
        <v>1</v>
      </c>
      <c r="V347" s="124">
        <f t="shared" si="131"/>
        <v>0</v>
      </c>
      <c r="W347" s="124">
        <f t="shared" si="132"/>
        <v>1</v>
      </c>
      <c r="X347" s="124">
        <f t="shared" si="133"/>
        <v>1</v>
      </c>
      <c r="Y347" s="124">
        <f t="shared" si="134"/>
        <v>0</v>
      </c>
      <c r="Z347" s="124">
        <f t="shared" si="135"/>
        <v>1</v>
      </c>
      <c r="AA347" s="124">
        <f t="shared" si="112"/>
        <v>6.3534961136783096E-5</v>
      </c>
      <c r="AB347" s="124">
        <f t="shared" si="136"/>
        <v>0</v>
      </c>
      <c r="AC347" s="124">
        <f t="shared" si="137"/>
        <v>0</v>
      </c>
    </row>
    <row r="348" spans="2:29" s="114" customFormat="1">
      <c r="B348" s="115">
        <f t="shared" si="113"/>
        <v>-1.0800000000000614</v>
      </c>
      <c r="C348" s="124">
        <f t="shared" si="114"/>
        <v>8.3176377110255328E-2</v>
      </c>
      <c r="D348" s="124">
        <f t="shared" si="115"/>
        <v>278625.16073269898</v>
      </c>
      <c r="E348" s="124">
        <f t="shared" si="116"/>
        <v>1</v>
      </c>
      <c r="F348" s="124">
        <f t="shared" si="117"/>
        <v>1</v>
      </c>
      <c r="G348" s="124">
        <f t="shared" si="118"/>
        <v>286963.32395908237</v>
      </c>
      <c r="H348" s="124">
        <f t="shared" si="119"/>
        <v>1</v>
      </c>
      <c r="I348" s="124">
        <f t="shared" si="120"/>
        <v>1</v>
      </c>
      <c r="J348" s="124">
        <f t="shared" si="121"/>
        <v>1.6399522912065941E-4</v>
      </c>
      <c r="K348" s="124">
        <f t="shared" si="122"/>
        <v>0</v>
      </c>
      <c r="L348" s="124">
        <f t="shared" si="123"/>
        <v>0</v>
      </c>
      <c r="M348" s="120"/>
      <c r="N348" s="132">
        <f t="shared" si="111"/>
        <v>0.52261259056358478</v>
      </c>
      <c r="O348" s="124">
        <f t="shared" si="124"/>
        <v>104722.85265009529</v>
      </c>
      <c r="P348" s="124">
        <f t="shared" si="125"/>
        <v>1</v>
      </c>
      <c r="Q348" s="124">
        <f t="shared" si="126"/>
        <v>1</v>
      </c>
      <c r="R348" s="124">
        <f t="shared" si="127"/>
        <v>79224.88167905515</v>
      </c>
      <c r="S348" s="124">
        <f t="shared" si="128"/>
        <v>71859.397162381458</v>
      </c>
      <c r="T348" s="124">
        <f t="shared" si="129"/>
        <v>106959.59441584081</v>
      </c>
      <c r="U348" s="124">
        <f t="shared" si="130"/>
        <v>1</v>
      </c>
      <c r="V348" s="124">
        <f t="shared" si="131"/>
        <v>0</v>
      </c>
      <c r="W348" s="124">
        <f t="shared" si="132"/>
        <v>1</v>
      </c>
      <c r="X348" s="124">
        <f t="shared" si="133"/>
        <v>1</v>
      </c>
      <c r="Y348" s="124">
        <f t="shared" si="134"/>
        <v>0</v>
      </c>
      <c r="Z348" s="124">
        <f t="shared" si="135"/>
        <v>1</v>
      </c>
      <c r="AA348" s="124">
        <f t="shared" si="112"/>
        <v>8.4240889024319825E-5</v>
      </c>
      <c r="AB348" s="124">
        <f t="shared" si="136"/>
        <v>0</v>
      </c>
      <c r="AC348" s="124">
        <f t="shared" si="137"/>
        <v>0</v>
      </c>
    </row>
    <row r="349" spans="2:29" s="114" customFormat="1">
      <c r="B349" s="115">
        <f t="shared" si="113"/>
        <v>-1.0600000000000613</v>
      </c>
      <c r="C349" s="124">
        <f t="shared" si="114"/>
        <v>8.7096358995595757E-2</v>
      </c>
      <c r="D349" s="124">
        <f t="shared" si="115"/>
        <v>273277.67745619168</v>
      </c>
      <c r="E349" s="124">
        <f t="shared" si="116"/>
        <v>1</v>
      </c>
      <c r="F349" s="124">
        <f t="shared" si="117"/>
        <v>1</v>
      </c>
      <c r="G349" s="124">
        <f t="shared" si="118"/>
        <v>281596.02771815</v>
      </c>
      <c r="H349" s="124">
        <f t="shared" si="119"/>
        <v>1</v>
      </c>
      <c r="I349" s="124">
        <f t="shared" si="120"/>
        <v>1</v>
      </c>
      <c r="J349" s="124">
        <f t="shared" si="121"/>
        <v>1.6958202131052473E-4</v>
      </c>
      <c r="K349" s="124">
        <f t="shared" si="122"/>
        <v>0</v>
      </c>
      <c r="L349" s="124">
        <f t="shared" si="123"/>
        <v>0</v>
      </c>
      <c r="M349" s="120"/>
      <c r="N349" s="132">
        <f t="shared" si="111"/>
        <v>0.54724256314996589</v>
      </c>
      <c r="O349" s="124">
        <f t="shared" si="124"/>
        <v>107026.53075835897</v>
      </c>
      <c r="P349" s="124">
        <f t="shared" si="125"/>
        <v>1</v>
      </c>
      <c r="Q349" s="124">
        <f t="shared" si="126"/>
        <v>1</v>
      </c>
      <c r="R349" s="124">
        <f t="shared" si="127"/>
        <v>81215.826519212787</v>
      </c>
      <c r="S349" s="124">
        <f t="shared" si="128"/>
        <v>73640.997128114948</v>
      </c>
      <c r="T349" s="124">
        <f t="shared" si="129"/>
        <v>109631.23156848099</v>
      </c>
      <c r="U349" s="124">
        <f t="shared" si="130"/>
        <v>1</v>
      </c>
      <c r="V349" s="124">
        <f t="shared" si="131"/>
        <v>0</v>
      </c>
      <c r="W349" s="124">
        <f t="shared" si="132"/>
        <v>1</v>
      </c>
      <c r="X349" s="124">
        <f t="shared" si="133"/>
        <v>1</v>
      </c>
      <c r="Y349" s="124">
        <f t="shared" si="134"/>
        <v>0</v>
      </c>
      <c r="Z349" s="124">
        <f t="shared" si="135"/>
        <v>1</v>
      </c>
      <c r="AA349" s="124">
        <f t="shared" si="112"/>
        <v>1.0905300735648366E-4</v>
      </c>
      <c r="AB349" s="124">
        <f t="shared" si="136"/>
        <v>0</v>
      </c>
      <c r="AC349" s="124">
        <f t="shared" si="137"/>
        <v>0</v>
      </c>
    </row>
    <row r="350" spans="2:29" s="114" customFormat="1">
      <c r="B350" s="115">
        <f t="shared" si="113"/>
        <v>-1.0400000000000613</v>
      </c>
      <c r="C350" s="124">
        <f t="shared" si="114"/>
        <v>9.1201083935578076E-2</v>
      </c>
      <c r="D350" s="124">
        <f t="shared" si="115"/>
        <v>268013.07025786274</v>
      </c>
      <c r="E350" s="124">
        <f t="shared" si="116"/>
        <v>1</v>
      </c>
      <c r="F350" s="124">
        <f t="shared" si="117"/>
        <v>1</v>
      </c>
      <c r="G350" s="124">
        <f t="shared" si="118"/>
        <v>276194.14798111719</v>
      </c>
      <c r="H350" s="124">
        <f t="shared" si="119"/>
        <v>1</v>
      </c>
      <c r="I350" s="124">
        <f t="shared" si="120"/>
        <v>1</v>
      </c>
      <c r="J350" s="124">
        <f t="shared" si="121"/>
        <v>1.7052438549695204E-4</v>
      </c>
      <c r="K350" s="124">
        <f t="shared" si="122"/>
        <v>0</v>
      </c>
      <c r="L350" s="124">
        <f t="shared" si="123"/>
        <v>0</v>
      </c>
      <c r="M350" s="120"/>
      <c r="N350" s="132">
        <f t="shared" si="111"/>
        <v>0.57303331058287632</v>
      </c>
      <c r="O350" s="124">
        <f t="shared" si="124"/>
        <v>109378.08576261505</v>
      </c>
      <c r="P350" s="124">
        <f t="shared" si="125"/>
        <v>1</v>
      </c>
      <c r="Q350" s="124">
        <f t="shared" si="126"/>
        <v>1</v>
      </c>
      <c r="R350" s="124">
        <f t="shared" si="127"/>
        <v>83297.078150132118</v>
      </c>
      <c r="S350" s="124">
        <f t="shared" si="128"/>
        <v>75431.047296149496</v>
      </c>
      <c r="T350" s="124">
        <f t="shared" si="129"/>
        <v>112375.46940744302</v>
      </c>
      <c r="U350" s="124">
        <f t="shared" si="130"/>
        <v>1</v>
      </c>
      <c r="V350" s="124">
        <f t="shared" si="131"/>
        <v>0</v>
      </c>
      <c r="W350" s="124">
        <f t="shared" si="132"/>
        <v>1</v>
      </c>
      <c r="X350" s="124">
        <f t="shared" si="133"/>
        <v>1</v>
      </c>
      <c r="Y350" s="124">
        <f t="shared" si="134"/>
        <v>0</v>
      </c>
      <c r="Z350" s="124">
        <f t="shared" si="135"/>
        <v>1</v>
      </c>
      <c r="AA350" s="124">
        <f t="shared" si="112"/>
        <v>1.3785578635848214E-4</v>
      </c>
      <c r="AB350" s="124">
        <f t="shared" si="136"/>
        <v>0</v>
      </c>
      <c r="AC350" s="124">
        <f t="shared" si="137"/>
        <v>0</v>
      </c>
    </row>
    <row r="351" spans="2:29" s="114" customFormat="1">
      <c r="B351" s="115">
        <f t="shared" si="113"/>
        <v>-1.0200000000000613</v>
      </c>
      <c r="C351" s="124">
        <f t="shared" si="114"/>
        <v>9.5499258602130113E-2</v>
      </c>
      <c r="D351" s="124">
        <f t="shared" si="115"/>
        <v>262830.71640359174</v>
      </c>
      <c r="E351" s="124">
        <f t="shared" si="116"/>
        <v>1</v>
      </c>
      <c r="F351" s="124">
        <f t="shared" si="117"/>
        <v>1</v>
      </c>
      <c r="G351" s="124">
        <f t="shared" si="118"/>
        <v>270762.75976575166</v>
      </c>
      <c r="H351" s="124">
        <f t="shared" si="119"/>
        <v>1</v>
      </c>
      <c r="I351" s="124">
        <f t="shared" si="120"/>
        <v>1</v>
      </c>
      <c r="J351" s="124">
        <f t="shared" si="121"/>
        <v>1.6674074470583903E-4</v>
      </c>
      <c r="K351" s="124">
        <f t="shared" si="122"/>
        <v>0</v>
      </c>
      <c r="L351" s="124">
        <f t="shared" si="123"/>
        <v>0</v>
      </c>
      <c r="M351" s="120"/>
      <c r="N351" s="132">
        <f t="shared" si="111"/>
        <v>0.60003953849544767</v>
      </c>
      <c r="O351" s="124">
        <f t="shared" si="124"/>
        <v>111778.30392755181</v>
      </c>
      <c r="P351" s="124">
        <f t="shared" si="125"/>
        <v>1</v>
      </c>
      <c r="Q351" s="124">
        <f t="shared" si="126"/>
        <v>1</v>
      </c>
      <c r="R351" s="124">
        <f t="shared" si="127"/>
        <v>85468.582937954401</v>
      </c>
      <c r="S351" s="124">
        <f t="shared" si="128"/>
        <v>77222.903017210134</v>
      </c>
      <c r="T351" s="124">
        <f t="shared" si="129"/>
        <v>115187.9135145152</v>
      </c>
      <c r="U351" s="124">
        <f t="shared" si="130"/>
        <v>1</v>
      </c>
      <c r="V351" s="124">
        <f t="shared" si="131"/>
        <v>0</v>
      </c>
      <c r="W351" s="124">
        <f t="shared" si="132"/>
        <v>1</v>
      </c>
      <c r="X351" s="124">
        <f t="shared" si="133"/>
        <v>1</v>
      </c>
      <c r="Y351" s="124">
        <f t="shared" si="134"/>
        <v>0</v>
      </c>
      <c r="Z351" s="124">
        <f t="shared" si="135"/>
        <v>1</v>
      </c>
      <c r="AA351" s="124">
        <f t="shared" si="112"/>
        <v>1.7028673855991769E-4</v>
      </c>
      <c r="AB351" s="124">
        <f t="shared" si="136"/>
        <v>0</v>
      </c>
      <c r="AC351" s="124">
        <f t="shared" si="137"/>
        <v>0</v>
      </c>
    </row>
    <row r="352" spans="2:29" s="114" customFormat="1">
      <c r="B352" s="115">
        <f t="shared" si="113"/>
        <v>-1.0000000000000613</v>
      </c>
      <c r="C352" s="124">
        <f t="shared" si="114"/>
        <v>9.9999999999985864E-2</v>
      </c>
      <c r="D352" s="124">
        <f t="shared" si="115"/>
        <v>257729.97906875669</v>
      </c>
      <c r="E352" s="124">
        <f t="shared" si="116"/>
        <v>1</v>
      </c>
      <c r="F352" s="124">
        <f t="shared" si="117"/>
        <v>1</v>
      </c>
      <c r="G352" s="124">
        <f t="shared" si="118"/>
        <v>265308.25752775616</v>
      </c>
      <c r="H352" s="124">
        <f t="shared" si="119"/>
        <v>1</v>
      </c>
      <c r="I352" s="124">
        <f t="shared" si="120"/>
        <v>1</v>
      </c>
      <c r="J352" s="124">
        <f t="shared" si="121"/>
        <v>1.5840308683652158E-4</v>
      </c>
      <c r="K352" s="124">
        <f t="shared" si="122"/>
        <v>0</v>
      </c>
      <c r="L352" s="124">
        <f t="shared" si="123"/>
        <v>0</v>
      </c>
      <c r="M352" s="120"/>
      <c r="N352" s="132">
        <f t="shared" si="111"/>
        <v>0.62831853071786981</v>
      </c>
      <c r="O352" s="124">
        <f t="shared" si="124"/>
        <v>114227.97627357875</v>
      </c>
      <c r="P352" s="124">
        <f t="shared" si="125"/>
        <v>1</v>
      </c>
      <c r="Q352" s="124">
        <f t="shared" si="126"/>
        <v>1</v>
      </c>
      <c r="R352" s="124">
        <f t="shared" si="127"/>
        <v>87729.365043812766</v>
      </c>
      <c r="S352" s="124">
        <f t="shared" si="128"/>
        <v>79009.838421294306</v>
      </c>
      <c r="T352" s="124">
        <f t="shared" si="129"/>
        <v>118063.52552058401</v>
      </c>
      <c r="U352" s="124">
        <f t="shared" si="130"/>
        <v>1</v>
      </c>
      <c r="V352" s="124">
        <f t="shared" si="131"/>
        <v>0</v>
      </c>
      <c r="W352" s="124">
        <f t="shared" si="132"/>
        <v>1</v>
      </c>
      <c r="X352" s="124">
        <f t="shared" si="133"/>
        <v>1</v>
      </c>
      <c r="Y352" s="124">
        <f t="shared" si="134"/>
        <v>0</v>
      </c>
      <c r="Z352" s="124">
        <f t="shared" si="135"/>
        <v>1</v>
      </c>
      <c r="AA352" s="124">
        <f t="shared" si="112"/>
        <v>2.0572925030842981E-4</v>
      </c>
      <c r="AB352" s="124">
        <f t="shared" si="136"/>
        <v>0</v>
      </c>
      <c r="AC352" s="124">
        <f t="shared" si="137"/>
        <v>0</v>
      </c>
    </row>
    <row r="353" spans="2:29" s="114" customFormat="1">
      <c r="B353" s="115">
        <f t="shared" si="113"/>
        <v>-0.98000000000006127</v>
      </c>
      <c r="C353" s="124">
        <f t="shared" si="114"/>
        <v>0.10471285480507517</v>
      </c>
      <c r="D353" s="124">
        <f t="shared" si="115"/>
        <v>252710.20785709738</v>
      </c>
      <c r="E353" s="124">
        <f t="shared" si="116"/>
        <v>1</v>
      </c>
      <c r="F353" s="124">
        <f t="shared" si="117"/>
        <v>1</v>
      </c>
      <c r="G353" s="124">
        <f t="shared" si="118"/>
        <v>259838.18667015753</v>
      </c>
      <c r="H353" s="124">
        <f t="shared" si="119"/>
        <v>1</v>
      </c>
      <c r="I353" s="124">
        <f t="shared" si="120"/>
        <v>1</v>
      </c>
      <c r="J353" s="124">
        <f t="shared" si="121"/>
        <v>1.4593103403746639E-4</v>
      </c>
      <c r="K353" s="124">
        <f t="shared" si="122"/>
        <v>0</v>
      </c>
      <c r="L353" s="124">
        <f t="shared" si="123"/>
        <v>0</v>
      </c>
      <c r="M353" s="120"/>
      <c r="N353" s="132">
        <f t="shared" si="111"/>
        <v>0.65793027078407762</v>
      </c>
      <c r="O353" s="124">
        <f t="shared" si="124"/>
        <v>116727.89830928585</v>
      </c>
      <c r="P353" s="124">
        <f t="shared" si="125"/>
        <v>1</v>
      </c>
      <c r="Q353" s="124">
        <f t="shared" si="126"/>
        <v>1</v>
      </c>
      <c r="R353" s="124">
        <f t="shared" si="127"/>
        <v>90077.483348491558</v>
      </c>
      <c r="S353" s="124">
        <f t="shared" si="128"/>
        <v>80785.176706631115</v>
      </c>
      <c r="T353" s="124">
        <f t="shared" si="129"/>
        <v>120996.68500384376</v>
      </c>
      <c r="U353" s="124">
        <f t="shared" si="130"/>
        <v>1</v>
      </c>
      <c r="V353" s="124">
        <f t="shared" si="131"/>
        <v>0</v>
      </c>
      <c r="W353" s="124">
        <f t="shared" si="132"/>
        <v>1</v>
      </c>
      <c r="X353" s="124">
        <f t="shared" si="133"/>
        <v>1</v>
      </c>
      <c r="Y353" s="124">
        <f t="shared" si="134"/>
        <v>0</v>
      </c>
      <c r="Z353" s="124">
        <f t="shared" si="135"/>
        <v>1</v>
      </c>
      <c r="AA353" s="124">
        <f t="shared" si="112"/>
        <v>2.4332274334495238E-4</v>
      </c>
      <c r="AB353" s="124">
        <f t="shared" si="136"/>
        <v>0</v>
      </c>
      <c r="AC353" s="124">
        <f t="shared" si="137"/>
        <v>0</v>
      </c>
    </row>
    <row r="354" spans="2:29" s="114" customFormat="1">
      <c r="B354" s="115">
        <f t="shared" si="113"/>
        <v>-0.96000000000006125</v>
      </c>
      <c r="C354" s="124">
        <f t="shared" si="114"/>
        <v>0.109647819614303</v>
      </c>
      <c r="D354" s="124">
        <f t="shared" si="115"/>
        <v>247770.73932163708</v>
      </c>
      <c r="E354" s="124">
        <f t="shared" si="116"/>
        <v>1</v>
      </c>
      <c r="F354" s="124">
        <f t="shared" si="117"/>
        <v>1</v>
      </c>
      <c r="G354" s="124">
        <f t="shared" si="118"/>
        <v>254361.07783721824</v>
      </c>
      <c r="H354" s="124">
        <f t="shared" si="119"/>
        <v>1</v>
      </c>
      <c r="I354" s="124">
        <f t="shared" si="120"/>
        <v>1</v>
      </c>
      <c r="J354" s="124">
        <f t="shared" si="121"/>
        <v>1.2997458977727025E-4</v>
      </c>
      <c r="K354" s="124">
        <f t="shared" si="122"/>
        <v>0</v>
      </c>
      <c r="L354" s="124">
        <f t="shared" si="123"/>
        <v>0</v>
      </c>
      <c r="M354" s="120"/>
      <c r="N354" s="132">
        <f t="shared" si="111"/>
        <v>0.68893756916486626</v>
      </c>
      <c r="O354" s="124">
        <f t="shared" si="124"/>
        <v>119278.8697537572</v>
      </c>
      <c r="P354" s="124">
        <f t="shared" si="125"/>
        <v>1</v>
      </c>
      <c r="Q354" s="124">
        <f t="shared" si="126"/>
        <v>1</v>
      </c>
      <c r="R354" s="124">
        <f t="shared" si="127"/>
        <v>92510.007743356633</v>
      </c>
      <c r="S354" s="124">
        <f t="shared" si="128"/>
        <v>82542.433114979518</v>
      </c>
      <c r="T354" s="124">
        <f t="shared" si="129"/>
        <v>123981.26792873499</v>
      </c>
      <c r="U354" s="124">
        <f t="shared" si="130"/>
        <v>1</v>
      </c>
      <c r="V354" s="124">
        <f t="shared" si="131"/>
        <v>0</v>
      </c>
      <c r="W354" s="124">
        <f t="shared" si="132"/>
        <v>1</v>
      </c>
      <c r="X354" s="124">
        <f t="shared" si="133"/>
        <v>1</v>
      </c>
      <c r="Y354" s="124">
        <f t="shared" si="134"/>
        <v>0</v>
      </c>
      <c r="Z354" s="124">
        <f t="shared" si="135"/>
        <v>1</v>
      </c>
      <c r="AA354" s="124">
        <f t="shared" si="112"/>
        <v>2.819900120480998E-4</v>
      </c>
      <c r="AB354" s="124">
        <f t="shared" si="136"/>
        <v>0</v>
      </c>
      <c r="AC354" s="124">
        <f t="shared" si="137"/>
        <v>0</v>
      </c>
    </row>
    <row r="355" spans="2:29" s="114" customFormat="1">
      <c r="B355" s="115">
        <f t="shared" si="113"/>
        <v>-0.94000000000006123</v>
      </c>
      <c r="C355" s="124">
        <f t="shared" si="114"/>
        <v>0.11481536214967207</v>
      </c>
      <c r="D355" s="124">
        <f t="shared" si="115"/>
        <v>242910.89748711546</v>
      </c>
      <c r="E355" s="124">
        <f t="shared" si="116"/>
        <v>1</v>
      </c>
      <c r="F355" s="124">
        <f t="shared" si="117"/>
        <v>1</v>
      </c>
      <c r="G355" s="124">
        <f t="shared" si="118"/>
        <v>248886.28651064372</v>
      </c>
      <c r="H355" s="124">
        <f t="shared" si="119"/>
        <v>1</v>
      </c>
      <c r="I355" s="124">
        <f t="shared" si="120"/>
        <v>1</v>
      </c>
      <c r="J355" s="124">
        <f t="shared" si="121"/>
        <v>1.1138626800133583E-4</v>
      </c>
      <c r="K355" s="124">
        <f t="shared" si="122"/>
        <v>0</v>
      </c>
      <c r="L355" s="124">
        <f t="shared" si="123"/>
        <v>0</v>
      </c>
      <c r="M355" s="120"/>
      <c r="N355" s="132">
        <f t="shared" si="111"/>
        <v>0.72140619649732274</v>
      </c>
      <c r="O355" s="124">
        <f t="shared" si="124"/>
        <v>121881.69424874555</v>
      </c>
      <c r="P355" s="124">
        <f t="shared" si="125"/>
        <v>1</v>
      </c>
      <c r="Q355" s="124">
        <f t="shared" si="126"/>
        <v>1</v>
      </c>
      <c r="R355" s="124">
        <f t="shared" si="127"/>
        <v>95023.018164438268</v>
      </c>
      <c r="S355" s="124">
        <f t="shared" si="128"/>
        <v>84275.467463160297</v>
      </c>
      <c r="T355" s="124">
        <f t="shared" si="129"/>
        <v>127010.74126708086</v>
      </c>
      <c r="U355" s="124">
        <f t="shared" si="130"/>
        <v>1</v>
      </c>
      <c r="V355" s="124">
        <f t="shared" si="131"/>
        <v>0</v>
      </c>
      <c r="W355" s="124">
        <f t="shared" si="132"/>
        <v>1</v>
      </c>
      <c r="X355" s="124">
        <f t="shared" si="133"/>
        <v>1</v>
      </c>
      <c r="Y355" s="124">
        <f t="shared" si="134"/>
        <v>0</v>
      </c>
      <c r="Z355" s="124">
        <f t="shared" si="135"/>
        <v>1</v>
      </c>
      <c r="AA355" s="124">
        <f t="shared" si="112"/>
        <v>3.2048046072197538E-4</v>
      </c>
      <c r="AB355" s="124">
        <f t="shared" si="136"/>
        <v>0</v>
      </c>
      <c r="AC355" s="124">
        <f t="shared" si="137"/>
        <v>0</v>
      </c>
    </row>
    <row r="356" spans="2:29" s="114" customFormat="1">
      <c r="B356" s="115">
        <f t="shared" si="113"/>
        <v>-0.92000000000006121</v>
      </c>
      <c r="C356" s="124">
        <f t="shared" si="114"/>
        <v>0.12022644346172431</v>
      </c>
      <c r="D356" s="124">
        <f t="shared" si="115"/>
        <v>238129.9943734218</v>
      </c>
      <c r="E356" s="124">
        <f t="shared" si="116"/>
        <v>1</v>
      </c>
      <c r="F356" s="124">
        <f t="shared" si="117"/>
        <v>1</v>
      </c>
      <c r="G356" s="124">
        <f t="shared" si="118"/>
        <v>243423.83911187859</v>
      </c>
      <c r="H356" s="124">
        <f t="shared" si="119"/>
        <v>1</v>
      </c>
      <c r="I356" s="124">
        <f t="shared" si="120"/>
        <v>1</v>
      </c>
      <c r="J356" s="124">
        <f t="shared" si="121"/>
        <v>9.1183512276141982E-5</v>
      </c>
      <c r="K356" s="124">
        <f t="shared" si="122"/>
        <v>0</v>
      </c>
      <c r="L356" s="124">
        <f t="shared" si="123"/>
        <v>0</v>
      </c>
      <c r="M356" s="120"/>
      <c r="N356" s="132">
        <f t="shared" si="111"/>
        <v>0.75540502309316349</v>
      </c>
      <c r="O356" s="124">
        <f t="shared" si="124"/>
        <v>124537.17906072784</v>
      </c>
      <c r="P356" s="124">
        <f t="shared" si="125"/>
        <v>1</v>
      </c>
      <c r="Q356" s="124">
        <f t="shared" si="126"/>
        <v>1</v>
      </c>
      <c r="R356" s="124">
        <f t="shared" si="127"/>
        <v>97611.629185927697</v>
      </c>
      <c r="S356" s="124">
        <f t="shared" si="128"/>
        <v>85978.642194282977</v>
      </c>
      <c r="T356" s="124">
        <f t="shared" si="129"/>
        <v>130078.27284332918</v>
      </c>
      <c r="U356" s="124">
        <f t="shared" si="130"/>
        <v>1</v>
      </c>
      <c r="V356" s="124">
        <f t="shared" si="131"/>
        <v>0</v>
      </c>
      <c r="W356" s="124">
        <f t="shared" si="132"/>
        <v>1</v>
      </c>
      <c r="X356" s="124">
        <f t="shared" si="133"/>
        <v>1</v>
      </c>
      <c r="Y356" s="124">
        <f t="shared" si="134"/>
        <v>0</v>
      </c>
      <c r="Z356" s="124">
        <f t="shared" si="135"/>
        <v>1</v>
      </c>
      <c r="AA356" s="124">
        <f t="shared" si="112"/>
        <v>3.5742691704845485E-4</v>
      </c>
      <c r="AB356" s="124">
        <f t="shared" si="136"/>
        <v>0</v>
      </c>
      <c r="AC356" s="124">
        <f t="shared" si="137"/>
        <v>0</v>
      </c>
    </row>
    <row r="357" spans="2:29" s="114" customFormat="1">
      <c r="B357" s="115">
        <f t="shared" si="113"/>
        <v>-0.9000000000000612</v>
      </c>
      <c r="C357" s="124">
        <f t="shared" si="114"/>
        <v>0.12589254117939896</v>
      </c>
      <c r="D357" s="124">
        <f t="shared" si="115"/>
        <v>233427.33051947909</v>
      </c>
      <c r="E357" s="124">
        <f t="shared" si="116"/>
        <v>1</v>
      </c>
      <c r="F357" s="124">
        <f t="shared" si="117"/>
        <v>1</v>
      </c>
      <c r="G357" s="124">
        <f t="shared" si="118"/>
        <v>237984.28569511819</v>
      </c>
      <c r="H357" s="124">
        <f t="shared" si="119"/>
        <v>1</v>
      </c>
      <c r="I357" s="124">
        <f t="shared" si="120"/>
        <v>1</v>
      </c>
      <c r="J357" s="124">
        <f t="shared" si="121"/>
        <v>7.0502517202409857E-5</v>
      </c>
      <c r="K357" s="124">
        <f t="shared" si="122"/>
        <v>0</v>
      </c>
      <c r="L357" s="124">
        <f t="shared" si="123"/>
        <v>0</v>
      </c>
      <c r="M357" s="120"/>
      <c r="N357" s="132">
        <f t="shared" si="111"/>
        <v>0.79100616502190058</v>
      </c>
      <c r="O357" s="124">
        <f t="shared" si="124"/>
        <v>127246.13477287504</v>
      </c>
      <c r="P357" s="124">
        <f t="shared" si="125"/>
        <v>1</v>
      </c>
      <c r="Q357" s="124">
        <f t="shared" si="126"/>
        <v>1</v>
      </c>
      <c r="R357" s="124">
        <f t="shared" si="127"/>
        <v>100270.04217266875</v>
      </c>
      <c r="S357" s="124">
        <f t="shared" si="128"/>
        <v>87646.981116527808</v>
      </c>
      <c r="T357" s="124">
        <f t="shared" si="129"/>
        <v>133176.85480649312</v>
      </c>
      <c r="U357" s="124">
        <f t="shared" si="130"/>
        <v>1</v>
      </c>
      <c r="V357" s="124">
        <f t="shared" si="131"/>
        <v>0</v>
      </c>
      <c r="W357" s="124">
        <f t="shared" si="132"/>
        <v>1</v>
      </c>
      <c r="X357" s="124">
        <f t="shared" si="133"/>
        <v>1</v>
      </c>
      <c r="Y357" s="124">
        <f t="shared" si="134"/>
        <v>0</v>
      </c>
      <c r="Z357" s="124">
        <f t="shared" si="135"/>
        <v>1</v>
      </c>
      <c r="AA357" s="124">
        <f t="shared" si="112"/>
        <v>3.914127892326785E-4</v>
      </c>
      <c r="AB357" s="124">
        <f t="shared" si="136"/>
        <v>0</v>
      </c>
      <c r="AC357" s="124">
        <f t="shared" si="137"/>
        <v>0</v>
      </c>
    </row>
    <row r="358" spans="2:29" s="114" customFormat="1">
      <c r="B358" s="115">
        <f t="shared" si="113"/>
        <v>-0.88000000000006118</v>
      </c>
      <c r="C358" s="124">
        <f t="shared" si="114"/>
        <v>0.13182567385562208</v>
      </c>
      <c r="D358" s="124">
        <f t="shared" si="115"/>
        <v>228802.1955070933</v>
      </c>
      <c r="E358" s="124">
        <f t="shared" si="116"/>
        <v>1</v>
      </c>
      <c r="F358" s="124">
        <f t="shared" si="117"/>
        <v>1</v>
      </c>
      <c r="G358" s="124">
        <f t="shared" si="118"/>
        <v>232578.55846809963</v>
      </c>
      <c r="H358" s="124">
        <f t="shared" si="119"/>
        <v>1</v>
      </c>
      <c r="I358" s="124">
        <f t="shared" si="120"/>
        <v>1</v>
      </c>
      <c r="J358" s="124">
        <f t="shared" si="121"/>
        <v>5.0544804468891197E-5</v>
      </c>
      <c r="K358" s="124">
        <f t="shared" si="122"/>
        <v>0</v>
      </c>
      <c r="L358" s="124">
        <f t="shared" si="123"/>
        <v>0</v>
      </c>
      <c r="M358" s="120"/>
      <c r="N358" s="132">
        <f t="shared" si="111"/>
        <v>0.82828513707869278</v>
      </c>
      <c r="O358" s="124">
        <f t="shared" si="124"/>
        <v>130009.3749669852</v>
      </c>
      <c r="P358" s="124">
        <f t="shared" si="125"/>
        <v>1</v>
      </c>
      <c r="Q358" s="124">
        <f t="shared" si="126"/>
        <v>1</v>
      </c>
      <c r="R358" s="124">
        <f t="shared" si="127"/>
        <v>102991.62594219511</v>
      </c>
      <c r="S358" s="124">
        <f t="shared" si="128"/>
        <v>89276.32339021402</v>
      </c>
      <c r="T358" s="124">
        <f t="shared" si="129"/>
        <v>136299.43848853931</v>
      </c>
      <c r="U358" s="124">
        <f t="shared" si="130"/>
        <v>1</v>
      </c>
      <c r="V358" s="124">
        <f t="shared" si="131"/>
        <v>0</v>
      </c>
      <c r="W358" s="124">
        <f t="shared" si="132"/>
        <v>1</v>
      </c>
      <c r="X358" s="124">
        <f t="shared" si="133"/>
        <v>1</v>
      </c>
      <c r="Y358" s="124">
        <f t="shared" si="134"/>
        <v>0</v>
      </c>
      <c r="Z358" s="124">
        <f t="shared" si="135"/>
        <v>1</v>
      </c>
      <c r="AA358" s="124">
        <f t="shared" si="112"/>
        <v>4.2104562446458989E-4</v>
      </c>
      <c r="AB358" s="124">
        <f t="shared" si="136"/>
        <v>0</v>
      </c>
      <c r="AC358" s="124">
        <f t="shared" si="137"/>
        <v>0</v>
      </c>
    </row>
    <row r="359" spans="2:29" s="114" customFormat="1">
      <c r="B359" s="115">
        <f t="shared" si="113"/>
        <v>-0.86000000000006116</v>
      </c>
      <c r="C359" s="124">
        <f t="shared" si="114"/>
        <v>0.13803842646026901</v>
      </c>
      <c r="D359" s="124">
        <f t="shared" si="115"/>
        <v>224253.86848423441</v>
      </c>
      <c r="E359" s="124">
        <f t="shared" si="116"/>
        <v>1</v>
      </c>
      <c r="F359" s="124">
        <f t="shared" si="117"/>
        <v>1</v>
      </c>
      <c r="G359" s="124">
        <f t="shared" si="118"/>
        <v>227217.83484118377</v>
      </c>
      <c r="H359" s="124">
        <f t="shared" si="119"/>
        <v>1</v>
      </c>
      <c r="I359" s="124">
        <f t="shared" si="120"/>
        <v>1</v>
      </c>
      <c r="J359" s="124">
        <f t="shared" si="121"/>
        <v>3.2518204794045318E-5</v>
      </c>
      <c r="K359" s="124">
        <f t="shared" si="122"/>
        <v>0</v>
      </c>
      <c r="L359" s="124">
        <f t="shared" si="123"/>
        <v>0</v>
      </c>
      <c r="M359" s="120"/>
      <c r="N359" s="132">
        <f t="shared" si="111"/>
        <v>0.86732101296135211</v>
      </c>
      <c r="O359" s="124">
        <f t="shared" si="124"/>
        <v>132827.71589543953</v>
      </c>
      <c r="P359" s="124">
        <f t="shared" si="125"/>
        <v>1</v>
      </c>
      <c r="Q359" s="124">
        <f t="shared" si="126"/>
        <v>1</v>
      </c>
      <c r="R359" s="124">
        <f t="shared" si="127"/>
        <v>105769.025654652</v>
      </c>
      <c r="S359" s="124">
        <f t="shared" si="128"/>
        <v>90863.466977456847</v>
      </c>
      <c r="T359" s="124">
        <f t="shared" si="129"/>
        <v>139439.07780496049</v>
      </c>
      <c r="U359" s="124">
        <f t="shared" si="130"/>
        <v>1</v>
      </c>
      <c r="V359" s="124">
        <f t="shared" si="131"/>
        <v>0</v>
      </c>
      <c r="W359" s="124">
        <f t="shared" si="132"/>
        <v>1</v>
      </c>
      <c r="X359" s="124">
        <f t="shared" si="133"/>
        <v>1</v>
      </c>
      <c r="Y359" s="124">
        <f t="shared" si="134"/>
        <v>0</v>
      </c>
      <c r="Z359" s="124">
        <f t="shared" si="135"/>
        <v>1</v>
      </c>
      <c r="AA359" s="124">
        <f t="shared" si="112"/>
        <v>4.4503266265660357E-4</v>
      </c>
      <c r="AB359" s="124">
        <f t="shared" si="136"/>
        <v>0</v>
      </c>
      <c r="AC359" s="124">
        <f t="shared" si="137"/>
        <v>0</v>
      </c>
    </row>
    <row r="360" spans="2:29" s="114" customFormat="1">
      <c r="B360" s="115">
        <f t="shared" si="113"/>
        <v>-0.84000000000006114</v>
      </c>
      <c r="C360" s="124">
        <f t="shared" si="114"/>
        <v>0.14454397707457237</v>
      </c>
      <c r="D360" s="124">
        <f t="shared" si="115"/>
        <v>219781.61868726794</v>
      </c>
      <c r="E360" s="124">
        <f t="shared" si="116"/>
        <v>1</v>
      </c>
      <c r="F360" s="124">
        <f t="shared" si="117"/>
        <v>1</v>
      </c>
      <c r="G360" s="124">
        <f t="shared" si="118"/>
        <v>221913.40348254808</v>
      </c>
      <c r="H360" s="124">
        <f t="shared" si="119"/>
        <v>1</v>
      </c>
      <c r="I360" s="124">
        <f t="shared" si="120"/>
        <v>1</v>
      </c>
      <c r="J360" s="124">
        <f t="shared" si="121"/>
        <v>1.757426088930706E-5</v>
      </c>
      <c r="K360" s="124">
        <f t="shared" si="122"/>
        <v>0</v>
      </c>
      <c r="L360" s="124">
        <f t="shared" si="123"/>
        <v>0</v>
      </c>
      <c r="M360" s="120"/>
      <c r="N360" s="132">
        <f t="shared" si="111"/>
        <v>0.90819659299625599</v>
      </c>
      <c r="O360" s="124">
        <f t="shared" si="124"/>
        <v>135701.97614325961</v>
      </c>
      <c r="P360" s="124">
        <f t="shared" si="125"/>
        <v>1</v>
      </c>
      <c r="Q360" s="124">
        <f t="shared" si="126"/>
        <v>1</v>
      </c>
      <c r="R360" s="124">
        <f t="shared" si="127"/>
        <v>108594.29830682131</v>
      </c>
      <c r="S360" s="124">
        <f t="shared" si="128"/>
        <v>92406.295740768037</v>
      </c>
      <c r="T360" s="124">
        <f t="shared" si="129"/>
        <v>142589.07783305558</v>
      </c>
      <c r="U360" s="124">
        <f t="shared" si="130"/>
        <v>1</v>
      </c>
      <c r="V360" s="124">
        <f t="shared" si="131"/>
        <v>0</v>
      </c>
      <c r="W360" s="124">
        <f t="shared" si="132"/>
        <v>1</v>
      </c>
      <c r="X360" s="124">
        <f t="shared" si="133"/>
        <v>1</v>
      </c>
      <c r="Y360" s="124">
        <f t="shared" si="134"/>
        <v>0</v>
      </c>
      <c r="Z360" s="124">
        <f t="shared" si="135"/>
        <v>1</v>
      </c>
      <c r="AA360" s="124">
        <f t="shared" si="112"/>
        <v>4.6225379447626866E-4</v>
      </c>
      <c r="AB360" s="124">
        <f t="shared" si="136"/>
        <v>0</v>
      </c>
      <c r="AC360" s="124">
        <f t="shared" si="137"/>
        <v>0</v>
      </c>
    </row>
    <row r="361" spans="2:29" s="114" customFormat="1">
      <c r="B361" s="115">
        <f t="shared" si="113"/>
        <v>-0.82000000000006112</v>
      </c>
      <c r="C361" s="124">
        <f t="shared" si="114"/>
        <v>0.15135612484359948</v>
      </c>
      <c r="D361" s="124">
        <f t="shared" si="115"/>
        <v>215384.70596163394</v>
      </c>
      <c r="E361" s="124">
        <f t="shared" si="116"/>
        <v>1</v>
      </c>
      <c r="F361" s="124">
        <f t="shared" si="117"/>
        <v>1</v>
      </c>
      <c r="G361" s="124">
        <f t="shared" si="118"/>
        <v>216676.5319201684</v>
      </c>
      <c r="H361" s="124">
        <f t="shared" si="119"/>
        <v>1</v>
      </c>
      <c r="I361" s="124">
        <f t="shared" si="120"/>
        <v>1</v>
      </c>
      <c r="J361" s="124">
        <f t="shared" si="121"/>
        <v>6.7444820855491828E-6</v>
      </c>
      <c r="K361" s="124">
        <f t="shared" si="122"/>
        <v>0</v>
      </c>
      <c r="L361" s="124">
        <f t="shared" si="123"/>
        <v>0</v>
      </c>
      <c r="M361" s="120"/>
      <c r="N361" s="132">
        <f t="shared" si="111"/>
        <v>0.95099857976894342</v>
      </c>
      <c r="O361" s="124">
        <f t="shared" si="124"/>
        <v>138632.97628035533</v>
      </c>
      <c r="P361" s="124">
        <f t="shared" si="125"/>
        <v>1</v>
      </c>
      <c r="Q361" s="124">
        <f t="shared" si="126"/>
        <v>1</v>
      </c>
      <c r="R361" s="124">
        <f t="shared" si="127"/>
        <v>111459.07184701796</v>
      </c>
      <c r="S361" s="124">
        <f t="shared" si="128"/>
        <v>93903.884702200172</v>
      </c>
      <c r="T361" s="124">
        <f t="shared" si="129"/>
        <v>145743.14481018588</v>
      </c>
      <c r="U361" s="124">
        <f t="shared" si="130"/>
        <v>1</v>
      </c>
      <c r="V361" s="124">
        <f t="shared" si="131"/>
        <v>0</v>
      </c>
      <c r="W361" s="124">
        <f t="shared" si="132"/>
        <v>1</v>
      </c>
      <c r="X361" s="124">
        <f t="shared" si="133"/>
        <v>1</v>
      </c>
      <c r="Y361" s="124">
        <f t="shared" si="134"/>
        <v>0</v>
      </c>
      <c r="Z361" s="124">
        <f t="shared" si="135"/>
        <v>1</v>
      </c>
      <c r="AA361" s="124">
        <f t="shared" si="112"/>
        <v>4.7182744090161271E-4</v>
      </c>
      <c r="AB361" s="124">
        <f t="shared" si="136"/>
        <v>0</v>
      </c>
      <c r="AC361" s="124">
        <f t="shared" si="137"/>
        <v>0</v>
      </c>
    </row>
    <row r="362" spans="2:29" s="114" customFormat="1">
      <c r="B362" s="115">
        <f t="shared" si="113"/>
        <v>-0.80000000000006111</v>
      </c>
      <c r="C362" s="124">
        <f t="shared" si="114"/>
        <v>0.15848931924608903</v>
      </c>
      <c r="D362" s="124">
        <f t="shared" si="115"/>
        <v>211062.38128049587</v>
      </c>
      <c r="E362" s="124">
        <f t="shared" si="116"/>
        <v>1</v>
      </c>
      <c r="F362" s="124">
        <f t="shared" si="117"/>
        <v>1</v>
      </c>
      <c r="G362" s="124">
        <f t="shared" si="118"/>
        <v>211518.33452886849</v>
      </c>
      <c r="H362" s="124">
        <f t="shared" si="119"/>
        <v>1</v>
      </c>
      <c r="I362" s="124">
        <f t="shared" si="120"/>
        <v>1</v>
      </c>
      <c r="J362" s="124">
        <f t="shared" si="121"/>
        <v>8.783148596887437E-7</v>
      </c>
      <c r="K362" s="124">
        <f t="shared" si="122"/>
        <v>0</v>
      </c>
      <c r="L362" s="124">
        <f t="shared" si="123"/>
        <v>0</v>
      </c>
      <c r="M362" s="120"/>
      <c r="N362" s="132">
        <f t="shared" si="111"/>
        <v>0.99581776203192141</v>
      </c>
      <c r="O362" s="124">
        <f t="shared" si="124"/>
        <v>141621.53850406833</v>
      </c>
      <c r="P362" s="124">
        <f t="shared" si="125"/>
        <v>1</v>
      </c>
      <c r="Q362" s="124">
        <f t="shared" si="126"/>
        <v>1</v>
      </c>
      <c r="R362" s="124">
        <f t="shared" si="127"/>
        <v>114354.72365462058</v>
      </c>
      <c r="S362" s="124">
        <f t="shared" si="128"/>
        <v>95356.578657892096</v>
      </c>
      <c r="T362" s="124">
        <f t="shared" si="129"/>
        <v>148895.533564521</v>
      </c>
      <c r="U362" s="124">
        <f t="shared" si="130"/>
        <v>1</v>
      </c>
      <c r="V362" s="124">
        <f t="shared" si="131"/>
        <v>0</v>
      </c>
      <c r="W362" s="124">
        <f t="shared" si="132"/>
        <v>1</v>
      </c>
      <c r="X362" s="124">
        <f t="shared" si="133"/>
        <v>1</v>
      </c>
      <c r="Y362" s="124">
        <f t="shared" si="134"/>
        <v>0</v>
      </c>
      <c r="Z362" s="124">
        <f t="shared" si="135"/>
        <v>1</v>
      </c>
      <c r="AA362" s="124">
        <f t="shared" si="112"/>
        <v>4.7316526733131469E-4</v>
      </c>
      <c r="AB362" s="124">
        <f t="shared" si="136"/>
        <v>0</v>
      </c>
      <c r="AC362" s="124">
        <f t="shared" si="137"/>
        <v>0</v>
      </c>
    </row>
    <row r="363" spans="2:29" s="114" customFormat="1">
      <c r="B363" s="115">
        <f t="shared" si="113"/>
        <v>-0.78000000000006109</v>
      </c>
      <c r="C363" s="124">
        <f t="shared" si="114"/>
        <v>0.16595869074373271</v>
      </c>
      <c r="D363" s="124">
        <f t="shared" si="115"/>
        <v>206813.8872608931</v>
      </c>
      <c r="E363" s="124">
        <f t="shared" si="116"/>
        <v>1</v>
      </c>
      <c r="F363" s="124">
        <f t="shared" si="117"/>
        <v>1</v>
      </c>
      <c r="G363" s="124">
        <f t="shared" si="118"/>
        <v>206449.64020971928</v>
      </c>
      <c r="H363" s="124">
        <f t="shared" si="119"/>
        <v>1</v>
      </c>
      <c r="I363" s="124">
        <f t="shared" si="120"/>
        <v>1</v>
      </c>
      <c r="J363" s="124">
        <f t="shared" si="121"/>
        <v>5.8609331958514126E-7</v>
      </c>
      <c r="K363" s="124">
        <f t="shared" si="122"/>
        <v>0</v>
      </c>
      <c r="L363" s="124">
        <f t="shared" si="123"/>
        <v>0</v>
      </c>
      <c r="M363" s="120"/>
      <c r="N363" s="132">
        <f t="shared" si="111"/>
        <v>1.0427492072797822</v>
      </c>
      <c r="O363" s="124">
        <f t="shared" si="124"/>
        <v>144668.48627213752</v>
      </c>
      <c r="P363" s="124">
        <f t="shared" si="125"/>
        <v>1</v>
      </c>
      <c r="Q363" s="124">
        <f t="shared" si="126"/>
        <v>1</v>
      </c>
      <c r="R363" s="124">
        <f t="shared" si="127"/>
        <v>117272.57304581374</v>
      </c>
      <c r="S363" s="124">
        <f t="shared" si="128"/>
        <v>96766.040355423218</v>
      </c>
      <c r="T363" s="124">
        <f t="shared" si="129"/>
        <v>152041.18834991098</v>
      </c>
      <c r="U363" s="124">
        <f t="shared" si="130"/>
        <v>1</v>
      </c>
      <c r="V363" s="124">
        <f t="shared" si="131"/>
        <v>0</v>
      </c>
      <c r="W363" s="124">
        <f t="shared" si="132"/>
        <v>1</v>
      </c>
      <c r="X363" s="124">
        <f t="shared" si="133"/>
        <v>1</v>
      </c>
      <c r="Y363" s="124">
        <f t="shared" si="134"/>
        <v>0</v>
      </c>
      <c r="Z363" s="124">
        <f t="shared" si="135"/>
        <v>1</v>
      </c>
      <c r="AA363" s="124">
        <f t="shared" si="112"/>
        <v>4.6601230273551382E-4</v>
      </c>
      <c r="AB363" s="124">
        <f t="shared" si="136"/>
        <v>0</v>
      </c>
      <c r="AC363" s="124">
        <f t="shared" si="137"/>
        <v>0</v>
      </c>
    </row>
    <row r="364" spans="2:29" s="114" customFormat="1">
      <c r="B364" s="115">
        <f t="shared" si="113"/>
        <v>-0.76000000000006107</v>
      </c>
      <c r="C364" s="124">
        <f t="shared" si="114"/>
        <v>0.17378008287491309</v>
      </c>
      <c r="D364" s="124">
        <f t="shared" si="115"/>
        <v>202638.4586769313</v>
      </c>
      <c r="E364" s="124">
        <f t="shared" si="116"/>
        <v>1</v>
      </c>
      <c r="F364" s="124">
        <f t="shared" si="117"/>
        <v>1</v>
      </c>
      <c r="G364" s="124">
        <f t="shared" si="118"/>
        <v>201480.85964320498</v>
      </c>
      <c r="H364" s="124">
        <f t="shared" si="119"/>
        <v>1</v>
      </c>
      <c r="I364" s="124">
        <f t="shared" si="120"/>
        <v>1</v>
      </c>
      <c r="J364" s="124">
        <f t="shared" si="121"/>
        <v>6.1905334889820676E-6</v>
      </c>
      <c r="K364" s="124">
        <f t="shared" si="122"/>
        <v>0</v>
      </c>
      <c r="L364" s="124">
        <f t="shared" si="123"/>
        <v>0</v>
      </c>
      <c r="M364" s="120"/>
      <c r="N364" s="132">
        <f t="shared" si="111"/>
        <v>1.0918924634001048</v>
      </c>
      <c r="O364" s="124">
        <f t="shared" si="124"/>
        <v>147774.64392621676</v>
      </c>
      <c r="P364" s="124">
        <f t="shared" si="125"/>
        <v>1</v>
      </c>
      <c r="Q364" s="124">
        <f t="shared" si="126"/>
        <v>1</v>
      </c>
      <c r="R364" s="124">
        <f t="shared" si="127"/>
        <v>120204.08166892557</v>
      </c>
      <c r="S364" s="124">
        <f t="shared" si="128"/>
        <v>98135.265721402291</v>
      </c>
      <c r="T364" s="124">
        <f t="shared" si="129"/>
        <v>155175.873215136</v>
      </c>
      <c r="U364" s="124">
        <f t="shared" si="130"/>
        <v>1</v>
      </c>
      <c r="V364" s="124">
        <f t="shared" si="131"/>
        <v>0</v>
      </c>
      <c r="W364" s="124">
        <f t="shared" si="132"/>
        <v>1</v>
      </c>
      <c r="X364" s="124">
        <f t="shared" si="133"/>
        <v>1</v>
      </c>
      <c r="Y364" s="124">
        <f t="shared" si="134"/>
        <v>0</v>
      </c>
      <c r="Z364" s="124">
        <f t="shared" si="135"/>
        <v>1</v>
      </c>
      <c r="AA364" s="124">
        <f t="shared" si="112"/>
        <v>4.5046990848062412E-4</v>
      </c>
      <c r="AB364" s="124">
        <f t="shared" si="136"/>
        <v>0</v>
      </c>
      <c r="AC364" s="124">
        <f t="shared" si="137"/>
        <v>0</v>
      </c>
    </row>
    <row r="365" spans="2:29" s="114" customFormat="1">
      <c r="B365" s="115">
        <f t="shared" si="113"/>
        <v>-0.74000000000006105</v>
      </c>
      <c r="C365" s="124">
        <f t="shared" si="114"/>
        <v>0.18197008586097271</v>
      </c>
      <c r="D365" s="124">
        <f t="shared" si="115"/>
        <v>198535.3229695585</v>
      </c>
      <c r="E365" s="124">
        <f t="shared" si="116"/>
        <v>1</v>
      </c>
      <c r="F365" s="124">
        <f t="shared" si="117"/>
        <v>1</v>
      </c>
      <c r="G365" s="124">
        <f t="shared" si="118"/>
        <v>196621.85261528709</v>
      </c>
      <c r="H365" s="124">
        <f t="shared" si="119"/>
        <v>1</v>
      </c>
      <c r="I365" s="124">
        <f t="shared" si="120"/>
        <v>1</v>
      </c>
      <c r="J365" s="124">
        <f t="shared" si="121"/>
        <v>1.7690460315792731E-5</v>
      </c>
      <c r="K365" s="124">
        <f t="shared" si="122"/>
        <v>0</v>
      </c>
      <c r="L365" s="124">
        <f t="shared" si="123"/>
        <v>0</v>
      </c>
      <c r="M365" s="120"/>
      <c r="N365" s="132">
        <f t="shared" si="111"/>
        <v>1.1433517698278715</v>
      </c>
      <c r="O365" s="124">
        <f t="shared" si="124"/>
        <v>150940.83630609734</v>
      </c>
      <c r="P365" s="124">
        <f t="shared" si="125"/>
        <v>1</v>
      </c>
      <c r="Q365" s="124">
        <f t="shared" si="126"/>
        <v>1</v>
      </c>
      <c r="R365" s="124">
        <f t="shared" si="127"/>
        <v>123141.05520928884</v>
      </c>
      <c r="S365" s="124">
        <f t="shared" si="128"/>
        <v>99468.565084174013</v>
      </c>
      <c r="T365" s="124">
        <f t="shared" si="129"/>
        <v>158296.2883897209</v>
      </c>
      <c r="U365" s="124">
        <f t="shared" si="130"/>
        <v>1</v>
      </c>
      <c r="V365" s="124">
        <f t="shared" si="131"/>
        <v>0</v>
      </c>
      <c r="W365" s="124">
        <f t="shared" si="132"/>
        <v>1</v>
      </c>
      <c r="X365" s="124">
        <f t="shared" si="133"/>
        <v>1</v>
      </c>
      <c r="Y365" s="124">
        <f t="shared" si="134"/>
        <v>0</v>
      </c>
      <c r="Z365" s="124">
        <f t="shared" si="135"/>
        <v>1</v>
      </c>
      <c r="AA365" s="124">
        <f t="shared" si="112"/>
        <v>4.2700007164724328E-4</v>
      </c>
      <c r="AB365" s="124">
        <f t="shared" si="136"/>
        <v>0</v>
      </c>
      <c r="AC365" s="124">
        <f t="shared" si="137"/>
        <v>0</v>
      </c>
    </row>
    <row r="366" spans="2:29" s="114" customFormat="1">
      <c r="B366" s="115">
        <f t="shared" si="113"/>
        <v>-0.72000000000006104</v>
      </c>
      <c r="C366" s="124">
        <f t="shared" si="114"/>
        <v>0.19054607179629787</v>
      </c>
      <c r="D366" s="124">
        <f t="shared" si="115"/>
        <v>194503.70075250353</v>
      </c>
      <c r="E366" s="124">
        <f t="shared" si="116"/>
        <v>1</v>
      </c>
      <c r="F366" s="124">
        <f t="shared" si="117"/>
        <v>1</v>
      </c>
      <c r="G366" s="124">
        <f t="shared" si="118"/>
        <v>191881.79652491529</v>
      </c>
      <c r="H366" s="124">
        <f t="shared" si="119"/>
        <v>1</v>
      </c>
      <c r="I366" s="124">
        <f t="shared" si="120"/>
        <v>1</v>
      </c>
      <c r="J366" s="124">
        <f t="shared" si="121"/>
        <v>3.4740331585004296E-5</v>
      </c>
      <c r="K366" s="124">
        <f t="shared" si="122"/>
        <v>0</v>
      </c>
      <c r="L366" s="124">
        <f t="shared" si="123"/>
        <v>0</v>
      </c>
      <c r="M366" s="120"/>
      <c r="N366" s="132">
        <f t="shared" si="111"/>
        <v>1.1972362786512853</v>
      </c>
      <c r="O366" s="124">
        <f t="shared" si="124"/>
        <v>154167.88835481246</v>
      </c>
      <c r="P366" s="124">
        <f t="shared" si="125"/>
        <v>1</v>
      </c>
      <c r="Q366" s="124">
        <f t="shared" si="126"/>
        <v>1</v>
      </c>
      <c r="R366" s="124">
        <f t="shared" si="127"/>
        <v>126075.839774234</v>
      </c>
      <c r="S366" s="124">
        <f t="shared" si="128"/>
        <v>100771.51086210055</v>
      </c>
      <c r="T366" s="124">
        <f t="shared" si="129"/>
        <v>161400.16969076821</v>
      </c>
      <c r="U366" s="124">
        <f t="shared" si="130"/>
        <v>1</v>
      </c>
      <c r="V366" s="124">
        <f t="shared" si="131"/>
        <v>0</v>
      </c>
      <c r="W366" s="124">
        <f t="shared" si="132"/>
        <v>1</v>
      </c>
      <c r="X366" s="124">
        <f t="shared" si="133"/>
        <v>1</v>
      </c>
      <c r="Y366" s="124">
        <f t="shared" si="134"/>
        <v>0</v>
      </c>
      <c r="Z366" s="124">
        <f t="shared" si="135"/>
        <v>1</v>
      </c>
      <c r="AA366" s="124">
        <f t="shared" si="112"/>
        <v>3.9641061250554605E-4</v>
      </c>
      <c r="AB366" s="124">
        <f t="shared" si="136"/>
        <v>0</v>
      </c>
      <c r="AC366" s="124">
        <f t="shared" si="137"/>
        <v>0</v>
      </c>
    </row>
    <row r="367" spans="2:29" s="114" customFormat="1">
      <c r="B367" s="115">
        <f t="shared" si="113"/>
        <v>-0.70000000000006102</v>
      </c>
      <c r="C367" s="124">
        <f t="shared" si="114"/>
        <v>0.19952623149685988</v>
      </c>
      <c r="D367" s="124">
        <f t="shared" si="115"/>
        <v>190542.80631393514</v>
      </c>
      <c r="E367" s="124">
        <f t="shared" si="116"/>
        <v>1</v>
      </c>
      <c r="F367" s="124">
        <f t="shared" si="117"/>
        <v>1</v>
      </c>
      <c r="G367" s="124">
        <f t="shared" si="118"/>
        <v>187269.05774251177</v>
      </c>
      <c r="H367" s="124">
        <f t="shared" si="119"/>
        <v>1</v>
      </c>
      <c r="I367" s="124">
        <f t="shared" si="120"/>
        <v>1</v>
      </c>
      <c r="J367" s="124">
        <f t="shared" si="121"/>
        <v>5.6648682540038659E-5</v>
      </c>
      <c r="K367" s="124">
        <f t="shared" si="122"/>
        <v>0</v>
      </c>
      <c r="L367" s="124">
        <f t="shared" si="123"/>
        <v>0</v>
      </c>
      <c r="M367" s="120"/>
      <c r="N367" s="132">
        <f t="shared" si="111"/>
        <v>1.2536602861379829</v>
      </c>
      <c r="O367" s="124">
        <f t="shared" si="124"/>
        <v>157456.62471478884</v>
      </c>
      <c r="P367" s="124">
        <f t="shared" si="125"/>
        <v>1</v>
      </c>
      <c r="Q367" s="124">
        <f t="shared" si="126"/>
        <v>1</v>
      </c>
      <c r="R367" s="124">
        <f t="shared" si="127"/>
        <v>129001.50667656807</v>
      </c>
      <c r="S367" s="124">
        <f t="shared" si="128"/>
        <v>102050.85366469159</v>
      </c>
      <c r="T367" s="124">
        <f t="shared" si="129"/>
        <v>164486.36861003691</v>
      </c>
      <c r="U367" s="124">
        <f t="shared" si="130"/>
        <v>1</v>
      </c>
      <c r="V367" s="124">
        <f t="shared" si="131"/>
        <v>0</v>
      </c>
      <c r="W367" s="124">
        <f t="shared" si="132"/>
        <v>1</v>
      </c>
      <c r="X367" s="124">
        <f t="shared" si="133"/>
        <v>1</v>
      </c>
      <c r="Y367" s="124">
        <f t="shared" si="134"/>
        <v>0</v>
      </c>
      <c r="Z367" s="124">
        <f t="shared" si="135"/>
        <v>1</v>
      </c>
      <c r="AA367" s="124">
        <f t="shared" si="112"/>
        <v>3.5982201938444141E-4</v>
      </c>
      <c r="AB367" s="124">
        <f t="shared" si="136"/>
        <v>0</v>
      </c>
      <c r="AC367" s="124">
        <f t="shared" si="137"/>
        <v>0</v>
      </c>
    </row>
    <row r="368" spans="2:29" s="114" customFormat="1">
      <c r="B368" s="115">
        <f t="shared" si="113"/>
        <v>-0.680000000000061</v>
      </c>
      <c r="C368" s="124">
        <f t="shared" si="114"/>
        <v>0.20892961308537461</v>
      </c>
      <c r="D368" s="124">
        <f t="shared" si="115"/>
        <v>186651.84811344318</v>
      </c>
      <c r="E368" s="124">
        <f t="shared" si="116"/>
        <v>1</v>
      </c>
      <c r="F368" s="124">
        <f t="shared" si="117"/>
        <v>1</v>
      </c>
      <c r="G368" s="124">
        <f t="shared" si="118"/>
        <v>182791.06797267694</v>
      </c>
      <c r="H368" s="124">
        <f t="shared" si="119"/>
        <v>1</v>
      </c>
      <c r="I368" s="124">
        <f t="shared" si="120"/>
        <v>1</v>
      </c>
      <c r="J368" s="124">
        <f t="shared" si="121"/>
        <v>8.2397813715848097E-5</v>
      </c>
      <c r="K368" s="124">
        <f t="shared" si="122"/>
        <v>0</v>
      </c>
      <c r="L368" s="124">
        <f t="shared" si="123"/>
        <v>0</v>
      </c>
      <c r="M368" s="120"/>
      <c r="N368" s="132">
        <f t="shared" si="111"/>
        <v>1.3127434751727416</v>
      </c>
      <c r="O368" s="124">
        <f t="shared" si="124"/>
        <v>160807.86931526443</v>
      </c>
      <c r="P368" s="124">
        <f t="shared" si="125"/>
        <v>1</v>
      </c>
      <c r="Q368" s="124">
        <f t="shared" si="126"/>
        <v>1</v>
      </c>
      <c r="R368" s="124">
        <f t="shared" si="127"/>
        <v>131912.02004572787</v>
      </c>
      <c r="S368" s="124">
        <f t="shared" si="128"/>
        <v>103314.41007042832</v>
      </c>
      <c r="T368" s="124">
        <f t="shared" si="129"/>
        <v>167554.91147902867</v>
      </c>
      <c r="U368" s="124">
        <f t="shared" si="130"/>
        <v>1</v>
      </c>
      <c r="V368" s="124">
        <f t="shared" si="131"/>
        <v>0</v>
      </c>
      <c r="W368" s="124">
        <f t="shared" si="132"/>
        <v>1</v>
      </c>
      <c r="X368" s="124">
        <f t="shared" si="133"/>
        <v>1</v>
      </c>
      <c r="Y368" s="124">
        <f t="shared" si="134"/>
        <v>0</v>
      </c>
      <c r="Z368" s="124">
        <f t="shared" si="135"/>
        <v>1</v>
      </c>
      <c r="AA368" s="124">
        <f t="shared" si="112"/>
        <v>3.186176825354259E-4</v>
      </c>
      <c r="AB368" s="124">
        <f t="shared" si="136"/>
        <v>0</v>
      </c>
      <c r="AC368" s="124">
        <f t="shared" si="137"/>
        <v>0</v>
      </c>
    </row>
    <row r="369" spans="2:29" s="114" customFormat="1">
      <c r="B369" s="115">
        <f t="shared" si="113"/>
        <v>-0.66000000000006098</v>
      </c>
      <c r="C369" s="124">
        <f t="shared" si="114"/>
        <v>0.21877616239492453</v>
      </c>
      <c r="D369" s="124">
        <f t="shared" si="115"/>
        <v>182830.02927393807</v>
      </c>
      <c r="E369" s="124">
        <f t="shared" si="116"/>
        <v>1</v>
      </c>
      <c r="F369" s="124">
        <f t="shared" si="117"/>
        <v>1</v>
      </c>
      <c r="G369" s="124">
        <f t="shared" si="118"/>
        <v>178454.20816132065</v>
      </c>
      <c r="H369" s="124">
        <f t="shared" si="119"/>
        <v>1</v>
      </c>
      <c r="I369" s="124">
        <f t="shared" si="120"/>
        <v>1</v>
      </c>
      <c r="J369" s="124">
        <f t="shared" si="121"/>
        <v>1.1068586933179953E-4</v>
      </c>
      <c r="K369" s="124">
        <f t="shared" si="122"/>
        <v>0</v>
      </c>
      <c r="L369" s="124">
        <f t="shared" si="123"/>
        <v>0</v>
      </c>
      <c r="M369" s="120"/>
      <c r="N369" s="132">
        <f t="shared" si="111"/>
        <v>1.3746111691209248</v>
      </c>
      <c r="O369" s="124">
        <f t="shared" si="124"/>
        <v>164222.44495117408</v>
      </c>
      <c r="P369" s="124">
        <f t="shared" si="125"/>
        <v>1</v>
      </c>
      <c r="Q369" s="124">
        <f t="shared" si="126"/>
        <v>1</v>
      </c>
      <c r="R369" s="124">
        <f t="shared" si="127"/>
        <v>134802.3827031457</v>
      </c>
      <c r="S369" s="124">
        <f t="shared" si="128"/>
        <v>104570.92640742271</v>
      </c>
      <c r="T369" s="124">
        <f t="shared" si="129"/>
        <v>170607.0368775918</v>
      </c>
      <c r="U369" s="124">
        <f t="shared" si="130"/>
        <v>1</v>
      </c>
      <c r="V369" s="124">
        <f t="shared" si="131"/>
        <v>0</v>
      </c>
      <c r="W369" s="124">
        <f t="shared" si="132"/>
        <v>1</v>
      </c>
      <c r="X369" s="124">
        <f t="shared" si="133"/>
        <v>1</v>
      </c>
      <c r="Y369" s="124">
        <f t="shared" si="134"/>
        <v>0</v>
      </c>
      <c r="Z369" s="124">
        <f t="shared" si="135"/>
        <v>1</v>
      </c>
      <c r="AA369" s="124">
        <f t="shared" si="112"/>
        <v>2.7438022605757545E-4</v>
      </c>
      <c r="AB369" s="124">
        <f t="shared" si="136"/>
        <v>0</v>
      </c>
      <c r="AC369" s="124">
        <f t="shared" si="137"/>
        <v>0</v>
      </c>
    </row>
    <row r="370" spans="2:29" s="114" customFormat="1">
      <c r="B370" s="115">
        <f t="shared" si="113"/>
        <v>-0.64000000000006096</v>
      </c>
      <c r="C370" s="124">
        <f t="shared" si="114"/>
        <v>0.22908676527674512</v>
      </c>
      <c r="D370" s="124">
        <f t="shared" si="115"/>
        <v>179076.54806808455</v>
      </c>
      <c r="E370" s="124">
        <f t="shared" si="116"/>
        <v>1</v>
      </c>
      <c r="F370" s="124">
        <f t="shared" si="117"/>
        <v>1</v>
      </c>
      <c r="G370" s="124">
        <f t="shared" si="118"/>
        <v>174263.70276468594</v>
      </c>
      <c r="H370" s="124">
        <f t="shared" si="119"/>
        <v>1</v>
      </c>
      <c r="I370" s="124">
        <f t="shared" si="120"/>
        <v>1</v>
      </c>
      <c r="J370" s="124">
        <f t="shared" si="121"/>
        <v>1.3999093504288795E-4</v>
      </c>
      <c r="K370" s="124">
        <f t="shared" si="122"/>
        <v>0</v>
      </c>
      <c r="L370" s="124">
        <f t="shared" si="123"/>
        <v>0</v>
      </c>
      <c r="M370" s="120"/>
      <c r="N370" s="132">
        <f t="shared" si="111"/>
        <v>1.4393945976561435</v>
      </c>
      <c r="O370" s="124">
        <f t="shared" si="124"/>
        <v>167701.17285373603</v>
      </c>
      <c r="P370" s="124">
        <f t="shared" si="125"/>
        <v>1</v>
      </c>
      <c r="Q370" s="124">
        <f t="shared" si="126"/>
        <v>1</v>
      </c>
      <c r="R370" s="124">
        <f t="shared" si="127"/>
        <v>137668.75695136978</v>
      </c>
      <c r="S370" s="124">
        <f t="shared" si="128"/>
        <v>105829.92360408907</v>
      </c>
      <c r="T370" s="124">
        <f t="shared" si="129"/>
        <v>173645.21119392454</v>
      </c>
      <c r="U370" s="124">
        <f t="shared" si="130"/>
        <v>1</v>
      </c>
      <c r="V370" s="124">
        <f t="shared" si="131"/>
        <v>0</v>
      </c>
      <c r="W370" s="124">
        <f t="shared" si="132"/>
        <v>1</v>
      </c>
      <c r="X370" s="124">
        <f t="shared" si="133"/>
        <v>1</v>
      </c>
      <c r="Y370" s="124">
        <f t="shared" si="134"/>
        <v>0</v>
      </c>
      <c r="Z370" s="124">
        <f t="shared" si="135"/>
        <v>1</v>
      </c>
      <c r="AA370" s="124">
        <f t="shared" si="112"/>
        <v>2.2881738099638746E-4</v>
      </c>
      <c r="AB370" s="124">
        <f t="shared" si="136"/>
        <v>0</v>
      </c>
      <c r="AC370" s="124">
        <f t="shared" si="137"/>
        <v>0</v>
      </c>
    </row>
    <row r="371" spans="2:29" s="114" customFormat="1">
      <c r="B371" s="115">
        <f t="shared" si="113"/>
        <v>-0.62000000000006095</v>
      </c>
      <c r="C371" s="124">
        <f t="shared" si="114"/>
        <v>0.23988329190191537</v>
      </c>
      <c r="D371" s="124">
        <f t="shared" si="115"/>
        <v>175390.59839889655</v>
      </c>
      <c r="E371" s="124">
        <f t="shared" si="116"/>
        <v>1</v>
      </c>
      <c r="F371" s="124">
        <f t="shared" si="117"/>
        <v>1</v>
      </c>
      <c r="G371" s="124">
        <f t="shared" si="118"/>
        <v>170223.52735636599</v>
      </c>
      <c r="H371" s="124">
        <f t="shared" si="119"/>
        <v>1</v>
      </c>
      <c r="I371" s="124">
        <f t="shared" si="120"/>
        <v>1</v>
      </c>
      <c r="J371" s="124">
        <f t="shared" si="121"/>
        <v>1.6865500388124144E-4</v>
      </c>
      <c r="K371" s="124">
        <f t="shared" si="122"/>
        <v>0</v>
      </c>
      <c r="L371" s="124">
        <f t="shared" si="123"/>
        <v>0</v>
      </c>
      <c r="M371" s="120"/>
      <c r="N371" s="132">
        <f t="shared" si="111"/>
        <v>1.5072311751159866</v>
      </c>
      <c r="O371" s="124">
        <f t="shared" si="124"/>
        <v>171244.87225299576</v>
      </c>
      <c r="P371" s="124">
        <f t="shared" si="125"/>
        <v>1</v>
      </c>
      <c r="Q371" s="124">
        <f t="shared" si="126"/>
        <v>1</v>
      </c>
      <c r="R371" s="124">
        <f t="shared" si="127"/>
        <v>140508.55824097106</v>
      </c>
      <c r="S371" s="124">
        <f t="shared" si="128"/>
        <v>107101.52856250432</v>
      </c>
      <c r="T371" s="124">
        <f t="shared" si="129"/>
        <v>176673.12291172444</v>
      </c>
      <c r="U371" s="124">
        <f t="shared" si="130"/>
        <v>1</v>
      </c>
      <c r="V371" s="124">
        <f t="shared" si="131"/>
        <v>0</v>
      </c>
      <c r="W371" s="124">
        <f t="shared" si="132"/>
        <v>1</v>
      </c>
      <c r="X371" s="124">
        <f t="shared" si="133"/>
        <v>1</v>
      </c>
      <c r="Y371" s="124">
        <f t="shared" si="134"/>
        <v>0</v>
      </c>
      <c r="Z371" s="124">
        <f t="shared" si="135"/>
        <v>1</v>
      </c>
      <c r="AA371" s="124">
        <f t="shared" si="112"/>
        <v>1.8368136729189497E-4</v>
      </c>
      <c r="AB371" s="124">
        <f t="shared" si="136"/>
        <v>0</v>
      </c>
      <c r="AC371" s="124">
        <f t="shared" si="137"/>
        <v>0</v>
      </c>
    </row>
    <row r="372" spans="2:29" s="114" customFormat="1">
      <c r="B372" s="115">
        <f t="shared" si="113"/>
        <v>-0.60000000000006093</v>
      </c>
      <c r="C372" s="124">
        <f t="shared" si="114"/>
        <v>0.25118864315092276</v>
      </c>
      <c r="D372" s="124">
        <f t="shared" si="115"/>
        <v>171771.37027414632</v>
      </c>
      <c r="E372" s="124">
        <f t="shared" si="116"/>
        <v>1</v>
      </c>
      <c r="F372" s="124">
        <f t="shared" si="117"/>
        <v>1</v>
      </c>
      <c r="G372" s="124">
        <f t="shared" si="118"/>
        <v>166336.33258164005</v>
      </c>
      <c r="H372" s="124">
        <f t="shared" si="119"/>
        <v>1</v>
      </c>
      <c r="I372" s="124">
        <f t="shared" si="120"/>
        <v>1</v>
      </c>
      <c r="J372" s="124">
        <f t="shared" si="121"/>
        <v>1.9498375403681817E-4</v>
      </c>
      <c r="K372" s="124">
        <f t="shared" si="122"/>
        <v>0</v>
      </c>
      <c r="L372" s="124">
        <f t="shared" si="123"/>
        <v>0</v>
      </c>
      <c r="M372" s="120"/>
      <c r="N372" s="132">
        <f t="shared" ref="N372:N435" si="138">2*PI()*C372</f>
        <v>1.578264791976254</v>
      </c>
      <c r="O372" s="124">
        <f t="shared" si="124"/>
        <v>174854.35993256967</v>
      </c>
      <c r="P372" s="124">
        <f t="shared" si="125"/>
        <v>1</v>
      </c>
      <c r="Q372" s="124">
        <f t="shared" si="126"/>
        <v>1</v>
      </c>
      <c r="R372" s="124">
        <f t="shared" si="127"/>
        <v>143320.52098955298</v>
      </c>
      <c r="S372" s="124">
        <f t="shared" si="128"/>
        <v>108396.29753682991</v>
      </c>
      <c r="T372" s="124">
        <f t="shared" si="129"/>
        <v>179695.65675444092</v>
      </c>
      <c r="U372" s="124">
        <f t="shared" si="130"/>
        <v>1</v>
      </c>
      <c r="V372" s="124">
        <f t="shared" si="131"/>
        <v>0</v>
      </c>
      <c r="W372" s="124">
        <f t="shared" si="132"/>
        <v>1</v>
      </c>
      <c r="X372" s="124">
        <f t="shared" si="133"/>
        <v>1</v>
      </c>
      <c r="Y372" s="124">
        <f t="shared" si="134"/>
        <v>0</v>
      </c>
      <c r="Z372" s="124">
        <f t="shared" si="135"/>
        <v>1</v>
      </c>
      <c r="AA372" s="124">
        <f t="shared" ref="AA372:AA435" si="139">(LOG10(O372)-LOG10(T372))^2</f>
        <v>1.4068603890333211E-4</v>
      </c>
      <c r="AB372" s="124">
        <f t="shared" si="136"/>
        <v>0</v>
      </c>
      <c r="AC372" s="124">
        <f t="shared" si="137"/>
        <v>0</v>
      </c>
    </row>
    <row r="373" spans="2:29" s="114" customFormat="1">
      <c r="B373" s="115">
        <f t="shared" ref="B373:B436" si="140">B372+0.02</f>
        <v>-0.58000000000006091</v>
      </c>
      <c r="C373" s="124">
        <f t="shared" ref="C373:C436" si="141">10^B373</f>
        <v>0.26302679918950128</v>
      </c>
      <c r="D373" s="124">
        <f t="shared" ref="D373:D436" si="142">IF(AND($D$12&lt;&gt;"",$E$12&lt;&gt;"",$F$12&lt;&gt;"",$G$12&lt;&gt;""),10^($D$12+$E$12/(1+EXP($F$12+$G$12*LOG10($C373)))),1)</f>
        <v>168218.05027423147</v>
      </c>
      <c r="E373" s="124">
        <f t="shared" ref="E373:E436" si="143">IF(AND($D$13&lt;&gt;"",$E$13&lt;&gt;"",$F$13&lt;&gt;"",$G$13&lt;&gt;""),10^($D$13+$E$13/(1+EXP($F$13+$G$13*LOG10($C373)))),1)</f>
        <v>1</v>
      </c>
      <c r="F373" s="124">
        <f t="shared" ref="F373:F436" si="144">IF(AND($D$14&lt;&gt;"",$E$14&lt;&gt;"",$F$14&lt;&gt;"",$G$14&lt;&gt;""),10^($D$14+$E$14/(1+EXP($F$14+$G$14*LOG10($C373)))),1)</f>
        <v>1</v>
      </c>
      <c r="G373" s="124">
        <f t="shared" ref="G373:G436" si="145">IF(OR($C$28="",$C$28=0),1,$C$28+$C$29*EXP(-C373/$F$29)+$C$30*EXP(-C373/$F$30)+$C$31*EXP(-C373/$F$31)+$C$32*EXP(-C373/$F$32)+$C$33*EXP(-C373/$F$33)+$C$34*EXP(-C373/$F$34)+$C$35*EXP(-C373/$F$35)+$C$36*EXP(-C373/$F$36)+$C$37*EXP(-C373/$F$37)+$C$38*EXP(-C373/$F$38)+$C$39*EXP(-C373/$F$39)+$C$40*EXP(-C373/$F$40)+$C$41*EXP(-C373/$F$41)+$C$42*EXP(-C373/$F$42))</f>
        <v>162603.38737076367</v>
      </c>
      <c r="H373" s="124">
        <f t="shared" ref="H373:H436" si="146">IF(OR($D$28="",$D$28=0),1,$D$28+$D$29*EXP(-C373/$F$29)+$D$30*EXP(-C373/$F$30)+$D$31*EXP(-C373/$F$31)+$D$32*EXP(-C373/$F$32)+$D$33*EXP(-C373/$F$33)+$D$34*EXP(-C373/$F$34)+$D$35*EXP(-C373/$F$35)+$D$36*EXP(-C373/$F$36)+$D$37*EXP(-C373/$F$37)+$D$38*EXP(-C373/$F$38)+$D$39*EXP(-C373/$F$39)+$D$40*EXP(-C373/$F$40)+$D$41*EXP(-C373/$F$41)+$D$42*EXP(-C373/$F$42))</f>
        <v>1</v>
      </c>
      <c r="I373" s="124">
        <f t="shared" ref="I373:I436" si="147">IF(OR($E$28="",$E$28=0),1,$E$28+$E$29*EXP(-C373/$F$29)+$E$30*EXP(-C373/$F$30)+$E$31*EXP(-C373/$F$31)+$E$32*EXP(-C373/$F$32)+$E$33*EXP(-C373/$F$33)+$E$34*EXP(-C373/$F$34)+$E$35*EXP(-C373/$F$35)+$E$36*EXP(-C373/$F$36)+$E$37*EXP(-C373/$F$37)+$E$38*EXP(-C373/$F$38)+$E$39*EXP(-C373/$F$39)+$E$40*EXP(-C373/$F$40)+$E$41*EXP(-C373/$F$41)+$E$42*EXP(-C373/$F$42))</f>
        <v>1</v>
      </c>
      <c r="J373" s="124">
        <f t="shared" ref="J373:J436" si="148">(LOG10(D373)-LOG10(G373))^2</f>
        <v>2.1735623689879093E-4</v>
      </c>
      <c r="K373" s="124">
        <f t="shared" ref="K373:K436" si="149">(LOG10(E373)-LOG10(H373))^2</f>
        <v>0</v>
      </c>
      <c r="L373" s="124">
        <f t="shared" ref="L373:L436" si="150">(LOG10(F373)-LOG10(I373))^2</f>
        <v>0</v>
      </c>
      <c r="M373" s="120"/>
      <c r="N373" s="132">
        <f t="shared" si="138"/>
        <v>1.65264612006195</v>
      </c>
      <c r="O373" s="124">
        <f t="shared" ref="O373:O436" si="151">IF(AND($L$12&lt;&gt;"",$M$12&lt;&gt;"",$N$12&lt;&gt;"",$O$12&lt;&gt;""),10^($L$12+$M$12/(1+EXP($N$12+$O$12*LOG10($C373)))),1)</f>
        <v>178530.44977689255</v>
      </c>
      <c r="P373" s="124">
        <f t="shared" ref="P373:P436" si="152">IF(AND($L$13&lt;&gt;"",$M$13&lt;&gt;"",$N$13&lt;&gt;"",$O$13&lt;&gt;""),10^($L$13+$M$13/(1+EXP($N$13+$O$13*LOG10($C373)))),1)</f>
        <v>1</v>
      </c>
      <c r="Q373" s="124">
        <f t="shared" ref="Q373:Q436" si="153">IF(AND($L$14&lt;&gt;"",$M$14&lt;&gt;"",$N$14&lt;&gt;"",$O$14&lt;&gt;""),10^($L$14+$M$14/(1+EXP($N$14+$O$14*LOG10($C373)))),1)</f>
        <v>1</v>
      </c>
      <c r="R373" s="124">
        <f t="shared" ref="R373:R436" si="154">IF(OR($C$28="",$C$28=0),1,$C$28+($N373^2*$F$29^2*$C$29)/($N373^2*$F$29^2+1)+($N373^2*$F$30^2*$C$30)/($N373^2*$F$30^2+1)+($N373^2*$F$31^2*$C$31)/($N373^2*$F$31^2+1)+($N373^2*$F$32^2*$C$32)/($N373^2*$F$32^2+1)+($N373^2*$F$33^2*$C$33)/($N373^2*$F$33^2+1)+($N373^2*$F$34^2*$C$34)/($N373^2*$F$34^2+1)+($N373^2*$F$35^2*$C$35)/($N373^2*$F$35^2+1)+($N373^2*$F$36^2*$C$36)/($N373^2*$F$36^2+1)+($N373^2*$F$37^2*$C$37)/($N373^2*$F$37^2+1)+($N373^2*$F$38^2*$C$38)/($N373^2*$F$38^2+1)+($N373^2*$F$39^2*$C$39)/($N373^2*$F$39^2+1)+($N373^2*$F$40^2*$C$40)/($N373^2*$F$40^2+1)+($N373^2*$F$41^2*$C$41)/($N373^2*$F$41^2+1)+($N373^2*$F$42^2*$C$42)/($N373^2*$F$42^2+1))</f>
        <v>146104.73703705502</v>
      </c>
      <c r="S373" s="124">
        <f t="shared" ref="S373:S436" si="155">IF(OR($C$28="",$C$28=0),0,($N373*$F$29*$C$29)/($N373^2*$F$29^2+1)+($N373*$F$30*$C$30)/($N373^2*$F$30^2+1)+($N373*$F$31*$C$31)/($N373^2*$F$31^2+1)+($N373*$F$32*$C$32)/($N373^2*$F$32^2+1)+($N373*$F$33*$C$33)/($N373^2*$F$33^2+1)+($N373*$F$34*$C$34)/($N373^2*$F$34^2+1)+($N373*$F$35*$C$35)/($N373^2*$F$35^2+1)+($N373*$F$36*$C$36)/($N373^2*$F$36^2+1)+($N373*$F$37*$C$37)/($N373^2*$F$37^2+1)+($N373*$F$38*$C$38)/($N373^2*$F$38^2+1)+($N373*$F$39*$C$39)/($N373^2*$F$39^2+1)+($N373*$F$40*$C$40)/($N373^2*$F$40^2+1)+($N373*$F$41*$C$41)/($N373^2*$F$41^2+1)+($N373*$F$42*$C$42)/($N373^2*$F$42^2+1))</f>
        <v>109725.03670385112</v>
      </c>
      <c r="T373" s="124">
        <f t="shared" ref="T373:T436" si="156">SQRT(R373^2+S373^2)</f>
        <v>182718.84923107541</v>
      </c>
      <c r="U373" s="124">
        <f t="shared" ref="U373:U436" si="157">IF(OR($D$28="",$D$28=0),1,$D$28+($N373^2*$F$29^2*$D$29)/($N373^2*$F$29^2+1)+($N373^2*$F$30^2*$D$30)/($N373^2*$F$30^2+1)+($N373^2*$F$31^2*$D$31)/($N373^2*$F$31^2+1)+($N373^2*$F$32^2*$D$32)/($N373^2*$F$32^2+1)+($N373^2*$F$33^2*$D$33)/($N373^2*$F$33^2+1)+($N373^2*$F$34^2*$D$34)/($N373^2*$F$34^2+1)+($N373^2*$F$35^2*$D$35)/($N373^2*$F$35^2+1)+($N373^2*$F$36^2*$D$36)/($N373^2*$F$36^2+1)+($N373^2*$F$37^2*$D$37)/($N373^2*$F$37^2+1)+($N373^2*$F$38^2*$D$38)/($N373^2*$F$38^2+1)+($N373^2*$F$39^2*$D$39)/($N373^2*$F$39^2+1)+($N373^2*$F$40^2*$D$40)/($N373^2*$F$40^2+1)+($N373^2*$F$41^2*$D$41)/($N373^2*$F$41^2+1)+($N373^2*$F$42^2*$D$42)/($N373^2*$F$42^2+1))</f>
        <v>1</v>
      </c>
      <c r="V373" s="124">
        <f t="shared" ref="V373:V436" si="158">IF(OR($D$28="",$D$28=0),0,($N373*$F$29*$D$29)/($N373^2*$F$29^2+1)+($N373*$F$30*$D$30)/($N373^2*$F$30^2+1)+($N373*$F$31*$D$31)/($N373^2*$F$31^2+1)+($N373*$F$32*$D$32)/($N373^2*$F$32^2+1)+($N373*$F$33*$D$33)/($N373^2*$F$33^2+1)+($N373*$F$34*$D$34)/($N373^2*$F$34^2+1)+($N373*$F$35*$D$35)/($N373^2*$F$35^2+1)+($N373*$F$36*$D$36)/($N373^2*$F$36^2+1)+($N373*$F$37*$D$37)/($N373^2*$F$37^2+1)+($N373*$F$38*$D$38)/($N373^2*$F$38^2+1)+($N373*$F$39*$D$39)/($N373^2*$F$39^2+1)+($N373*$F$40*$D$40)/($N373^2*$F$40^2+1)+($N373*$F$41*$D$41)/($N373^2*$F$41^2+1)+($N373*$F$42*$D$42)/($N373^2*$F$42^2+1))</f>
        <v>0</v>
      </c>
      <c r="W373" s="124">
        <f t="shared" ref="W373:W436" si="159">SQRT(U373^2+V373^2)</f>
        <v>1</v>
      </c>
      <c r="X373" s="124">
        <f t="shared" ref="X373:X436" si="160">IF(OR($E$28="",$E$28=0),1,$E$28+($N373^2*$F$29^2*$E$29)/($N373^2*$F$29^2+1)+($N373^2*$F$30^2*$E$30)/($N373^2*$F$30^2+1)+($N373^2*$F$31^2*$E$31)/($N373^2*$F$31^2+1)+($N373^2*$F$32^2*$E$32)/($N373^2*$F$32^2+1)+($N373^2*$F$33^2*$E$33)/($N373^2*$F$33^2+1)+($N373^2*$F$34^2*$E$34)/($N373^2*$F$34^2+1)+($N373^2*$F$35^2*$E$35)/($N373^2*$F$35^2+1)+($N373^2*$F$36^2*$E$36)/($N373^2*$F$36^2+1)+($N373^2*$F$37^2*$E$37)/($N373^2*$F$37^2+1)+($N373^2*$F$38^2*$E$38)/($N373^2*$F$38^2+1)+($N373^2*$F$39^2*$E$39)/($N373^2*$F$39^2+1)+($N373^2*$F$40^2*$E$40)/($N373^2*$F$40^2+1)+($N373^2*$F$41^2*$E$41)/($N373^2*$F$41^2+1)+($N373^2*$F$42^2*$E$42)/($N373^2*$F$42^2+1))</f>
        <v>1</v>
      </c>
      <c r="Y373" s="124">
        <f t="shared" ref="Y373:Y436" si="161">IF(OR($E$28="",$E$28=0),0,($N373*$F$29*$E$29)/($N373^2*$F$29^2+1)+($N373*$F$30*$E$30)/($N373^2*$F$30^2+1)+($N373*$F$31*$E$31)/($N373^2*$F$31^2+1)+($N373*$F$32*$E$32)/($N373^2*$F$32^2+1)+($N373*$F$33*$E$33)/($N373^2*$F$33^2+1)+($N373*$F$34*$E$34)/($N373^2*$F$34^2+1)+($N373*$F$35*$E$35)/($N373^2*$F$35^2+1)+($N373*$F$36*$E$36)/($N373^2*$F$36^2+1)+($N373*$F$37*$E$37)/($N373^2*$F$37^2+1)+($N373*$F$38*$E$38)/($N373^2*$F$38^2+1)+($N373*$F$39*$E$39)/($N373^2*$F$39^2+1)+($N373*$F$40*$E$40)/($N373^2*$F$40^2+1)+($N373*$F$41*$E$41)/($N373^2*$F$41^2+1)+($N373*$F$42*$E$42)/($N373^2*$F$42^2+1))</f>
        <v>0</v>
      </c>
      <c r="Z373" s="124">
        <f t="shared" ref="Z373:Z436" si="162">SQRT(X373^2+Y373^2)</f>
        <v>1</v>
      </c>
      <c r="AA373" s="124">
        <f t="shared" si="139"/>
        <v>1.0142609358289465E-4</v>
      </c>
      <c r="AB373" s="124">
        <f t="shared" ref="AB373:AB436" si="163">(LOG10(P373)-LOG10(W373))^2</f>
        <v>0</v>
      </c>
      <c r="AC373" s="124">
        <f t="shared" ref="AC373:AC436" si="164">(LOG10(Q373)-LOG10(Z373))^2</f>
        <v>0</v>
      </c>
    </row>
    <row r="374" spans="2:29" s="114" customFormat="1">
      <c r="B374" s="115">
        <f t="shared" si="140"/>
        <v>-0.56000000000006089</v>
      </c>
      <c r="C374" s="124">
        <f t="shared" si="141"/>
        <v>0.27542287033377799</v>
      </c>
      <c r="D374" s="124">
        <f t="shared" si="142"/>
        <v>164729.82201318903</v>
      </c>
      <c r="E374" s="124">
        <f t="shared" si="143"/>
        <v>1</v>
      </c>
      <c r="F374" s="124">
        <f t="shared" si="144"/>
        <v>1</v>
      </c>
      <c r="G374" s="124">
        <f t="shared" si="145"/>
        <v>159024.54409011465</v>
      </c>
      <c r="H374" s="124">
        <f t="shared" si="146"/>
        <v>1</v>
      </c>
      <c r="I374" s="124">
        <f t="shared" si="147"/>
        <v>1</v>
      </c>
      <c r="J374" s="124">
        <f t="shared" si="148"/>
        <v>2.3433700771048255E-4</v>
      </c>
      <c r="K374" s="124">
        <f t="shared" si="149"/>
        <v>0</v>
      </c>
      <c r="L374" s="124">
        <f t="shared" si="150"/>
        <v>0</v>
      </c>
      <c r="M374" s="120"/>
      <c r="N374" s="132">
        <f t="shared" si="138"/>
        <v>1.7305329321424223</v>
      </c>
      <c r="O374" s="124">
        <f t="shared" si="151"/>
        <v>182273.95231123574</v>
      </c>
      <c r="P374" s="124">
        <f t="shared" si="152"/>
        <v>1</v>
      </c>
      <c r="Q374" s="124">
        <f t="shared" si="153"/>
        <v>1</v>
      </c>
      <c r="R374" s="124">
        <f t="shared" si="154"/>
        <v>148862.6682529127</v>
      </c>
      <c r="S374" s="124">
        <f t="shared" si="155"/>
        <v>111098.62454792485</v>
      </c>
      <c r="T374" s="124">
        <f t="shared" si="156"/>
        <v>185749.82739108402</v>
      </c>
      <c r="U374" s="124">
        <f t="shared" si="157"/>
        <v>1</v>
      </c>
      <c r="V374" s="124">
        <f t="shared" si="158"/>
        <v>0</v>
      </c>
      <c r="W374" s="124">
        <f t="shared" si="159"/>
        <v>1</v>
      </c>
      <c r="X374" s="124">
        <f t="shared" si="160"/>
        <v>1</v>
      </c>
      <c r="Y374" s="124">
        <f t="shared" si="161"/>
        <v>0</v>
      </c>
      <c r="Z374" s="124">
        <f t="shared" si="162"/>
        <v>1</v>
      </c>
      <c r="AA374" s="124">
        <f t="shared" si="139"/>
        <v>6.7302469318543691E-5</v>
      </c>
      <c r="AB374" s="124">
        <f t="shared" si="163"/>
        <v>0</v>
      </c>
      <c r="AC374" s="124">
        <f t="shared" si="164"/>
        <v>0</v>
      </c>
    </row>
    <row r="375" spans="2:29" s="114" customFormat="1">
      <c r="B375" s="115">
        <f t="shared" si="140"/>
        <v>-0.54000000000006088</v>
      </c>
      <c r="C375" s="124">
        <f t="shared" si="141"/>
        <v>0.28840315031262015</v>
      </c>
      <c r="D375" s="124">
        <f t="shared" si="142"/>
        <v>161305.86659253057</v>
      </c>
      <c r="E375" s="124">
        <f t="shared" si="143"/>
        <v>1</v>
      </c>
      <c r="F375" s="124">
        <f t="shared" si="144"/>
        <v>1</v>
      </c>
      <c r="G375" s="124">
        <f t="shared" si="145"/>
        <v>155598.2279404639</v>
      </c>
      <c r="H375" s="124">
        <f t="shared" si="146"/>
        <v>1</v>
      </c>
      <c r="I375" s="124">
        <f t="shared" si="147"/>
        <v>1</v>
      </c>
      <c r="J375" s="124">
        <f t="shared" si="148"/>
        <v>2.4478217261041308E-4</v>
      </c>
      <c r="K375" s="124">
        <f t="shared" si="149"/>
        <v>0</v>
      </c>
      <c r="L375" s="124">
        <f t="shared" si="150"/>
        <v>0</v>
      </c>
      <c r="M375" s="120"/>
      <c r="N375" s="132">
        <f t="shared" si="138"/>
        <v>1.8120904365885606</v>
      </c>
      <c r="O375" s="124">
        <f t="shared" si="151"/>
        <v>186085.6742348304</v>
      </c>
      <c r="P375" s="124">
        <f t="shared" si="152"/>
        <v>1</v>
      </c>
      <c r="Q375" s="124">
        <f t="shared" si="153"/>
        <v>1</v>
      </c>
      <c r="R375" s="124">
        <f t="shared" si="154"/>
        <v>151597.13560903264</v>
      </c>
      <c r="S375" s="124">
        <f t="shared" si="155"/>
        <v>112527.83992036845</v>
      </c>
      <c r="T375" s="124">
        <f t="shared" si="156"/>
        <v>188796.73271009617</v>
      </c>
      <c r="U375" s="124">
        <f t="shared" si="157"/>
        <v>1</v>
      </c>
      <c r="V375" s="124">
        <f t="shared" si="158"/>
        <v>0</v>
      </c>
      <c r="W375" s="124">
        <f t="shared" si="159"/>
        <v>1</v>
      </c>
      <c r="X375" s="124">
        <f t="shared" si="160"/>
        <v>1</v>
      </c>
      <c r="Y375" s="124">
        <f t="shared" si="161"/>
        <v>0</v>
      </c>
      <c r="Z375" s="124">
        <f t="shared" si="162"/>
        <v>1</v>
      </c>
      <c r="AA375" s="124">
        <f t="shared" si="139"/>
        <v>3.9457667332799587E-5</v>
      </c>
      <c r="AB375" s="124">
        <f t="shared" si="163"/>
        <v>0</v>
      </c>
      <c r="AC375" s="124">
        <f t="shared" si="164"/>
        <v>0</v>
      </c>
    </row>
    <row r="376" spans="2:29" s="114" customFormat="1">
      <c r="B376" s="115">
        <f t="shared" si="140"/>
        <v>-0.52000000000006086</v>
      </c>
      <c r="C376" s="124">
        <f t="shared" si="141"/>
        <v>0.3019951720401593</v>
      </c>
      <c r="D376" s="124">
        <f t="shared" si="142"/>
        <v>157945.36304761801</v>
      </c>
      <c r="E376" s="124">
        <f t="shared" si="143"/>
        <v>1</v>
      </c>
      <c r="F376" s="124">
        <f t="shared" si="144"/>
        <v>1</v>
      </c>
      <c r="G376" s="124">
        <f t="shared" si="145"/>
        <v>152321.45240685152</v>
      </c>
      <c r="H376" s="124">
        <f t="shared" si="146"/>
        <v>1</v>
      </c>
      <c r="I376" s="124">
        <f t="shared" si="147"/>
        <v>1</v>
      </c>
      <c r="J376" s="124">
        <f t="shared" si="148"/>
        <v>2.4793047938533687E-4</v>
      </c>
      <c r="K376" s="124">
        <f t="shared" si="149"/>
        <v>0</v>
      </c>
      <c r="L376" s="124">
        <f t="shared" si="150"/>
        <v>0</v>
      </c>
      <c r="M376" s="120"/>
      <c r="N376" s="132">
        <f t="shared" si="138"/>
        <v>1.8974916278019003</v>
      </c>
      <c r="O376" s="124">
        <f t="shared" si="151"/>
        <v>189966.417947396</v>
      </c>
      <c r="P376" s="124">
        <f t="shared" si="152"/>
        <v>1</v>
      </c>
      <c r="Q376" s="124">
        <f t="shared" si="153"/>
        <v>1</v>
      </c>
      <c r="R376" s="124">
        <f t="shared" si="154"/>
        <v>154312.28756910737</v>
      </c>
      <c r="S376" s="124">
        <f t="shared" si="155"/>
        <v>114023.19875290946</v>
      </c>
      <c r="T376" s="124">
        <f t="shared" si="156"/>
        <v>191868.63200809137</v>
      </c>
      <c r="U376" s="124">
        <f t="shared" si="157"/>
        <v>1</v>
      </c>
      <c r="V376" s="124">
        <f t="shared" si="158"/>
        <v>0</v>
      </c>
      <c r="W376" s="124">
        <f t="shared" si="159"/>
        <v>1</v>
      </c>
      <c r="X376" s="124">
        <f t="shared" si="160"/>
        <v>1</v>
      </c>
      <c r="Y376" s="124">
        <f t="shared" si="161"/>
        <v>0</v>
      </c>
      <c r="Z376" s="124">
        <f t="shared" si="162"/>
        <v>1</v>
      </c>
      <c r="AA376" s="124">
        <f t="shared" si="139"/>
        <v>1.8724187961159758E-5</v>
      </c>
      <c r="AB376" s="124">
        <f t="shared" si="163"/>
        <v>0</v>
      </c>
      <c r="AC376" s="124">
        <f t="shared" si="164"/>
        <v>0</v>
      </c>
    </row>
    <row r="377" spans="2:29" s="114" customFormat="1">
      <c r="B377" s="115">
        <f t="shared" si="140"/>
        <v>-0.50000000000006084</v>
      </c>
      <c r="C377" s="124">
        <f t="shared" si="141"/>
        <v>0.31622776601679359</v>
      </c>
      <c r="D377" s="124">
        <f t="shared" si="142"/>
        <v>154647.48878628344</v>
      </c>
      <c r="E377" s="124">
        <f t="shared" si="143"/>
        <v>1</v>
      </c>
      <c r="F377" s="124">
        <f t="shared" si="144"/>
        <v>1</v>
      </c>
      <c r="G377" s="124">
        <f t="shared" si="145"/>
        <v>149189.86193145855</v>
      </c>
      <c r="H377" s="124">
        <f t="shared" si="146"/>
        <v>1</v>
      </c>
      <c r="I377" s="124">
        <f t="shared" si="147"/>
        <v>1</v>
      </c>
      <c r="J377" s="124">
        <f t="shared" si="148"/>
        <v>2.4347108955677621E-4</v>
      </c>
      <c r="K377" s="124">
        <f t="shared" si="149"/>
        <v>0</v>
      </c>
      <c r="L377" s="124">
        <f t="shared" si="150"/>
        <v>0</v>
      </c>
      <c r="M377" s="120"/>
      <c r="N377" s="132">
        <f t="shared" si="138"/>
        <v>1.9869176531589416</v>
      </c>
      <c r="O377" s="124">
        <f t="shared" si="151"/>
        <v>193916.98106943796</v>
      </c>
      <c r="P377" s="124">
        <f t="shared" si="152"/>
        <v>1</v>
      </c>
      <c r="Q377" s="124">
        <f t="shared" si="153"/>
        <v>1</v>
      </c>
      <c r="R377" s="124">
        <f t="shared" si="154"/>
        <v>157013.55091520018</v>
      </c>
      <c r="S377" s="124">
        <f t="shared" si="155"/>
        <v>115594.8014845834</v>
      </c>
      <c r="T377" s="124">
        <f t="shared" si="156"/>
        <v>194975.41717165371</v>
      </c>
      <c r="U377" s="124">
        <f t="shared" si="157"/>
        <v>1</v>
      </c>
      <c r="V377" s="124">
        <f t="shared" si="158"/>
        <v>0</v>
      </c>
      <c r="W377" s="124">
        <f t="shared" si="159"/>
        <v>1</v>
      </c>
      <c r="X377" s="124">
        <f t="shared" si="160"/>
        <v>1</v>
      </c>
      <c r="Y377" s="124">
        <f t="shared" si="161"/>
        <v>0</v>
      </c>
      <c r="Z377" s="124">
        <f t="shared" si="162"/>
        <v>1</v>
      </c>
      <c r="AA377" s="124">
        <f t="shared" si="139"/>
        <v>5.5885757281364386E-6</v>
      </c>
      <c r="AB377" s="124">
        <f t="shared" si="163"/>
        <v>0</v>
      </c>
      <c r="AC377" s="124">
        <f t="shared" si="164"/>
        <v>0</v>
      </c>
    </row>
    <row r="378" spans="2:29" s="114" customFormat="1">
      <c r="B378" s="115">
        <f t="shared" si="140"/>
        <v>-0.48000000000006082</v>
      </c>
      <c r="C378" s="124">
        <f t="shared" si="141"/>
        <v>0.33113112148254464</v>
      </c>
      <c r="D378" s="124">
        <f t="shared" si="142"/>
        <v>151411.42001944169</v>
      </c>
      <c r="E378" s="124">
        <f t="shared" si="143"/>
        <v>1</v>
      </c>
      <c r="F378" s="124">
        <f t="shared" si="144"/>
        <v>1</v>
      </c>
      <c r="G378" s="124">
        <f t="shared" si="145"/>
        <v>146197.80223280363</v>
      </c>
      <c r="H378" s="124">
        <f t="shared" si="146"/>
        <v>1</v>
      </c>
      <c r="I378" s="124">
        <f t="shared" si="147"/>
        <v>1</v>
      </c>
      <c r="J378" s="124">
        <f t="shared" si="148"/>
        <v>2.3158108775110496E-4</v>
      </c>
      <c r="K378" s="124">
        <f t="shared" si="149"/>
        <v>0</v>
      </c>
      <c r="L378" s="124">
        <f t="shared" si="150"/>
        <v>0</v>
      </c>
      <c r="M378" s="120"/>
      <c r="N378" s="132">
        <f t="shared" si="138"/>
        <v>2.0805581972490232</v>
      </c>
      <c r="O378" s="124">
        <f t="shared" si="151"/>
        <v>197938.15595664244</v>
      </c>
      <c r="P378" s="124">
        <f t="shared" si="152"/>
        <v>1</v>
      </c>
      <c r="Q378" s="124">
        <f t="shared" si="153"/>
        <v>1</v>
      </c>
      <c r="R378" s="124">
        <f t="shared" si="154"/>
        <v>159707.56715337056</v>
      </c>
      <c r="S378" s="124">
        <f t="shared" si="155"/>
        <v>117252.19237196438</v>
      </c>
      <c r="T378" s="124">
        <f t="shared" si="156"/>
        <v>198127.69524243829</v>
      </c>
      <c r="U378" s="124">
        <f t="shared" si="157"/>
        <v>1</v>
      </c>
      <c r="V378" s="124">
        <f t="shared" si="158"/>
        <v>0</v>
      </c>
      <c r="W378" s="124">
        <f t="shared" si="159"/>
        <v>1</v>
      </c>
      <c r="X378" s="124">
        <f t="shared" si="160"/>
        <v>1</v>
      </c>
      <c r="Y378" s="124">
        <f t="shared" si="161"/>
        <v>0</v>
      </c>
      <c r="Z378" s="124">
        <f t="shared" si="162"/>
        <v>1</v>
      </c>
      <c r="AA378" s="124">
        <f t="shared" si="139"/>
        <v>1.7277955916369772E-7</v>
      </c>
      <c r="AB378" s="124">
        <f t="shared" si="163"/>
        <v>0</v>
      </c>
      <c r="AC378" s="124">
        <f t="shared" si="164"/>
        <v>0</v>
      </c>
    </row>
    <row r="379" spans="2:29" s="114" customFormat="1">
      <c r="B379" s="115">
        <f t="shared" si="140"/>
        <v>-0.4600000000000608</v>
      </c>
      <c r="C379" s="124">
        <f t="shared" si="141"/>
        <v>0.34673685045248304</v>
      </c>
      <c r="D379" s="124">
        <f t="shared" si="142"/>
        <v>148236.33218343696</v>
      </c>
      <c r="E379" s="124">
        <f t="shared" si="143"/>
        <v>1</v>
      </c>
      <c r="F379" s="124">
        <f t="shared" si="144"/>
        <v>1</v>
      </c>
      <c r="G379" s="124">
        <f t="shared" si="145"/>
        <v>143338.41785236588</v>
      </c>
      <c r="H379" s="124">
        <f t="shared" si="146"/>
        <v>1</v>
      </c>
      <c r="I379" s="124">
        <f t="shared" si="147"/>
        <v>1</v>
      </c>
      <c r="J379" s="124">
        <f t="shared" si="148"/>
        <v>2.1292804569327043E-4</v>
      </c>
      <c r="K379" s="124">
        <f t="shared" si="149"/>
        <v>0</v>
      </c>
      <c r="L379" s="124">
        <f t="shared" si="150"/>
        <v>0</v>
      </c>
      <c r="M379" s="120"/>
      <c r="N379" s="132">
        <f t="shared" si="138"/>
        <v>2.1786118842207669</v>
      </c>
      <c r="O379" s="124">
        <f t="shared" si="151"/>
        <v>202030.72920876308</v>
      </c>
      <c r="P379" s="124">
        <f t="shared" si="152"/>
        <v>1</v>
      </c>
      <c r="Q379" s="124">
        <f t="shared" si="153"/>
        <v>1</v>
      </c>
      <c r="R379" s="124">
        <f t="shared" si="154"/>
        <v>162402.11744390667</v>
      </c>
      <c r="S379" s="124">
        <f t="shared" si="155"/>
        <v>119004.23105196886</v>
      </c>
      <c r="T379" s="124">
        <f t="shared" si="156"/>
        <v>201336.67017842241</v>
      </c>
      <c r="U379" s="124">
        <f t="shared" si="157"/>
        <v>1</v>
      </c>
      <c r="V379" s="124">
        <f t="shared" si="158"/>
        <v>0</v>
      </c>
      <c r="W379" s="124">
        <f t="shared" si="159"/>
        <v>1</v>
      </c>
      <c r="X379" s="124">
        <f t="shared" si="160"/>
        <v>1</v>
      </c>
      <c r="Y379" s="124">
        <f t="shared" si="161"/>
        <v>0</v>
      </c>
      <c r="Z379" s="124">
        <f t="shared" si="162"/>
        <v>1</v>
      </c>
      <c r="AA379" s="124">
        <f t="shared" si="139"/>
        <v>2.2336786812131981E-6</v>
      </c>
      <c r="AB379" s="124">
        <f t="shared" si="163"/>
        <v>0</v>
      </c>
      <c r="AC379" s="124">
        <f t="shared" si="164"/>
        <v>0</v>
      </c>
    </row>
    <row r="380" spans="2:29" s="114" customFormat="1">
      <c r="B380" s="115">
        <f t="shared" si="140"/>
        <v>-0.44000000000006079</v>
      </c>
      <c r="C380" s="124">
        <f t="shared" si="141"/>
        <v>0.36307805477005051</v>
      </c>
      <c r="D380" s="124">
        <f t="shared" si="142"/>
        <v>145121.40035389792</v>
      </c>
      <c r="E380" s="124">
        <f t="shared" si="143"/>
        <v>1</v>
      </c>
      <c r="F380" s="124">
        <f t="shared" si="144"/>
        <v>1</v>
      </c>
      <c r="G380" s="124">
        <f t="shared" si="145"/>
        <v>140603.77560211753</v>
      </c>
      <c r="H380" s="124">
        <f t="shared" si="146"/>
        <v>1</v>
      </c>
      <c r="I380" s="124">
        <f t="shared" si="147"/>
        <v>1</v>
      </c>
      <c r="J380" s="124">
        <f t="shared" si="148"/>
        <v>1.8863587553541222E-4</v>
      </c>
      <c r="K380" s="124">
        <f t="shared" si="149"/>
        <v>0</v>
      </c>
      <c r="L380" s="124">
        <f t="shared" si="150"/>
        <v>0</v>
      </c>
      <c r="M380" s="120"/>
      <c r="N380" s="132">
        <f t="shared" si="138"/>
        <v>2.2812866990905265</v>
      </c>
      <c r="O380" s="124">
        <f t="shared" si="151"/>
        <v>206195.48117335941</v>
      </c>
      <c r="P380" s="124">
        <f t="shared" si="152"/>
        <v>1</v>
      </c>
      <c r="Q380" s="124">
        <f t="shared" si="153"/>
        <v>1</v>
      </c>
      <c r="R380" s="124">
        <f t="shared" si="154"/>
        <v>165106.03863127658</v>
      </c>
      <c r="S380" s="124">
        <f t="shared" si="155"/>
        <v>120858.97605801473</v>
      </c>
      <c r="T380" s="124">
        <f t="shared" si="156"/>
        <v>204614.01732604823</v>
      </c>
      <c r="U380" s="124">
        <f t="shared" si="157"/>
        <v>1</v>
      </c>
      <c r="V380" s="124">
        <f t="shared" si="158"/>
        <v>0</v>
      </c>
      <c r="W380" s="124">
        <f t="shared" si="159"/>
        <v>1</v>
      </c>
      <c r="X380" s="124">
        <f t="shared" si="160"/>
        <v>1</v>
      </c>
      <c r="Y380" s="124">
        <f t="shared" si="161"/>
        <v>0</v>
      </c>
      <c r="Z380" s="124">
        <f t="shared" si="162"/>
        <v>1</v>
      </c>
      <c r="AA380" s="124">
        <f t="shared" si="139"/>
        <v>1.1180738448959173E-5</v>
      </c>
      <c r="AB380" s="124">
        <f t="shared" si="163"/>
        <v>0</v>
      </c>
      <c r="AC380" s="124">
        <f t="shared" si="164"/>
        <v>0</v>
      </c>
    </row>
    <row r="381" spans="2:29" s="114" customFormat="1">
      <c r="B381" s="115">
        <f t="shared" si="140"/>
        <v>-0.42000000000006077</v>
      </c>
      <c r="C381" s="124">
        <f t="shared" si="141"/>
        <v>0.38018939632050802</v>
      </c>
      <c r="D381" s="124">
        <f t="shared" si="142"/>
        <v>142065.79965087702</v>
      </c>
      <c r="E381" s="124">
        <f t="shared" si="143"/>
        <v>1</v>
      </c>
      <c r="F381" s="124">
        <f t="shared" si="144"/>
        <v>1</v>
      </c>
      <c r="G381" s="124">
        <f t="shared" si="145"/>
        <v>137985.01164994008</v>
      </c>
      <c r="H381" s="124">
        <f t="shared" si="146"/>
        <v>1</v>
      </c>
      <c r="I381" s="124">
        <f t="shared" si="147"/>
        <v>1</v>
      </c>
      <c r="J381" s="124">
        <f t="shared" si="148"/>
        <v>1.6021548640664086E-4</v>
      </c>
      <c r="K381" s="124">
        <f t="shared" si="149"/>
        <v>0</v>
      </c>
      <c r="L381" s="124">
        <f t="shared" si="150"/>
        <v>0</v>
      </c>
      <c r="M381" s="120"/>
      <c r="N381" s="132">
        <f t="shared" si="138"/>
        <v>2.3888004289064928</v>
      </c>
      <c r="O381" s="124">
        <f t="shared" si="151"/>
        <v>210433.18544479826</v>
      </c>
      <c r="P381" s="124">
        <f t="shared" si="152"/>
        <v>1</v>
      </c>
      <c r="Q381" s="124">
        <f t="shared" si="153"/>
        <v>1</v>
      </c>
      <c r="R381" s="124">
        <f t="shared" si="154"/>
        <v>167829.13245201838</v>
      </c>
      <c r="S381" s="124">
        <f t="shared" si="155"/>
        <v>122823.57948219693</v>
      </c>
      <c r="T381" s="124">
        <f t="shared" si="156"/>
        <v>207971.75139046332</v>
      </c>
      <c r="U381" s="124">
        <f t="shared" si="157"/>
        <v>1</v>
      </c>
      <c r="V381" s="124">
        <f t="shared" si="158"/>
        <v>0</v>
      </c>
      <c r="W381" s="124">
        <f t="shared" si="159"/>
        <v>1</v>
      </c>
      <c r="X381" s="124">
        <f t="shared" si="160"/>
        <v>1</v>
      </c>
      <c r="Y381" s="124">
        <f t="shared" si="161"/>
        <v>0</v>
      </c>
      <c r="Z381" s="124">
        <f t="shared" si="162"/>
        <v>1</v>
      </c>
      <c r="AA381" s="124">
        <f t="shared" si="139"/>
        <v>2.6110876072607111E-5</v>
      </c>
      <c r="AB381" s="124">
        <f t="shared" si="163"/>
        <v>0</v>
      </c>
      <c r="AC381" s="124">
        <f t="shared" si="164"/>
        <v>0</v>
      </c>
    </row>
    <row r="382" spans="2:29" s="114" customFormat="1">
      <c r="B382" s="115">
        <f t="shared" si="140"/>
        <v>-0.40000000000006075</v>
      </c>
      <c r="C382" s="124">
        <f t="shared" si="141"/>
        <v>0.39810717055344153</v>
      </c>
      <c r="D382" s="124">
        <f t="shared" si="142"/>
        <v>139068.70563507959</v>
      </c>
      <c r="E382" s="124">
        <f t="shared" si="143"/>
        <v>1</v>
      </c>
      <c r="F382" s="124">
        <f t="shared" si="144"/>
        <v>1</v>
      </c>
      <c r="G382" s="124">
        <f t="shared" si="145"/>
        <v>135472.49905781995</v>
      </c>
      <c r="H382" s="124">
        <f t="shared" si="146"/>
        <v>1</v>
      </c>
      <c r="I382" s="124">
        <f t="shared" si="147"/>
        <v>1</v>
      </c>
      <c r="J382" s="124">
        <f t="shared" si="148"/>
        <v>1.2946503345570207E-4</v>
      </c>
      <c r="K382" s="124">
        <f t="shared" si="149"/>
        <v>0</v>
      </c>
      <c r="L382" s="124">
        <f t="shared" si="150"/>
        <v>0</v>
      </c>
      <c r="M382" s="120"/>
      <c r="N382" s="132">
        <f t="shared" si="138"/>
        <v>2.5013811247042215</v>
      </c>
      <c r="O382" s="124">
        <f t="shared" si="151"/>
        <v>214744.60835892212</v>
      </c>
      <c r="P382" s="124">
        <f t="shared" si="152"/>
        <v>1</v>
      </c>
      <c r="Q382" s="124">
        <f t="shared" si="153"/>
        <v>1</v>
      </c>
      <c r="R382" s="124">
        <f t="shared" si="154"/>
        <v>170582.06942377749</v>
      </c>
      <c r="S382" s="124">
        <f t="shared" si="155"/>
        <v>124904.1916425649</v>
      </c>
      <c r="T382" s="124">
        <f t="shared" si="156"/>
        <v>211422.08848363272</v>
      </c>
      <c r="U382" s="124">
        <f t="shared" si="157"/>
        <v>1</v>
      </c>
      <c r="V382" s="124">
        <f t="shared" si="158"/>
        <v>0</v>
      </c>
      <c r="W382" s="124">
        <f t="shared" si="159"/>
        <v>1</v>
      </c>
      <c r="X382" s="124">
        <f t="shared" si="160"/>
        <v>1</v>
      </c>
      <c r="Y382" s="124">
        <f t="shared" si="161"/>
        <v>0</v>
      </c>
      <c r="Z382" s="124">
        <f t="shared" si="162"/>
        <v>1</v>
      </c>
      <c r="AA382" s="124">
        <f t="shared" si="139"/>
        <v>4.5858766710870398E-5</v>
      </c>
      <c r="AB382" s="124">
        <f t="shared" si="163"/>
        <v>0</v>
      </c>
      <c r="AC382" s="124">
        <f t="shared" si="164"/>
        <v>0</v>
      </c>
    </row>
    <row r="383" spans="2:29" s="114" customFormat="1">
      <c r="B383" s="115">
        <f t="shared" si="140"/>
        <v>-0.38000000000006073</v>
      </c>
      <c r="C383" s="124">
        <f t="shared" si="141"/>
        <v>0.41686938347027708</v>
      </c>
      <c r="D383" s="124">
        <f t="shared" si="142"/>
        <v>136129.29469498957</v>
      </c>
      <c r="E383" s="124">
        <f t="shared" si="143"/>
        <v>1</v>
      </c>
      <c r="F383" s="124">
        <f t="shared" si="144"/>
        <v>1</v>
      </c>
      <c r="G383" s="124">
        <f t="shared" si="145"/>
        <v>133056.03172838071</v>
      </c>
      <c r="H383" s="124">
        <f t="shared" si="146"/>
        <v>1</v>
      </c>
      <c r="I383" s="124">
        <f t="shared" si="147"/>
        <v>1</v>
      </c>
      <c r="J383" s="124">
        <f t="shared" si="148"/>
        <v>9.8347434561188018E-5</v>
      </c>
      <c r="K383" s="124">
        <f t="shared" si="149"/>
        <v>0</v>
      </c>
      <c r="L383" s="124">
        <f t="shared" si="150"/>
        <v>0</v>
      </c>
      <c r="M383" s="120"/>
      <c r="N383" s="132">
        <f t="shared" si="138"/>
        <v>2.6192675852334575</v>
      </c>
      <c r="O383" s="124">
        <f t="shared" si="151"/>
        <v>219130.50848380741</v>
      </c>
      <c r="P383" s="124">
        <f t="shared" si="152"/>
        <v>1</v>
      </c>
      <c r="Q383" s="124">
        <f t="shared" si="153"/>
        <v>1</v>
      </c>
      <c r="R383" s="124">
        <f t="shared" si="154"/>
        <v>173376.28831117257</v>
      </c>
      <c r="S383" s="124">
        <f t="shared" si="155"/>
        <v>127105.87445799021</v>
      </c>
      <c r="T383" s="124">
        <f t="shared" si="156"/>
        <v>214977.30268632827</v>
      </c>
      <c r="U383" s="124">
        <f t="shared" si="157"/>
        <v>1</v>
      </c>
      <c r="V383" s="124">
        <f t="shared" si="158"/>
        <v>0</v>
      </c>
      <c r="W383" s="124">
        <f t="shared" si="159"/>
        <v>1</v>
      </c>
      <c r="X383" s="124">
        <f t="shared" si="160"/>
        <v>1</v>
      </c>
      <c r="Y383" s="124">
        <f t="shared" si="161"/>
        <v>0</v>
      </c>
      <c r="Z383" s="124">
        <f t="shared" si="162"/>
        <v>1</v>
      </c>
      <c r="AA383" s="124">
        <f t="shared" si="139"/>
        <v>6.9060038862778182E-5</v>
      </c>
      <c r="AB383" s="124">
        <f t="shared" si="163"/>
        <v>0</v>
      </c>
      <c r="AC383" s="124">
        <f t="shared" si="164"/>
        <v>0</v>
      </c>
    </row>
    <row r="384" spans="2:29" s="114" customFormat="1">
      <c r="B384" s="115">
        <f t="shared" si="140"/>
        <v>-0.36000000000006072</v>
      </c>
      <c r="C384" s="124">
        <f t="shared" si="141"/>
        <v>0.43651583224010493</v>
      </c>
      <c r="D384" s="124">
        <f t="shared" si="142"/>
        <v>133246.74442472807</v>
      </c>
      <c r="E384" s="124">
        <f t="shared" si="143"/>
        <v>1</v>
      </c>
      <c r="F384" s="124">
        <f t="shared" si="144"/>
        <v>1</v>
      </c>
      <c r="G384" s="124">
        <f t="shared" si="145"/>
        <v>130725.01996950438</v>
      </c>
      <c r="H384" s="124">
        <f t="shared" si="146"/>
        <v>1</v>
      </c>
      <c r="I384" s="124">
        <f t="shared" si="147"/>
        <v>1</v>
      </c>
      <c r="J384" s="124">
        <f t="shared" si="148"/>
        <v>6.8854978536879525E-5</v>
      </c>
      <c r="K384" s="124">
        <f t="shared" si="149"/>
        <v>0</v>
      </c>
      <c r="L384" s="124">
        <f t="shared" si="150"/>
        <v>0</v>
      </c>
      <c r="M384" s="120"/>
      <c r="N384" s="132">
        <f t="shared" si="138"/>
        <v>2.7427098634822964</v>
      </c>
      <c r="O384" s="124">
        <f t="shared" si="151"/>
        <v>223591.63610704691</v>
      </c>
      <c r="P384" s="124">
        <f t="shared" si="152"/>
        <v>1</v>
      </c>
      <c r="Q384" s="124">
        <f t="shared" si="153"/>
        <v>1</v>
      </c>
      <c r="R384" s="124">
        <f t="shared" si="154"/>
        <v>176223.8914649724</v>
      </c>
      <c r="S384" s="124">
        <f t="shared" si="155"/>
        <v>129432.52224683906</v>
      </c>
      <c r="T384" s="124">
        <f t="shared" si="156"/>
        <v>218649.57749384484</v>
      </c>
      <c r="U384" s="124">
        <f t="shared" si="157"/>
        <v>1</v>
      </c>
      <c r="V384" s="124">
        <f t="shared" si="158"/>
        <v>0</v>
      </c>
      <c r="W384" s="124">
        <f t="shared" si="159"/>
        <v>1</v>
      </c>
      <c r="X384" s="124">
        <f t="shared" si="160"/>
        <v>1</v>
      </c>
      <c r="Y384" s="124">
        <f t="shared" si="161"/>
        <v>0</v>
      </c>
      <c r="Z384" s="124">
        <f t="shared" si="162"/>
        <v>1</v>
      </c>
      <c r="AA384" s="124">
        <f t="shared" si="139"/>
        <v>9.4224128692538977E-5</v>
      </c>
      <c r="AB384" s="124">
        <f t="shared" si="163"/>
        <v>0</v>
      </c>
      <c r="AC384" s="124">
        <f t="shared" si="164"/>
        <v>0</v>
      </c>
    </row>
    <row r="385" spans="2:29" s="114" customFormat="1">
      <c r="B385" s="115">
        <f t="shared" si="140"/>
        <v>-0.3400000000000607</v>
      </c>
      <c r="C385" s="124">
        <f t="shared" si="141"/>
        <v>0.45708818961481112</v>
      </c>
      <c r="D385" s="124">
        <f t="shared" si="142"/>
        <v>130420.2339924885</v>
      </c>
      <c r="E385" s="124">
        <f t="shared" si="143"/>
        <v>1</v>
      </c>
      <c r="F385" s="124">
        <f t="shared" si="144"/>
        <v>1</v>
      </c>
      <c r="G385" s="124">
        <f t="shared" si="145"/>
        <v>128468.692304501</v>
      </c>
      <c r="H385" s="124">
        <f t="shared" si="146"/>
        <v>1</v>
      </c>
      <c r="I385" s="124">
        <f t="shared" si="147"/>
        <v>1</v>
      </c>
      <c r="J385" s="124">
        <f t="shared" si="148"/>
        <v>4.2872003908039039E-5</v>
      </c>
      <c r="K385" s="124">
        <f t="shared" si="149"/>
        <v>0</v>
      </c>
      <c r="L385" s="124">
        <f t="shared" si="150"/>
        <v>0</v>
      </c>
      <c r="M385" s="120"/>
      <c r="N385" s="132">
        <f t="shared" si="138"/>
        <v>2.8719697970730982</v>
      </c>
      <c r="O385" s="124">
        <f t="shared" si="151"/>
        <v>228128.73272000803</v>
      </c>
      <c r="P385" s="124">
        <f t="shared" si="152"/>
        <v>1</v>
      </c>
      <c r="Q385" s="124">
        <f t="shared" si="153"/>
        <v>1</v>
      </c>
      <c r="R385" s="124">
        <f t="shared" si="154"/>
        <v>179137.53577546499</v>
      </c>
      <c r="S385" s="124">
        <f t="shared" si="155"/>
        <v>131886.78883654092</v>
      </c>
      <c r="T385" s="124">
        <f t="shared" si="156"/>
        <v>222450.85253448755</v>
      </c>
      <c r="U385" s="124">
        <f t="shared" si="157"/>
        <v>1</v>
      </c>
      <c r="V385" s="124">
        <f t="shared" si="158"/>
        <v>0</v>
      </c>
      <c r="W385" s="124">
        <f t="shared" si="159"/>
        <v>1</v>
      </c>
      <c r="X385" s="124">
        <f t="shared" si="160"/>
        <v>1</v>
      </c>
      <c r="Y385" s="124">
        <f t="shared" si="161"/>
        <v>0</v>
      </c>
      <c r="Z385" s="124">
        <f t="shared" si="162"/>
        <v>1</v>
      </c>
      <c r="AA385" s="124">
        <f t="shared" si="139"/>
        <v>1.1981302078294156E-4</v>
      </c>
      <c r="AB385" s="124">
        <f t="shared" si="163"/>
        <v>0</v>
      </c>
      <c r="AC385" s="124">
        <f t="shared" si="164"/>
        <v>0</v>
      </c>
    </row>
    <row r="386" spans="2:29" s="114" customFormat="1">
      <c r="B386" s="115">
        <f t="shared" si="140"/>
        <v>-0.32000000000006068</v>
      </c>
      <c r="C386" s="124">
        <f t="shared" si="141"/>
        <v>0.47863009232257148</v>
      </c>
      <c r="D386" s="124">
        <f t="shared" si="142"/>
        <v>127648.94449940589</v>
      </c>
      <c r="E386" s="124">
        <f t="shared" si="143"/>
        <v>1</v>
      </c>
      <c r="F386" s="124">
        <f t="shared" si="144"/>
        <v>1</v>
      </c>
      <c r="G386" s="124">
        <f t="shared" si="145"/>
        <v>126276.29778187722</v>
      </c>
      <c r="H386" s="124">
        <f t="shared" si="146"/>
        <v>1</v>
      </c>
      <c r="I386" s="124">
        <f t="shared" si="147"/>
        <v>1</v>
      </c>
      <c r="J386" s="124">
        <f t="shared" si="148"/>
        <v>2.2046663592661915E-5</v>
      </c>
      <c r="K386" s="124">
        <f t="shared" si="149"/>
        <v>0</v>
      </c>
      <c r="L386" s="124">
        <f t="shared" si="150"/>
        <v>0</v>
      </c>
      <c r="M386" s="120"/>
      <c r="N386" s="132">
        <f t="shared" si="138"/>
        <v>3.0073215636551898</v>
      </c>
      <c r="O386" s="124">
        <f t="shared" si="151"/>
        <v>232742.53049951961</v>
      </c>
      <c r="P386" s="124">
        <f t="shared" si="152"/>
        <v>1</v>
      </c>
      <c r="Q386" s="124">
        <f t="shared" si="153"/>
        <v>1</v>
      </c>
      <c r="R386" s="124">
        <f t="shared" si="154"/>
        <v>182130.31849862391</v>
      </c>
      <c r="S386" s="124">
        <f t="shared" si="155"/>
        <v>134470.02018171575</v>
      </c>
      <c r="T386" s="124">
        <f t="shared" si="156"/>
        <v>226392.66605630409</v>
      </c>
      <c r="U386" s="124">
        <f t="shared" si="157"/>
        <v>1</v>
      </c>
      <c r="V386" s="124">
        <f t="shared" si="158"/>
        <v>0</v>
      </c>
      <c r="W386" s="124">
        <f t="shared" si="159"/>
        <v>1</v>
      </c>
      <c r="X386" s="124">
        <f t="shared" si="160"/>
        <v>1</v>
      </c>
      <c r="Y386" s="124">
        <f t="shared" si="161"/>
        <v>0</v>
      </c>
      <c r="Z386" s="124">
        <f t="shared" si="162"/>
        <v>1</v>
      </c>
      <c r="AA386" s="124">
        <f t="shared" si="139"/>
        <v>1.4432173208287716E-4</v>
      </c>
      <c r="AB386" s="124">
        <f t="shared" si="163"/>
        <v>0</v>
      </c>
      <c r="AC386" s="124">
        <f t="shared" si="164"/>
        <v>0</v>
      </c>
    </row>
    <row r="387" spans="2:29" s="114" customFormat="1">
      <c r="B387" s="115">
        <f t="shared" si="140"/>
        <v>-0.30000000000006066</v>
      </c>
      <c r="C387" s="124">
        <f t="shared" si="141"/>
        <v>0.50118723362720219</v>
      </c>
      <c r="D387" s="124">
        <f t="shared" si="142"/>
        <v>124932.05932874499</v>
      </c>
      <c r="E387" s="124">
        <f t="shared" si="143"/>
        <v>1</v>
      </c>
      <c r="F387" s="124">
        <f t="shared" si="144"/>
        <v>1</v>
      </c>
      <c r="G387" s="124">
        <f t="shared" si="145"/>
        <v>124137.30291095663</v>
      </c>
      <c r="H387" s="124">
        <f t="shared" si="146"/>
        <v>1</v>
      </c>
      <c r="I387" s="124">
        <f t="shared" si="147"/>
        <v>1</v>
      </c>
      <c r="J387" s="124">
        <f t="shared" si="148"/>
        <v>7.6817298814114758E-6</v>
      </c>
      <c r="K387" s="124">
        <f t="shared" si="149"/>
        <v>0</v>
      </c>
      <c r="L387" s="124">
        <f t="shared" si="150"/>
        <v>0</v>
      </c>
      <c r="M387" s="120"/>
      <c r="N387" s="132">
        <f t="shared" si="138"/>
        <v>3.1490522624724195</v>
      </c>
      <c r="O387" s="124">
        <f t="shared" si="151"/>
        <v>237433.75178746035</v>
      </c>
      <c r="P387" s="124">
        <f t="shared" si="152"/>
        <v>1</v>
      </c>
      <c r="Q387" s="124">
        <f t="shared" si="153"/>
        <v>1</v>
      </c>
      <c r="R387" s="124">
        <f t="shared" si="154"/>
        <v>185215.65682962749</v>
      </c>
      <c r="S387" s="124">
        <f t="shared" si="155"/>
        <v>137182.19211863482</v>
      </c>
      <c r="T387" s="124">
        <f t="shared" si="156"/>
        <v>230485.99386796667</v>
      </c>
      <c r="U387" s="124">
        <f t="shared" si="157"/>
        <v>1</v>
      </c>
      <c r="V387" s="124">
        <f t="shared" si="158"/>
        <v>0</v>
      </c>
      <c r="W387" s="124">
        <f t="shared" si="159"/>
        <v>1</v>
      </c>
      <c r="X387" s="124">
        <f t="shared" si="160"/>
        <v>1</v>
      </c>
      <c r="Y387" s="124">
        <f t="shared" si="161"/>
        <v>0</v>
      </c>
      <c r="Z387" s="124">
        <f t="shared" si="162"/>
        <v>1</v>
      </c>
      <c r="AA387" s="124">
        <f t="shared" si="139"/>
        <v>1.6635622760918277E-4</v>
      </c>
      <c r="AB387" s="124">
        <f t="shared" si="163"/>
        <v>0</v>
      </c>
      <c r="AC387" s="124">
        <f t="shared" si="164"/>
        <v>0</v>
      </c>
    </row>
    <row r="388" spans="2:29" s="114" customFormat="1">
      <c r="B388" s="115">
        <f t="shared" si="140"/>
        <v>-0.28000000000006064</v>
      </c>
      <c r="C388" s="124">
        <f t="shared" si="141"/>
        <v>0.52480746024969926</v>
      </c>
      <c r="D388" s="124">
        <f t="shared" si="142"/>
        <v>122268.76448528988</v>
      </c>
      <c r="E388" s="124">
        <f t="shared" si="143"/>
        <v>1</v>
      </c>
      <c r="F388" s="124">
        <f t="shared" si="144"/>
        <v>1</v>
      </c>
      <c r="G388" s="124">
        <f t="shared" si="145"/>
        <v>122041.57749149148</v>
      </c>
      <c r="H388" s="124">
        <f t="shared" si="146"/>
        <v>1</v>
      </c>
      <c r="I388" s="124">
        <f t="shared" si="147"/>
        <v>1</v>
      </c>
      <c r="J388" s="124">
        <f t="shared" si="148"/>
        <v>6.5239720356925316E-7</v>
      </c>
      <c r="K388" s="124">
        <f t="shared" si="149"/>
        <v>0</v>
      </c>
      <c r="L388" s="124">
        <f t="shared" si="150"/>
        <v>0</v>
      </c>
      <c r="M388" s="120"/>
      <c r="N388" s="132">
        <f t="shared" si="138"/>
        <v>3.2974625233391452</v>
      </c>
      <c r="O388" s="124">
        <f t="shared" si="151"/>
        <v>242203.10856872748</v>
      </c>
      <c r="P388" s="124">
        <f t="shared" si="152"/>
        <v>1</v>
      </c>
      <c r="Q388" s="124">
        <f t="shared" si="153"/>
        <v>1</v>
      </c>
      <c r="R388" s="124">
        <f t="shared" si="154"/>
        <v>188407.15983345598</v>
      </c>
      <c r="S388" s="124">
        <f t="shared" si="155"/>
        <v>140021.85341147328</v>
      </c>
      <c r="T388" s="124">
        <f t="shared" si="156"/>
        <v>234741.08568653581</v>
      </c>
      <c r="U388" s="124">
        <f t="shared" si="157"/>
        <v>1</v>
      </c>
      <c r="V388" s="124">
        <f t="shared" si="158"/>
        <v>0</v>
      </c>
      <c r="W388" s="124">
        <f t="shared" si="159"/>
        <v>1</v>
      </c>
      <c r="X388" s="124">
        <f t="shared" si="160"/>
        <v>1</v>
      </c>
      <c r="Y388" s="124">
        <f t="shared" si="161"/>
        <v>0</v>
      </c>
      <c r="Z388" s="124">
        <f t="shared" si="162"/>
        <v>1</v>
      </c>
      <c r="AA388" s="124">
        <f t="shared" si="139"/>
        <v>1.8470451541425449E-4</v>
      </c>
      <c r="AB388" s="124">
        <f t="shared" si="163"/>
        <v>0</v>
      </c>
      <c r="AC388" s="124">
        <f t="shared" si="164"/>
        <v>0</v>
      </c>
    </row>
    <row r="389" spans="2:29" s="114" customFormat="1">
      <c r="B389" s="115">
        <f t="shared" si="140"/>
        <v>-0.26000000000006063</v>
      </c>
      <c r="C389" s="124">
        <f t="shared" si="141"/>
        <v>0.5495408738575478</v>
      </c>
      <c r="D389" s="124">
        <f t="shared" si="142"/>
        <v>119658.24892484915</v>
      </c>
      <c r="E389" s="124">
        <f t="shared" si="143"/>
        <v>1</v>
      </c>
      <c r="F389" s="124">
        <f t="shared" si="144"/>
        <v>1</v>
      </c>
      <c r="G389" s="124">
        <f t="shared" si="145"/>
        <v>119979.56402496524</v>
      </c>
      <c r="H389" s="124">
        <f t="shared" si="146"/>
        <v>1</v>
      </c>
      <c r="I389" s="124">
        <f t="shared" si="147"/>
        <v>1</v>
      </c>
      <c r="J389" s="124">
        <f t="shared" si="148"/>
        <v>1.3563779183644308E-6</v>
      </c>
      <c r="K389" s="124">
        <f t="shared" si="149"/>
        <v>0</v>
      </c>
      <c r="L389" s="124">
        <f t="shared" si="150"/>
        <v>0</v>
      </c>
      <c r="M389" s="120"/>
      <c r="N389" s="132">
        <f t="shared" si="138"/>
        <v>3.4528671443163748</v>
      </c>
      <c r="O389" s="124">
        <f t="shared" si="151"/>
        <v>247051.30194807591</v>
      </c>
      <c r="P389" s="124">
        <f t="shared" si="152"/>
        <v>1</v>
      </c>
      <c r="Q389" s="124">
        <f t="shared" si="153"/>
        <v>1</v>
      </c>
      <c r="R389" s="124">
        <f t="shared" si="154"/>
        <v>191718.4912147726</v>
      </c>
      <c r="S389" s="124">
        <f t="shared" si="155"/>
        <v>142986.07484747688</v>
      </c>
      <c r="T389" s="124">
        <f t="shared" si="156"/>
        <v>239167.30017700393</v>
      </c>
      <c r="U389" s="124">
        <f t="shared" si="157"/>
        <v>1</v>
      </c>
      <c r="V389" s="124">
        <f t="shared" si="158"/>
        <v>0</v>
      </c>
      <c r="W389" s="124">
        <f t="shared" si="159"/>
        <v>1</v>
      </c>
      <c r="X389" s="124">
        <f t="shared" si="160"/>
        <v>1</v>
      </c>
      <c r="Y389" s="124">
        <f t="shared" si="161"/>
        <v>0</v>
      </c>
      <c r="Z389" s="124">
        <f t="shared" si="162"/>
        <v>1</v>
      </c>
      <c r="AA389" s="124">
        <f t="shared" si="139"/>
        <v>1.9839696876840175E-4</v>
      </c>
      <c r="AB389" s="124">
        <f t="shared" si="163"/>
        <v>0</v>
      </c>
      <c r="AC389" s="124">
        <f t="shared" si="164"/>
        <v>0</v>
      </c>
    </row>
    <row r="390" spans="2:29" s="114" customFormat="1">
      <c r="B390" s="115">
        <f t="shared" si="140"/>
        <v>-0.24000000000006064</v>
      </c>
      <c r="C390" s="124">
        <f t="shared" si="141"/>
        <v>0.57543993733707655</v>
      </c>
      <c r="D390" s="124">
        <f t="shared" si="142"/>
        <v>117099.70487379257</v>
      </c>
      <c r="E390" s="124">
        <f t="shared" si="143"/>
        <v>1</v>
      </c>
      <c r="F390" s="124">
        <f t="shared" si="144"/>
        <v>1</v>
      </c>
      <c r="G390" s="124">
        <f t="shared" si="145"/>
        <v>117942.42608188852</v>
      </c>
      <c r="H390" s="124">
        <f t="shared" si="146"/>
        <v>1</v>
      </c>
      <c r="I390" s="124">
        <f t="shared" si="147"/>
        <v>1</v>
      </c>
      <c r="J390" s="124">
        <f t="shared" si="148"/>
        <v>9.6985933728415754E-6</v>
      </c>
      <c r="K390" s="124">
        <f t="shared" si="149"/>
        <v>0</v>
      </c>
      <c r="L390" s="124">
        <f t="shared" si="150"/>
        <v>0</v>
      </c>
      <c r="M390" s="120"/>
      <c r="N390" s="132">
        <f t="shared" si="138"/>
        <v>3.6155957594406614</v>
      </c>
      <c r="O390" s="124">
        <f t="shared" si="151"/>
        <v>251979.02162632375</v>
      </c>
      <c r="P390" s="124">
        <f t="shared" si="152"/>
        <v>1</v>
      </c>
      <c r="Q390" s="124">
        <f t="shared" si="153"/>
        <v>1</v>
      </c>
      <c r="R390" s="124">
        <f t="shared" si="154"/>
        <v>195163.22143488054</v>
      </c>
      <c r="S390" s="124">
        <f t="shared" si="155"/>
        <v>146070.40578818438</v>
      </c>
      <c r="T390" s="124">
        <f t="shared" si="156"/>
        <v>243772.94035221601</v>
      </c>
      <c r="U390" s="124">
        <f t="shared" si="157"/>
        <v>1</v>
      </c>
      <c r="V390" s="124">
        <f t="shared" si="158"/>
        <v>0</v>
      </c>
      <c r="W390" s="124">
        <f t="shared" si="159"/>
        <v>1</v>
      </c>
      <c r="X390" s="124">
        <f t="shared" si="160"/>
        <v>1</v>
      </c>
      <c r="Y390" s="124">
        <f t="shared" si="161"/>
        <v>0</v>
      </c>
      <c r="Z390" s="124">
        <f t="shared" si="162"/>
        <v>1</v>
      </c>
      <c r="AA390" s="124">
        <f t="shared" si="139"/>
        <v>2.067524657519781E-4</v>
      </c>
      <c r="AB390" s="124">
        <f t="shared" si="163"/>
        <v>0</v>
      </c>
      <c r="AC390" s="124">
        <f t="shared" si="164"/>
        <v>0</v>
      </c>
    </row>
    <row r="391" spans="2:29" s="114" customFormat="1">
      <c r="B391" s="115">
        <f t="shared" si="140"/>
        <v>-0.22000000000006065</v>
      </c>
      <c r="C391" s="124">
        <f t="shared" si="141"/>
        <v>0.60255958607427362</v>
      </c>
      <c r="D391" s="124">
        <f t="shared" si="142"/>
        <v>114592.32813856192</v>
      </c>
      <c r="E391" s="124">
        <f t="shared" si="143"/>
        <v>1</v>
      </c>
      <c r="F391" s="124">
        <f t="shared" si="144"/>
        <v>1</v>
      </c>
      <c r="G391" s="124">
        <f t="shared" si="145"/>
        <v>115922.17192268236</v>
      </c>
      <c r="H391" s="124">
        <f t="shared" si="146"/>
        <v>1</v>
      </c>
      <c r="I391" s="124">
        <f t="shared" si="147"/>
        <v>1</v>
      </c>
      <c r="J391" s="124">
        <f t="shared" si="148"/>
        <v>2.5109785766843339E-5</v>
      </c>
      <c r="K391" s="124">
        <f t="shared" si="149"/>
        <v>0</v>
      </c>
      <c r="L391" s="124">
        <f t="shared" si="150"/>
        <v>0</v>
      </c>
      <c r="M391" s="120"/>
      <c r="N391" s="132">
        <f t="shared" si="138"/>
        <v>3.785993537922089</v>
      </c>
      <c r="O391" s="124">
        <f t="shared" si="151"/>
        <v>256986.94537643751</v>
      </c>
      <c r="P391" s="124">
        <f t="shared" si="152"/>
        <v>1</v>
      </c>
      <c r="Q391" s="124">
        <f t="shared" si="153"/>
        <v>1</v>
      </c>
      <c r="R391" s="124">
        <f t="shared" si="154"/>
        <v>198754.66787598346</v>
      </c>
      <c r="S391" s="124">
        <f t="shared" si="155"/>
        <v>149268.8402537306</v>
      </c>
      <c r="T391" s="124">
        <f t="shared" si="156"/>
        <v>248565.09142111294</v>
      </c>
      <c r="U391" s="124">
        <f t="shared" si="157"/>
        <v>1</v>
      </c>
      <c r="V391" s="124">
        <f t="shared" si="158"/>
        <v>0</v>
      </c>
      <c r="W391" s="124">
        <f t="shared" si="159"/>
        <v>1</v>
      </c>
      <c r="X391" s="124">
        <f t="shared" si="160"/>
        <v>1</v>
      </c>
      <c r="Y391" s="124">
        <f t="shared" si="161"/>
        <v>0</v>
      </c>
      <c r="Z391" s="124">
        <f t="shared" si="162"/>
        <v>1</v>
      </c>
      <c r="AA391" s="124">
        <f t="shared" si="139"/>
        <v>2.0940770394309465E-4</v>
      </c>
      <c r="AB391" s="124">
        <f t="shared" si="163"/>
        <v>0</v>
      </c>
      <c r="AC391" s="124">
        <f t="shared" si="164"/>
        <v>0</v>
      </c>
    </row>
    <row r="392" spans="2:29" s="114" customFormat="1">
      <c r="B392" s="115">
        <f t="shared" si="140"/>
        <v>-0.20000000000006066</v>
      </c>
      <c r="C392" s="124">
        <f t="shared" si="141"/>
        <v>0.6309573444801051</v>
      </c>
      <c r="D392" s="124">
        <f t="shared" si="142"/>
        <v>112135.31840509923</v>
      </c>
      <c r="E392" s="124">
        <f t="shared" si="143"/>
        <v>1</v>
      </c>
      <c r="F392" s="124">
        <f t="shared" si="144"/>
        <v>1</v>
      </c>
      <c r="G392" s="124">
        <f t="shared" si="145"/>
        <v>113911.75078023695</v>
      </c>
      <c r="H392" s="124">
        <f t="shared" si="146"/>
        <v>1</v>
      </c>
      <c r="I392" s="124">
        <f t="shared" si="147"/>
        <v>1</v>
      </c>
      <c r="J392" s="124">
        <f t="shared" si="148"/>
        <v>4.6595727131742706E-5</v>
      </c>
      <c r="K392" s="124">
        <f t="shared" si="149"/>
        <v>0</v>
      </c>
      <c r="L392" s="124">
        <f t="shared" si="150"/>
        <v>0</v>
      </c>
      <c r="M392" s="120"/>
      <c r="N392" s="132">
        <f t="shared" si="138"/>
        <v>3.964421916294445</v>
      </c>
      <c r="O392" s="124">
        <f t="shared" si="151"/>
        <v>262075.73852000613</v>
      </c>
      <c r="P392" s="124">
        <f t="shared" si="152"/>
        <v>1</v>
      </c>
      <c r="Q392" s="124">
        <f t="shared" si="153"/>
        <v>1</v>
      </c>
      <c r="R392" s="124">
        <f t="shared" si="154"/>
        <v>202505.72212343352</v>
      </c>
      <c r="S392" s="124">
        <f t="shared" si="155"/>
        <v>152573.79527462329</v>
      </c>
      <c r="T392" s="124">
        <f t="shared" si="156"/>
        <v>253549.46361062556</v>
      </c>
      <c r="U392" s="124">
        <f t="shared" si="157"/>
        <v>1</v>
      </c>
      <c r="V392" s="124">
        <f t="shared" si="158"/>
        <v>0</v>
      </c>
      <c r="W392" s="124">
        <f t="shared" si="159"/>
        <v>1</v>
      </c>
      <c r="X392" s="124">
        <f t="shared" si="160"/>
        <v>1</v>
      </c>
      <c r="Y392" s="124">
        <f t="shared" si="161"/>
        <v>0</v>
      </c>
      <c r="Z392" s="124">
        <f t="shared" si="162"/>
        <v>1</v>
      </c>
      <c r="AA392" s="124">
        <f t="shared" si="139"/>
        <v>2.0632800574486892E-4</v>
      </c>
      <c r="AB392" s="124">
        <f t="shared" si="163"/>
        <v>0</v>
      </c>
      <c r="AC392" s="124">
        <f t="shared" si="164"/>
        <v>0</v>
      </c>
    </row>
    <row r="393" spans="2:29" s="114" customFormat="1">
      <c r="B393" s="115">
        <f t="shared" si="140"/>
        <v>-0.18000000000006067</v>
      </c>
      <c r="C393" s="124">
        <f t="shared" si="141"/>
        <v>0.66069344800750374</v>
      </c>
      <c r="D393" s="124">
        <f t="shared" si="142"/>
        <v>109727.87952816194</v>
      </c>
      <c r="E393" s="124">
        <f t="shared" si="143"/>
        <v>1</v>
      </c>
      <c r="F393" s="124">
        <f t="shared" si="144"/>
        <v>1</v>
      </c>
      <c r="G393" s="124">
        <f t="shared" si="145"/>
        <v>111905.12044387669</v>
      </c>
      <c r="H393" s="124">
        <f t="shared" si="146"/>
        <v>1</v>
      </c>
      <c r="I393" s="124">
        <f t="shared" si="147"/>
        <v>1</v>
      </c>
      <c r="J393" s="124">
        <f t="shared" si="148"/>
        <v>7.2811617701221598E-5</v>
      </c>
      <c r="K393" s="124">
        <f t="shared" si="149"/>
        <v>0</v>
      </c>
      <c r="L393" s="124">
        <f t="shared" si="150"/>
        <v>0</v>
      </c>
      <c r="M393" s="120"/>
      <c r="N393" s="132">
        <f t="shared" si="138"/>
        <v>4.1512593650705671</v>
      </c>
      <c r="O393" s="124">
        <f t="shared" si="151"/>
        <v>267246.05340462073</v>
      </c>
      <c r="P393" s="124">
        <f t="shared" si="152"/>
        <v>1</v>
      </c>
      <c r="Q393" s="124">
        <f t="shared" si="153"/>
        <v>1</v>
      </c>
      <c r="R393" s="124">
        <f t="shared" si="154"/>
        <v>206428.66399257054</v>
      </c>
      <c r="S393" s="124">
        <f t="shared" si="155"/>
        <v>155976.10485299272</v>
      </c>
      <c r="T393" s="124">
        <f t="shared" si="156"/>
        <v>258730.24292275801</v>
      </c>
      <c r="U393" s="124">
        <f t="shared" si="157"/>
        <v>1</v>
      </c>
      <c r="V393" s="124">
        <f t="shared" si="158"/>
        <v>0</v>
      </c>
      <c r="W393" s="124">
        <f t="shared" si="159"/>
        <v>1</v>
      </c>
      <c r="X393" s="124">
        <f t="shared" si="160"/>
        <v>1</v>
      </c>
      <c r="Y393" s="124">
        <f t="shared" si="161"/>
        <v>0</v>
      </c>
      <c r="Z393" s="124">
        <f t="shared" si="162"/>
        <v>1</v>
      </c>
      <c r="AA393" s="124">
        <f t="shared" si="139"/>
        <v>1.977990254790414E-4</v>
      </c>
      <c r="AB393" s="124">
        <f t="shared" si="163"/>
        <v>0</v>
      </c>
      <c r="AC393" s="124">
        <f t="shared" si="164"/>
        <v>0</v>
      </c>
    </row>
    <row r="394" spans="2:29" s="114" customFormat="1">
      <c r="B394" s="115">
        <f t="shared" si="140"/>
        <v>-0.16000000000006068</v>
      </c>
      <c r="C394" s="124">
        <f t="shared" si="141"/>
        <v>0.69183097091883983</v>
      </c>
      <c r="D394" s="124">
        <f t="shared" si="142"/>
        <v>107369.21981050049</v>
      </c>
      <c r="E394" s="124">
        <f t="shared" si="143"/>
        <v>1</v>
      </c>
      <c r="F394" s="124">
        <f t="shared" si="144"/>
        <v>1</v>
      </c>
      <c r="G394" s="124">
        <f t="shared" si="145"/>
        <v>109897.28605906798</v>
      </c>
      <c r="H394" s="124">
        <f t="shared" si="146"/>
        <v>1</v>
      </c>
      <c r="I394" s="124">
        <f t="shared" si="147"/>
        <v>1</v>
      </c>
      <c r="J394" s="124">
        <f t="shared" si="148"/>
        <v>1.0215488922480249E-4</v>
      </c>
      <c r="K394" s="124">
        <f t="shared" si="149"/>
        <v>0</v>
      </c>
      <c r="L394" s="124">
        <f t="shared" si="150"/>
        <v>0</v>
      </c>
      <c r="M394" s="120"/>
      <c r="N394" s="132">
        <f t="shared" si="138"/>
        <v>4.3469021915290424</v>
      </c>
      <c r="O394" s="124">
        <f t="shared" si="151"/>
        <v>272498.52888270305</v>
      </c>
      <c r="P394" s="124">
        <f t="shared" si="152"/>
        <v>1</v>
      </c>
      <c r="Q394" s="124">
        <f t="shared" si="153"/>
        <v>1</v>
      </c>
      <c r="R394" s="124">
        <f t="shared" si="154"/>
        <v>210534.96266989366</v>
      </c>
      <c r="S394" s="124">
        <f t="shared" si="155"/>
        <v>159465.03339044275</v>
      </c>
      <c r="T394" s="124">
        <f t="shared" si="156"/>
        <v>264109.95320250338</v>
      </c>
      <c r="U394" s="124">
        <f t="shared" si="157"/>
        <v>1</v>
      </c>
      <c r="V394" s="124">
        <f t="shared" si="158"/>
        <v>0</v>
      </c>
      <c r="W394" s="124">
        <f t="shared" si="159"/>
        <v>1</v>
      </c>
      <c r="X394" s="124">
        <f t="shared" si="160"/>
        <v>1</v>
      </c>
      <c r="Y394" s="124">
        <f t="shared" si="161"/>
        <v>0</v>
      </c>
      <c r="Z394" s="124">
        <f t="shared" si="162"/>
        <v>1</v>
      </c>
      <c r="AA394" s="124">
        <f t="shared" si="139"/>
        <v>1.8439993497603048E-4</v>
      </c>
      <c r="AB394" s="124">
        <f t="shared" si="163"/>
        <v>0</v>
      </c>
      <c r="AC394" s="124">
        <f t="shared" si="164"/>
        <v>0</v>
      </c>
    </row>
    <row r="395" spans="2:29" s="114" customFormat="1">
      <c r="B395" s="115">
        <f t="shared" si="140"/>
        <v>-0.14000000000006069</v>
      </c>
      <c r="C395" s="124">
        <f t="shared" si="141"/>
        <v>0.72443596007488886</v>
      </c>
      <c r="D395" s="124">
        <f t="shared" si="142"/>
        <v>105058.55227189093</v>
      </c>
      <c r="E395" s="124">
        <f t="shared" si="143"/>
        <v>1</v>
      </c>
      <c r="F395" s="124">
        <f t="shared" si="144"/>
        <v>1</v>
      </c>
      <c r="G395" s="124">
        <f t="shared" si="145"/>
        <v>107884.31129062863</v>
      </c>
      <c r="H395" s="124">
        <f t="shared" si="146"/>
        <v>1</v>
      </c>
      <c r="I395" s="124">
        <f t="shared" si="147"/>
        <v>1</v>
      </c>
      <c r="J395" s="124">
        <f t="shared" si="148"/>
        <v>1.3286900017708418E-4</v>
      </c>
      <c r="K395" s="124">
        <f t="shared" si="149"/>
        <v>0</v>
      </c>
      <c r="L395" s="124">
        <f t="shared" si="150"/>
        <v>0</v>
      </c>
      <c r="M395" s="120"/>
      <c r="N395" s="132">
        <f t="shared" si="138"/>
        <v>4.5517653803350786</v>
      </c>
      <c r="O395" s="124">
        <f t="shared" si="151"/>
        <v>277833.78979230236</v>
      </c>
      <c r="P395" s="124">
        <f t="shared" si="152"/>
        <v>1</v>
      </c>
      <c r="Q395" s="124">
        <f t="shared" si="153"/>
        <v>1</v>
      </c>
      <c r="R395" s="124">
        <f t="shared" si="154"/>
        <v>214835.06626218715</v>
      </c>
      <c r="S395" s="124">
        <f t="shared" si="155"/>
        <v>163028.31281421334</v>
      </c>
      <c r="T395" s="124">
        <f t="shared" si="156"/>
        <v>269689.33326130518</v>
      </c>
      <c r="U395" s="124">
        <f t="shared" si="157"/>
        <v>1</v>
      </c>
      <c r="V395" s="124">
        <f t="shared" si="158"/>
        <v>0</v>
      </c>
      <c r="W395" s="124">
        <f t="shared" si="159"/>
        <v>1</v>
      </c>
      <c r="X395" s="124">
        <f t="shared" si="160"/>
        <v>1</v>
      </c>
      <c r="Y395" s="124">
        <f t="shared" si="161"/>
        <v>0</v>
      </c>
      <c r="Z395" s="124">
        <f t="shared" si="162"/>
        <v>1</v>
      </c>
      <c r="AA395" s="124">
        <f t="shared" si="139"/>
        <v>1.6695982201761752E-4</v>
      </c>
      <c r="AB395" s="124">
        <f t="shared" si="163"/>
        <v>0</v>
      </c>
      <c r="AC395" s="124">
        <f t="shared" si="164"/>
        <v>0</v>
      </c>
    </row>
    <row r="396" spans="2:29" s="114" customFormat="1">
      <c r="B396" s="115">
        <f t="shared" si="140"/>
        <v>-0.12000000000006068</v>
      </c>
      <c r="C396" s="124">
        <f t="shared" si="141"/>
        <v>0.75857757502907774</v>
      </c>
      <c r="D396" s="124">
        <f t="shared" si="142"/>
        <v>102795.09490802624</v>
      </c>
      <c r="E396" s="124">
        <f t="shared" si="143"/>
        <v>1</v>
      </c>
      <c r="F396" s="124">
        <f t="shared" si="144"/>
        <v>1</v>
      </c>
      <c r="G396" s="124">
        <f t="shared" si="145"/>
        <v>105863.30410660665</v>
      </c>
      <c r="H396" s="124">
        <f t="shared" si="146"/>
        <v>1</v>
      </c>
      <c r="I396" s="124">
        <f t="shared" si="147"/>
        <v>1</v>
      </c>
      <c r="J396" s="124">
        <f t="shared" si="148"/>
        <v>1.6315087820592108E-4</v>
      </c>
      <c r="K396" s="124">
        <f t="shared" si="149"/>
        <v>0</v>
      </c>
      <c r="L396" s="124">
        <f t="shared" si="150"/>
        <v>0</v>
      </c>
      <c r="M396" s="120"/>
      <c r="N396" s="132">
        <f t="shared" si="138"/>
        <v>4.7662834737786213</v>
      </c>
      <c r="O396" s="124">
        <f t="shared" si="151"/>
        <v>283252.44644040143</v>
      </c>
      <c r="P396" s="124">
        <f t="shared" si="152"/>
        <v>1</v>
      </c>
      <c r="Q396" s="124">
        <f t="shared" si="153"/>
        <v>1</v>
      </c>
      <c r="R396" s="124">
        <f t="shared" si="154"/>
        <v>219338.18213406872</v>
      </c>
      <c r="S396" s="124">
        <f t="shared" si="155"/>
        <v>166652.2078150181</v>
      </c>
      <c r="T396" s="124">
        <f t="shared" si="156"/>
        <v>275467.23309950653</v>
      </c>
      <c r="U396" s="124">
        <f t="shared" si="157"/>
        <v>1</v>
      </c>
      <c r="V396" s="124">
        <f t="shared" si="158"/>
        <v>0</v>
      </c>
      <c r="W396" s="124">
        <f t="shared" si="159"/>
        <v>1</v>
      </c>
      <c r="X396" s="124">
        <f t="shared" si="160"/>
        <v>1</v>
      </c>
      <c r="Y396" s="124">
        <f t="shared" si="161"/>
        <v>0</v>
      </c>
      <c r="Z396" s="124">
        <f t="shared" si="162"/>
        <v>1</v>
      </c>
      <c r="AA396" s="124">
        <f t="shared" si="139"/>
        <v>1.4650010368565531E-4</v>
      </c>
      <c r="AB396" s="124">
        <f t="shared" si="163"/>
        <v>0</v>
      </c>
      <c r="AC396" s="124">
        <f t="shared" si="164"/>
        <v>0</v>
      </c>
    </row>
    <row r="397" spans="2:29" s="114" customFormat="1">
      <c r="B397" s="115">
        <f t="shared" si="140"/>
        <v>-0.10000000000006068</v>
      </c>
      <c r="C397" s="124">
        <f t="shared" si="141"/>
        <v>0.79432823472417047</v>
      </c>
      <c r="D397" s="124">
        <f t="shared" si="142"/>
        <v>100578.07093928376</v>
      </c>
      <c r="E397" s="124">
        <f t="shared" si="143"/>
        <v>1</v>
      </c>
      <c r="F397" s="124">
        <f t="shared" si="144"/>
        <v>1</v>
      </c>
      <c r="G397" s="124">
        <f t="shared" si="145"/>
        <v>103832.3803516324</v>
      </c>
      <c r="H397" s="124">
        <f t="shared" si="146"/>
        <v>1</v>
      </c>
      <c r="I397" s="124">
        <f t="shared" si="147"/>
        <v>1</v>
      </c>
      <c r="J397" s="124">
        <f t="shared" si="148"/>
        <v>1.9125530793152626E-4</v>
      </c>
      <c r="K397" s="124">
        <f t="shared" si="149"/>
        <v>0</v>
      </c>
      <c r="L397" s="124">
        <f t="shared" si="150"/>
        <v>0</v>
      </c>
      <c r="M397" s="120"/>
      <c r="N397" s="132">
        <f t="shared" si="138"/>
        <v>4.9909114934968057</v>
      </c>
      <c r="O397" s="124">
        <f t="shared" si="151"/>
        <v>288755.09408928204</v>
      </c>
      <c r="P397" s="124">
        <f t="shared" si="152"/>
        <v>1</v>
      </c>
      <c r="Q397" s="124">
        <f t="shared" si="153"/>
        <v>1</v>
      </c>
      <c r="R397" s="124">
        <f t="shared" si="154"/>
        <v>224052.0516320907</v>
      </c>
      <c r="S397" s="124">
        <f t="shared" si="155"/>
        <v>170321.61354440273</v>
      </c>
      <c r="T397" s="124">
        <f t="shared" si="156"/>
        <v>281440.53347184713</v>
      </c>
      <c r="U397" s="124">
        <f t="shared" si="157"/>
        <v>1</v>
      </c>
      <c r="V397" s="124">
        <f t="shared" si="158"/>
        <v>0</v>
      </c>
      <c r="W397" s="124">
        <f t="shared" si="159"/>
        <v>1</v>
      </c>
      <c r="X397" s="124">
        <f t="shared" si="160"/>
        <v>1</v>
      </c>
      <c r="Y397" s="124">
        <f t="shared" si="161"/>
        <v>0</v>
      </c>
      <c r="Z397" s="124">
        <f t="shared" si="162"/>
        <v>1</v>
      </c>
      <c r="AA397" s="124">
        <f t="shared" si="139"/>
        <v>1.2416665574727253E-4</v>
      </c>
      <c r="AB397" s="124">
        <f t="shared" si="163"/>
        <v>0</v>
      </c>
      <c r="AC397" s="124">
        <f t="shared" si="164"/>
        <v>0</v>
      </c>
    </row>
    <row r="398" spans="2:29" s="114" customFormat="1">
      <c r="B398" s="115">
        <f t="shared" si="140"/>
        <v>-8.0000000000060675E-2</v>
      </c>
      <c r="C398" s="124">
        <f t="shared" si="141"/>
        <v>0.83176377110255484</v>
      </c>
      <c r="D398" s="124">
        <f t="shared" si="142"/>
        <v>98406.709049396872</v>
      </c>
      <c r="E398" s="124">
        <f t="shared" si="143"/>
        <v>1</v>
      </c>
      <c r="F398" s="124">
        <f t="shared" si="144"/>
        <v>1</v>
      </c>
      <c r="G398" s="124">
        <f t="shared" si="145"/>
        <v>101790.60893497961</v>
      </c>
      <c r="H398" s="124">
        <f t="shared" si="146"/>
        <v>1</v>
      </c>
      <c r="I398" s="124">
        <f t="shared" si="147"/>
        <v>1</v>
      </c>
      <c r="J398" s="124">
        <f t="shared" si="148"/>
        <v>2.1559061223526584E-4</v>
      </c>
      <c r="K398" s="124">
        <f t="shared" si="149"/>
        <v>0</v>
      </c>
      <c r="L398" s="124">
        <f t="shared" si="150"/>
        <v>0</v>
      </c>
      <c r="M398" s="120"/>
      <c r="N398" s="132">
        <f t="shared" si="138"/>
        <v>5.2261259056358567</v>
      </c>
      <c r="O398" s="124">
        <f t="shared" si="151"/>
        <v>294342.31244647806</v>
      </c>
      <c r="P398" s="124">
        <f t="shared" si="152"/>
        <v>1</v>
      </c>
      <c r="Q398" s="124">
        <f t="shared" si="153"/>
        <v>1</v>
      </c>
      <c r="R398" s="124">
        <f t="shared" si="154"/>
        <v>228982.72409267523</v>
      </c>
      <c r="S398" s="124">
        <f t="shared" si="155"/>
        <v>174020.18975448652</v>
      </c>
      <c r="T398" s="124">
        <f t="shared" si="156"/>
        <v>287604.09311254544</v>
      </c>
      <c r="U398" s="124">
        <f t="shared" si="157"/>
        <v>1</v>
      </c>
      <c r="V398" s="124">
        <f t="shared" si="158"/>
        <v>0</v>
      </c>
      <c r="W398" s="124">
        <f t="shared" si="159"/>
        <v>1</v>
      </c>
      <c r="X398" s="124">
        <f t="shared" si="160"/>
        <v>1</v>
      </c>
      <c r="Y398" s="124">
        <f t="shared" si="161"/>
        <v>0</v>
      </c>
      <c r="Z398" s="124">
        <f t="shared" si="162"/>
        <v>1</v>
      </c>
      <c r="AA398" s="124">
        <f t="shared" si="139"/>
        <v>1.0115602138578999E-4</v>
      </c>
      <c r="AB398" s="124">
        <f t="shared" si="163"/>
        <v>0</v>
      </c>
      <c r="AC398" s="124">
        <f t="shared" si="164"/>
        <v>0</v>
      </c>
    </row>
    <row r="399" spans="2:29" s="114" customFormat="1">
      <c r="B399" s="115">
        <f t="shared" si="140"/>
        <v>-6.0000000000060671E-2</v>
      </c>
      <c r="C399" s="124">
        <f t="shared" si="141"/>
        <v>0.87096358995595902</v>
      </c>
      <c r="D399" s="124">
        <f t="shared" si="142"/>
        <v>96280.243614074527</v>
      </c>
      <c r="E399" s="124">
        <f t="shared" si="143"/>
        <v>1</v>
      </c>
      <c r="F399" s="124">
        <f t="shared" si="144"/>
        <v>1</v>
      </c>
      <c r="G399" s="124">
        <f t="shared" si="145"/>
        <v>99737.942824594895</v>
      </c>
      <c r="H399" s="124">
        <f t="shared" si="146"/>
        <v>1</v>
      </c>
      <c r="I399" s="124">
        <f t="shared" si="147"/>
        <v>1</v>
      </c>
      <c r="J399" s="124">
        <f t="shared" si="148"/>
        <v>2.3480124949322003E-4</v>
      </c>
      <c r="K399" s="124">
        <f t="shared" si="149"/>
        <v>0</v>
      </c>
      <c r="L399" s="124">
        <f t="shared" si="150"/>
        <v>0</v>
      </c>
      <c r="M399" s="120"/>
      <c r="N399" s="132">
        <f t="shared" si="138"/>
        <v>5.4724256314996671</v>
      </c>
      <c r="O399" s="124">
        <f t="shared" si="151"/>
        <v>300014.66515888326</v>
      </c>
      <c r="P399" s="124">
        <f t="shared" si="152"/>
        <v>1</v>
      </c>
      <c r="Q399" s="124">
        <f t="shared" si="153"/>
        <v>1</v>
      </c>
      <c r="R399" s="124">
        <f t="shared" si="154"/>
        <v>234134.33634353292</v>
      </c>
      <c r="S399" s="124">
        <f t="shared" si="155"/>
        <v>177730.53465359283</v>
      </c>
      <c r="T399" s="124">
        <f t="shared" si="156"/>
        <v>293950.72784954723</v>
      </c>
      <c r="U399" s="124">
        <f t="shared" si="157"/>
        <v>1</v>
      </c>
      <c r="V399" s="124">
        <f t="shared" si="158"/>
        <v>0</v>
      </c>
      <c r="W399" s="124">
        <f t="shared" si="159"/>
        <v>1</v>
      </c>
      <c r="X399" s="124">
        <f t="shared" si="160"/>
        <v>1</v>
      </c>
      <c r="Y399" s="124">
        <f t="shared" si="161"/>
        <v>0</v>
      </c>
      <c r="Z399" s="124">
        <f t="shared" si="162"/>
        <v>1</v>
      </c>
      <c r="AA399" s="124">
        <f t="shared" si="139"/>
        <v>7.8640436328587769E-5</v>
      </c>
      <c r="AB399" s="124">
        <f t="shared" si="163"/>
        <v>0</v>
      </c>
      <c r="AC399" s="124">
        <f t="shared" si="164"/>
        <v>0</v>
      </c>
    </row>
    <row r="400" spans="2:29" s="114" customFormat="1">
      <c r="B400" s="115">
        <f t="shared" si="140"/>
        <v>-4.0000000000060668E-2</v>
      </c>
      <c r="C400" s="124">
        <f t="shared" si="141"/>
        <v>0.9120108393557822</v>
      </c>
      <c r="D400" s="124">
        <f t="shared" si="142"/>
        <v>94197.9149196176</v>
      </c>
      <c r="E400" s="124">
        <f t="shared" si="143"/>
        <v>1</v>
      </c>
      <c r="F400" s="124">
        <f t="shared" si="144"/>
        <v>1</v>
      </c>
      <c r="G400" s="124">
        <f t="shared" si="145"/>
        <v>97675.140104633421</v>
      </c>
      <c r="H400" s="124">
        <f t="shared" si="146"/>
        <v>1</v>
      </c>
      <c r="I400" s="124">
        <f t="shared" si="147"/>
        <v>1</v>
      </c>
      <c r="J400" s="124">
        <f t="shared" si="148"/>
        <v>2.4783427515848698E-4</v>
      </c>
      <c r="K400" s="124">
        <f t="shared" si="149"/>
        <v>0</v>
      </c>
      <c r="L400" s="124">
        <f t="shared" si="150"/>
        <v>0</v>
      </c>
      <c r="M400" s="120"/>
      <c r="N400" s="132">
        <f t="shared" si="138"/>
        <v>5.7303331058287723</v>
      </c>
      <c r="O400" s="124">
        <f t="shared" si="151"/>
        <v>305772.69931154704</v>
      </c>
      <c r="P400" s="124">
        <f t="shared" si="152"/>
        <v>1</v>
      </c>
      <c r="Q400" s="124">
        <f t="shared" si="153"/>
        <v>1</v>
      </c>
      <c r="R400" s="124">
        <f t="shared" si="154"/>
        <v>239508.90514647804</v>
      </c>
      <c r="S400" s="124">
        <f t="shared" si="155"/>
        <v>181434.40066671497</v>
      </c>
      <c r="T400" s="124">
        <f t="shared" si="156"/>
        <v>300471.22556037654</v>
      </c>
      <c r="U400" s="124">
        <f t="shared" si="157"/>
        <v>1</v>
      </c>
      <c r="V400" s="124">
        <f t="shared" si="158"/>
        <v>0</v>
      </c>
      <c r="W400" s="124">
        <f t="shared" si="159"/>
        <v>1</v>
      </c>
      <c r="X400" s="124">
        <f t="shared" si="160"/>
        <v>1</v>
      </c>
      <c r="Y400" s="124">
        <f t="shared" si="161"/>
        <v>0</v>
      </c>
      <c r="Z400" s="124">
        <f t="shared" si="162"/>
        <v>1</v>
      </c>
      <c r="AA400" s="124">
        <f t="shared" si="139"/>
        <v>5.7696462591193261E-5</v>
      </c>
      <c r="AB400" s="124">
        <f t="shared" si="163"/>
        <v>0</v>
      </c>
      <c r="AC400" s="124">
        <f t="shared" si="164"/>
        <v>0</v>
      </c>
    </row>
    <row r="401" spans="2:29" s="114" customFormat="1">
      <c r="B401" s="115">
        <f t="shared" si="140"/>
        <v>-2.0000000000060667E-2</v>
      </c>
      <c r="C401" s="124">
        <f t="shared" si="141"/>
        <v>0.95499258602130266</v>
      </c>
      <c r="D401" s="124">
        <f t="shared" si="142"/>
        <v>92158.969371598418</v>
      </c>
      <c r="E401" s="124">
        <f t="shared" si="143"/>
        <v>1</v>
      </c>
      <c r="F401" s="124">
        <f t="shared" si="144"/>
        <v>1</v>
      </c>
      <c r="G401" s="124">
        <f t="shared" si="145"/>
        <v>95603.679137937725</v>
      </c>
      <c r="H401" s="124">
        <f t="shared" si="146"/>
        <v>1</v>
      </c>
      <c r="I401" s="124">
        <f t="shared" si="147"/>
        <v>1</v>
      </c>
      <c r="J401" s="124">
        <f t="shared" si="148"/>
        <v>2.5398785196099443E-4</v>
      </c>
      <c r="K401" s="124">
        <f t="shared" si="149"/>
        <v>0</v>
      </c>
      <c r="L401" s="124">
        <f t="shared" si="150"/>
        <v>0</v>
      </c>
      <c r="M401" s="120"/>
      <c r="N401" s="132">
        <f t="shared" si="138"/>
        <v>6.0003953849544862</v>
      </c>
      <c r="O401" s="124">
        <f t="shared" si="151"/>
        <v>311616.94493171183</v>
      </c>
      <c r="P401" s="124">
        <f t="shared" si="152"/>
        <v>1</v>
      </c>
      <c r="Q401" s="124">
        <f t="shared" si="153"/>
        <v>1</v>
      </c>
      <c r="R401" s="124">
        <f t="shared" si="154"/>
        <v>245106.14108956093</v>
      </c>
      <c r="S401" s="124">
        <f t="shared" si="155"/>
        <v>185112.95282085598</v>
      </c>
      <c r="T401" s="124">
        <f t="shared" si="156"/>
        <v>307154.40042732935</v>
      </c>
      <c r="U401" s="124">
        <f t="shared" si="157"/>
        <v>1</v>
      </c>
      <c r="V401" s="124">
        <f t="shared" si="158"/>
        <v>0</v>
      </c>
      <c r="W401" s="124">
        <f t="shared" si="159"/>
        <v>1</v>
      </c>
      <c r="X401" s="124">
        <f t="shared" si="160"/>
        <v>1</v>
      </c>
      <c r="Y401" s="124">
        <f t="shared" si="161"/>
        <v>0</v>
      </c>
      <c r="Z401" s="124">
        <f t="shared" si="162"/>
        <v>1</v>
      </c>
      <c r="AA401" s="124">
        <f t="shared" si="139"/>
        <v>3.9241753588912009E-5</v>
      </c>
      <c r="AB401" s="124">
        <f t="shared" si="163"/>
        <v>0</v>
      </c>
      <c r="AC401" s="124">
        <f t="shared" si="164"/>
        <v>0</v>
      </c>
    </row>
    <row r="402" spans="2:29" s="114" customFormat="1">
      <c r="B402" s="115">
        <f t="shared" si="140"/>
        <v>-6.0666749401860898E-14</v>
      </c>
      <c r="C402" s="124">
        <f t="shared" si="141"/>
        <v>0.99999999999986033</v>
      </c>
      <c r="D402" s="124">
        <f t="shared" si="142"/>
        <v>90162.659693677662</v>
      </c>
      <c r="E402" s="124">
        <f t="shared" si="143"/>
        <v>1</v>
      </c>
      <c r="F402" s="124">
        <f t="shared" si="144"/>
        <v>1</v>
      </c>
      <c r="G402" s="124">
        <f t="shared" si="145"/>
        <v>93525.671418245372</v>
      </c>
      <c r="H402" s="124">
        <f t="shared" si="146"/>
        <v>1</v>
      </c>
      <c r="I402" s="124">
        <f t="shared" si="147"/>
        <v>1</v>
      </c>
      <c r="J402" s="124">
        <f t="shared" si="148"/>
        <v>2.5294104124996987E-4</v>
      </c>
      <c r="K402" s="124">
        <f t="shared" si="149"/>
        <v>0</v>
      </c>
      <c r="L402" s="124">
        <f t="shared" si="150"/>
        <v>0</v>
      </c>
      <c r="M402" s="120"/>
      <c r="N402" s="132">
        <f t="shared" si="138"/>
        <v>6.2831853071787087</v>
      </c>
      <c r="O402" s="124">
        <f t="shared" si="151"/>
        <v>317547.91449864657</v>
      </c>
      <c r="P402" s="124">
        <f t="shared" si="152"/>
        <v>1</v>
      </c>
      <c r="Q402" s="124">
        <f t="shared" si="153"/>
        <v>1</v>
      </c>
      <c r="R402" s="124">
        <f t="shared" si="154"/>
        <v>250923.29320243679</v>
      </c>
      <c r="S402" s="124">
        <f t="shared" si="155"/>
        <v>188747.06864212325</v>
      </c>
      <c r="T402" s="124">
        <f t="shared" si="156"/>
        <v>313987.18921725207</v>
      </c>
      <c r="U402" s="124">
        <f t="shared" si="157"/>
        <v>1</v>
      </c>
      <c r="V402" s="124">
        <f t="shared" si="158"/>
        <v>0</v>
      </c>
      <c r="W402" s="124">
        <f t="shared" si="159"/>
        <v>1</v>
      </c>
      <c r="X402" s="124">
        <f t="shared" si="160"/>
        <v>1</v>
      </c>
      <c r="Y402" s="124">
        <f t="shared" si="161"/>
        <v>0</v>
      </c>
      <c r="Z402" s="124">
        <f t="shared" si="162"/>
        <v>1</v>
      </c>
      <c r="AA402" s="124">
        <f t="shared" si="139"/>
        <v>2.3983897683607706E-5</v>
      </c>
      <c r="AB402" s="124">
        <f t="shared" si="163"/>
        <v>0</v>
      </c>
      <c r="AC402" s="124">
        <f t="shared" si="164"/>
        <v>0</v>
      </c>
    </row>
    <row r="403" spans="2:29" s="114" customFormat="1">
      <c r="B403" s="115">
        <f t="shared" si="140"/>
        <v>1.9999999999939334E-2</v>
      </c>
      <c r="C403" s="124">
        <f t="shared" si="141"/>
        <v>1.0471285480507533</v>
      </c>
      <c r="D403" s="124">
        <f t="shared" si="142"/>
        <v>88208.245116640654</v>
      </c>
      <c r="E403" s="124">
        <f t="shared" si="143"/>
        <v>1</v>
      </c>
      <c r="F403" s="124">
        <f t="shared" si="144"/>
        <v>1</v>
      </c>
      <c r="G403" s="124">
        <f t="shared" si="145"/>
        <v>91443.775060899177</v>
      </c>
      <c r="H403" s="124">
        <f t="shared" si="146"/>
        <v>1</v>
      </c>
      <c r="I403" s="124">
        <f t="shared" si="147"/>
        <v>1</v>
      </c>
      <c r="J403" s="124">
        <f t="shared" si="148"/>
        <v>2.4476492062859838E-4</v>
      </c>
      <c r="K403" s="124">
        <f t="shared" si="149"/>
        <v>0</v>
      </c>
      <c r="L403" s="124">
        <f t="shared" si="150"/>
        <v>0</v>
      </c>
      <c r="M403" s="120"/>
      <c r="N403" s="132">
        <f t="shared" si="138"/>
        <v>6.5793027078407862</v>
      </c>
      <c r="O403" s="124">
        <f t="shared" si="151"/>
        <v>323566.10245981067</v>
      </c>
      <c r="P403" s="124">
        <f t="shared" si="152"/>
        <v>1</v>
      </c>
      <c r="Q403" s="124">
        <f t="shared" si="153"/>
        <v>1</v>
      </c>
      <c r="R403" s="124">
        <f t="shared" si="154"/>
        <v>256955.03392195076</v>
      </c>
      <c r="S403" s="124">
        <f t="shared" si="155"/>
        <v>192317.67630992876</v>
      </c>
      <c r="T403" s="124">
        <f t="shared" si="156"/>
        <v>320954.79133217718</v>
      </c>
      <c r="U403" s="124">
        <f t="shared" si="157"/>
        <v>1</v>
      </c>
      <c r="V403" s="124">
        <f t="shared" si="158"/>
        <v>0</v>
      </c>
      <c r="W403" s="124">
        <f t="shared" si="159"/>
        <v>1</v>
      </c>
      <c r="X403" s="124">
        <f t="shared" si="160"/>
        <v>1</v>
      </c>
      <c r="Y403" s="124">
        <f t="shared" si="161"/>
        <v>0</v>
      </c>
      <c r="Z403" s="124">
        <f t="shared" si="162"/>
        <v>1</v>
      </c>
      <c r="AA403" s="124">
        <f t="shared" si="139"/>
        <v>1.2384446577513638E-5</v>
      </c>
      <c r="AB403" s="124">
        <f t="shared" si="163"/>
        <v>0</v>
      </c>
      <c r="AC403" s="124">
        <f t="shared" si="164"/>
        <v>0</v>
      </c>
    </row>
    <row r="404" spans="2:29" s="114" customFormat="1">
      <c r="B404" s="115">
        <f t="shared" si="140"/>
        <v>3.9999999999939334E-2</v>
      </c>
      <c r="C404" s="124">
        <f t="shared" si="141"/>
        <v>1.0964781961430319</v>
      </c>
      <c r="D404" s="124">
        <f t="shared" si="142"/>
        <v>86294.991557750283</v>
      </c>
      <c r="E404" s="124">
        <f t="shared" si="143"/>
        <v>1</v>
      </c>
      <c r="F404" s="124">
        <f t="shared" si="144"/>
        <v>1</v>
      </c>
      <c r="G404" s="124">
        <f t="shared" si="145"/>
        <v>89361.111138691107</v>
      </c>
      <c r="H404" s="124">
        <f t="shared" si="146"/>
        <v>1</v>
      </c>
      <c r="I404" s="124">
        <f t="shared" si="147"/>
        <v>1</v>
      </c>
      <c r="J404" s="124">
        <f t="shared" si="148"/>
        <v>2.2991564935349447E-4</v>
      </c>
      <c r="K404" s="124">
        <f t="shared" si="149"/>
        <v>0</v>
      </c>
      <c r="L404" s="124">
        <f t="shared" si="150"/>
        <v>0</v>
      </c>
      <c r="M404" s="120"/>
      <c r="N404" s="132">
        <f t="shared" si="138"/>
        <v>6.8893756916486746</v>
      </c>
      <c r="O404" s="124">
        <f t="shared" si="151"/>
        <v>329671.98475391144</v>
      </c>
      <c r="P404" s="124">
        <f t="shared" si="152"/>
        <v>1</v>
      </c>
      <c r="Q404" s="124">
        <f t="shared" si="153"/>
        <v>1</v>
      </c>
      <c r="R404" s="124">
        <f t="shared" si="154"/>
        <v>263193.39386448823</v>
      </c>
      <c r="S404" s="124">
        <f t="shared" si="155"/>
        <v>195806.12545933577</v>
      </c>
      <c r="T404" s="124">
        <f t="shared" si="156"/>
        <v>328040.85315903072</v>
      </c>
      <c r="U404" s="124">
        <f t="shared" si="157"/>
        <v>1</v>
      </c>
      <c r="V404" s="124">
        <f t="shared" si="158"/>
        <v>0</v>
      </c>
      <c r="W404" s="124">
        <f t="shared" si="159"/>
        <v>1</v>
      </c>
      <c r="X404" s="124">
        <f t="shared" si="160"/>
        <v>1</v>
      </c>
      <c r="Y404" s="124">
        <f t="shared" si="161"/>
        <v>0</v>
      </c>
      <c r="Z404" s="124">
        <f t="shared" si="162"/>
        <v>1</v>
      </c>
      <c r="AA404" s="124">
        <f t="shared" si="139"/>
        <v>4.6401899259689683E-6</v>
      </c>
      <c r="AB404" s="124">
        <f t="shared" si="163"/>
        <v>0</v>
      </c>
      <c r="AC404" s="124">
        <f t="shared" si="164"/>
        <v>0</v>
      </c>
    </row>
    <row r="405" spans="2:29" s="114" customFormat="1">
      <c r="B405" s="115">
        <f t="shared" si="140"/>
        <v>5.9999999999939338E-2</v>
      </c>
      <c r="C405" s="124">
        <f t="shared" si="141"/>
        <v>1.1481536214967225</v>
      </c>
      <c r="D405" s="124">
        <f t="shared" si="142"/>
        <v>84422.171790518201</v>
      </c>
      <c r="E405" s="124">
        <f t="shared" si="143"/>
        <v>1</v>
      </c>
      <c r="F405" s="124">
        <f t="shared" si="144"/>
        <v>1</v>
      </c>
      <c r="G405" s="124">
        <f t="shared" si="145"/>
        <v>87281.184297905158</v>
      </c>
      <c r="H405" s="124">
        <f t="shared" si="146"/>
        <v>1</v>
      </c>
      <c r="I405" s="124">
        <f t="shared" si="147"/>
        <v>1</v>
      </c>
      <c r="J405" s="124">
        <f t="shared" si="148"/>
        <v>2.0921048148888672E-4</v>
      </c>
      <c r="K405" s="124">
        <f t="shared" si="149"/>
        <v>0</v>
      </c>
      <c r="L405" s="124">
        <f t="shared" si="150"/>
        <v>0</v>
      </c>
      <c r="M405" s="120"/>
      <c r="N405" s="132">
        <f t="shared" si="138"/>
        <v>7.2140619649732391</v>
      </c>
      <c r="O405" s="124">
        <f t="shared" si="151"/>
        <v>335866.01834137755</v>
      </c>
      <c r="P405" s="124">
        <f t="shared" si="152"/>
        <v>1</v>
      </c>
      <c r="Q405" s="124">
        <f t="shared" si="153"/>
        <v>1</v>
      </c>
      <c r="R405" s="124">
        <f t="shared" si="154"/>
        <v>269627.75507950637</v>
      </c>
      <c r="S405" s="124">
        <f t="shared" si="155"/>
        <v>199194.58259093366</v>
      </c>
      <c r="T405" s="124">
        <f t="shared" si="156"/>
        <v>335227.69581702311</v>
      </c>
      <c r="U405" s="124">
        <f t="shared" si="157"/>
        <v>1</v>
      </c>
      <c r="V405" s="124">
        <f t="shared" si="158"/>
        <v>0</v>
      </c>
      <c r="W405" s="124">
        <f t="shared" si="159"/>
        <v>1</v>
      </c>
      <c r="X405" s="124">
        <f t="shared" si="160"/>
        <v>1</v>
      </c>
      <c r="Y405" s="124">
        <f t="shared" si="161"/>
        <v>0</v>
      </c>
      <c r="Z405" s="124">
        <f t="shared" si="162"/>
        <v>1</v>
      </c>
      <c r="AA405" s="124">
        <f t="shared" si="139"/>
        <v>6.8256320499094466E-7</v>
      </c>
      <c r="AB405" s="124">
        <f t="shared" si="163"/>
        <v>0</v>
      </c>
      <c r="AC405" s="124">
        <f t="shared" si="164"/>
        <v>0</v>
      </c>
    </row>
    <row r="406" spans="2:29" s="114" customFormat="1">
      <c r="B406" s="115">
        <f t="shared" si="140"/>
        <v>7.9999999999939342E-2</v>
      </c>
      <c r="C406" s="124">
        <f t="shared" si="141"/>
        <v>1.2022644346172451</v>
      </c>
      <c r="D406" s="124">
        <f t="shared" si="142"/>
        <v>82589.065605005875</v>
      </c>
      <c r="E406" s="124">
        <f t="shared" si="143"/>
        <v>1</v>
      </c>
      <c r="F406" s="124">
        <f t="shared" si="144"/>
        <v>1</v>
      </c>
      <c r="G406" s="124">
        <f t="shared" si="145"/>
        <v>85207.808360250638</v>
      </c>
      <c r="H406" s="124">
        <f t="shared" si="146"/>
        <v>1</v>
      </c>
      <c r="I406" s="124">
        <f t="shared" si="147"/>
        <v>1</v>
      </c>
      <c r="J406" s="124">
        <f t="shared" si="148"/>
        <v>1.8378797276748864E-4</v>
      </c>
      <c r="K406" s="124">
        <f t="shared" si="149"/>
        <v>0</v>
      </c>
      <c r="L406" s="124">
        <f t="shared" si="150"/>
        <v>0</v>
      </c>
      <c r="M406" s="120"/>
      <c r="N406" s="132">
        <f t="shared" si="138"/>
        <v>7.5540502309316464</v>
      </c>
      <c r="O406" s="124">
        <f t="shared" si="151"/>
        <v>342148.6407427988</v>
      </c>
      <c r="P406" s="124">
        <f t="shared" si="152"/>
        <v>1</v>
      </c>
      <c r="Q406" s="124">
        <f t="shared" si="153"/>
        <v>1</v>
      </c>
      <c r="R406" s="124">
        <f t="shared" si="154"/>
        <v>276244.91001378145</v>
      </c>
      <c r="S406" s="124">
        <f t="shared" si="155"/>
        <v>202466.4407087451</v>
      </c>
      <c r="T406" s="124">
        <f t="shared" si="156"/>
        <v>342496.58381039364</v>
      </c>
      <c r="U406" s="124">
        <f t="shared" si="157"/>
        <v>1</v>
      </c>
      <c r="V406" s="124">
        <f t="shared" si="158"/>
        <v>0</v>
      </c>
      <c r="W406" s="124">
        <f t="shared" si="159"/>
        <v>1</v>
      </c>
      <c r="X406" s="124">
        <f t="shared" si="160"/>
        <v>1</v>
      </c>
      <c r="Y406" s="124">
        <f t="shared" si="161"/>
        <v>0</v>
      </c>
      <c r="Z406" s="124">
        <f t="shared" si="162"/>
        <v>1</v>
      </c>
      <c r="AA406" s="124">
        <f t="shared" si="139"/>
        <v>1.9485605166472743E-7</v>
      </c>
      <c r="AB406" s="124">
        <f t="shared" si="163"/>
        <v>0</v>
      </c>
      <c r="AC406" s="124">
        <f t="shared" si="164"/>
        <v>0</v>
      </c>
    </row>
    <row r="407" spans="2:29" s="114" customFormat="1">
      <c r="B407" s="115">
        <f t="shared" si="140"/>
        <v>9.9999999999939346E-2</v>
      </c>
      <c r="C407" s="124">
        <f t="shared" si="141"/>
        <v>1.2589254117939914</v>
      </c>
      <c r="D407" s="124">
        <f t="shared" si="142"/>
        <v>80794.959958780557</v>
      </c>
      <c r="E407" s="124">
        <f t="shared" si="143"/>
        <v>1</v>
      </c>
      <c r="F407" s="124">
        <f t="shared" si="144"/>
        <v>1</v>
      </c>
      <c r="G407" s="124">
        <f t="shared" si="145"/>
        <v>83145.036988319829</v>
      </c>
      <c r="H407" s="124">
        <f t="shared" si="146"/>
        <v>1</v>
      </c>
      <c r="I407" s="124">
        <f t="shared" si="147"/>
        <v>1</v>
      </c>
      <c r="J407" s="124">
        <f t="shared" si="148"/>
        <v>1.5505381812474411E-4</v>
      </c>
      <c r="K407" s="124">
        <f t="shared" si="149"/>
        <v>0</v>
      </c>
      <c r="L407" s="124">
        <f t="shared" si="150"/>
        <v>0</v>
      </c>
      <c r="M407" s="120"/>
      <c r="N407" s="132">
        <f t="shared" si="138"/>
        <v>7.9100616502190171</v>
      </c>
      <c r="O407" s="124">
        <f t="shared" si="151"/>
        <v>348520.26958587224</v>
      </c>
      <c r="P407" s="124">
        <f t="shared" si="152"/>
        <v>1</v>
      </c>
      <c r="Q407" s="124">
        <f t="shared" si="153"/>
        <v>1</v>
      </c>
      <c r="R407" s="124">
        <f t="shared" si="154"/>
        <v>283029.19130833575</v>
      </c>
      <c r="S407" s="124">
        <f t="shared" si="155"/>
        <v>205606.73075449691</v>
      </c>
      <c r="T407" s="124">
        <f t="shared" si="156"/>
        <v>349828.03041523515</v>
      </c>
      <c r="U407" s="124">
        <f t="shared" si="157"/>
        <v>1</v>
      </c>
      <c r="V407" s="124">
        <f t="shared" si="158"/>
        <v>0</v>
      </c>
      <c r="W407" s="124">
        <f t="shared" si="159"/>
        <v>1</v>
      </c>
      <c r="X407" s="124">
        <f t="shared" si="160"/>
        <v>1</v>
      </c>
      <c r="Y407" s="124">
        <f t="shared" si="161"/>
        <v>0</v>
      </c>
      <c r="Z407" s="124">
        <f t="shared" si="162"/>
        <v>1</v>
      </c>
      <c r="AA407" s="124">
        <f t="shared" si="139"/>
        <v>2.6457092686897441E-6</v>
      </c>
      <c r="AB407" s="124">
        <f t="shared" si="163"/>
        <v>0</v>
      </c>
      <c r="AC407" s="124">
        <f t="shared" si="164"/>
        <v>0</v>
      </c>
    </row>
    <row r="408" spans="2:29" s="114" customFormat="1">
      <c r="B408" s="115">
        <f t="shared" si="140"/>
        <v>0.11999999999993935</v>
      </c>
      <c r="C408" s="124">
        <f t="shared" si="141"/>
        <v>1.3182567385562229</v>
      </c>
      <c r="D408" s="124">
        <f t="shared" si="142"/>
        <v>79039.149118649613</v>
      </c>
      <c r="E408" s="124">
        <f t="shared" si="143"/>
        <v>1</v>
      </c>
      <c r="F408" s="124">
        <f t="shared" si="144"/>
        <v>1</v>
      </c>
      <c r="G408" s="124">
        <f t="shared" si="145"/>
        <v>81097.099006879987</v>
      </c>
      <c r="H408" s="124">
        <f t="shared" si="146"/>
        <v>1</v>
      </c>
      <c r="I408" s="124">
        <f t="shared" si="147"/>
        <v>1</v>
      </c>
      <c r="J408" s="124">
        <f t="shared" si="148"/>
        <v>1.2461396850795302E-4</v>
      </c>
      <c r="K408" s="124">
        <f t="shared" si="149"/>
        <v>0</v>
      </c>
      <c r="L408" s="124">
        <f t="shared" si="150"/>
        <v>0</v>
      </c>
      <c r="M408" s="120"/>
      <c r="N408" s="132">
        <f t="shared" si="138"/>
        <v>8.2828513707869416</v>
      </c>
      <c r="O408" s="124">
        <f t="shared" si="151"/>
        <v>354981.30216136161</v>
      </c>
      <c r="P408" s="124">
        <f t="shared" si="152"/>
        <v>1</v>
      </c>
      <c r="Q408" s="124">
        <f t="shared" si="153"/>
        <v>1</v>
      </c>
      <c r="R408" s="124">
        <f t="shared" si="154"/>
        <v>289962.67484120297</v>
      </c>
      <c r="S408" s="124">
        <f t="shared" si="155"/>
        <v>208602.52084216729</v>
      </c>
      <c r="T408" s="124">
        <f t="shared" si="156"/>
        <v>357202.13395607262</v>
      </c>
      <c r="U408" s="124">
        <f t="shared" si="157"/>
        <v>1</v>
      </c>
      <c r="V408" s="124">
        <f t="shared" si="158"/>
        <v>0</v>
      </c>
      <c r="W408" s="124">
        <f t="shared" si="159"/>
        <v>1</v>
      </c>
      <c r="X408" s="124">
        <f t="shared" si="160"/>
        <v>1</v>
      </c>
      <c r="Y408" s="124">
        <f t="shared" si="161"/>
        <v>0</v>
      </c>
      <c r="Z408" s="124">
        <f t="shared" si="162"/>
        <v>1</v>
      </c>
      <c r="AA408" s="124">
        <f t="shared" si="139"/>
        <v>7.3363328120573945E-6</v>
      </c>
      <c r="AB408" s="124">
        <f t="shared" si="163"/>
        <v>0</v>
      </c>
      <c r="AC408" s="124">
        <f t="shared" si="164"/>
        <v>0</v>
      </c>
    </row>
    <row r="409" spans="2:29" s="114" customFormat="1">
      <c r="B409" s="115">
        <f t="shared" si="140"/>
        <v>0.13999999999993934</v>
      </c>
      <c r="C409" s="124">
        <f t="shared" si="141"/>
        <v>1.380384264602692</v>
      </c>
      <c r="D409" s="124">
        <f t="shared" si="142"/>
        <v>77320.934793312641</v>
      </c>
      <c r="E409" s="124">
        <f t="shared" si="143"/>
        <v>1</v>
      </c>
      <c r="F409" s="124">
        <f t="shared" si="144"/>
        <v>1</v>
      </c>
      <c r="G409" s="124">
        <f t="shared" si="145"/>
        <v>79068.337651004578</v>
      </c>
      <c r="H409" s="124">
        <f t="shared" si="146"/>
        <v>1</v>
      </c>
      <c r="I409" s="124">
        <f t="shared" si="147"/>
        <v>1</v>
      </c>
      <c r="J409" s="124">
        <f t="shared" si="148"/>
        <v>9.4196968670004808E-5</v>
      </c>
      <c r="K409" s="124">
        <f t="shared" si="149"/>
        <v>0</v>
      </c>
      <c r="L409" s="124">
        <f t="shared" si="150"/>
        <v>0</v>
      </c>
      <c r="M409" s="120"/>
      <c r="N409" s="132">
        <f t="shared" si="138"/>
        <v>8.6732101296135333</v>
      </c>
      <c r="O409" s="124">
        <f t="shared" si="151"/>
        <v>361532.11498860788</v>
      </c>
      <c r="P409" s="124">
        <f t="shared" si="152"/>
        <v>1</v>
      </c>
      <c r="Q409" s="124">
        <f t="shared" si="153"/>
        <v>1</v>
      </c>
      <c r="R409" s="124">
        <f t="shared" si="154"/>
        <v>297025.4552465005</v>
      </c>
      <c r="S409" s="124">
        <f t="shared" si="155"/>
        <v>211443.28840707141</v>
      </c>
      <c r="T409" s="124">
        <f t="shared" si="156"/>
        <v>364598.93756947079</v>
      </c>
      <c r="U409" s="124">
        <f t="shared" si="157"/>
        <v>1</v>
      </c>
      <c r="V409" s="124">
        <f t="shared" si="158"/>
        <v>0</v>
      </c>
      <c r="W409" s="124">
        <f t="shared" si="159"/>
        <v>1</v>
      </c>
      <c r="X409" s="124">
        <f t="shared" si="160"/>
        <v>1</v>
      </c>
      <c r="Y409" s="124">
        <f t="shared" si="161"/>
        <v>0</v>
      </c>
      <c r="Z409" s="124">
        <f t="shared" si="162"/>
        <v>1</v>
      </c>
      <c r="AA409" s="124">
        <f t="shared" si="139"/>
        <v>1.3458016740497605E-5</v>
      </c>
      <c r="AB409" s="124">
        <f t="shared" si="163"/>
        <v>0</v>
      </c>
      <c r="AC409" s="124">
        <f t="shared" si="164"/>
        <v>0</v>
      </c>
    </row>
    <row r="410" spans="2:29" s="114" customFormat="1">
      <c r="B410" s="115">
        <f t="shared" si="140"/>
        <v>0.15999999999993933</v>
      </c>
      <c r="C410" s="124">
        <f t="shared" si="141"/>
        <v>1.4454397707457256</v>
      </c>
      <c r="D410" s="124">
        <f t="shared" si="142"/>
        <v>75639.626257075026</v>
      </c>
      <c r="E410" s="124">
        <f t="shared" si="143"/>
        <v>1</v>
      </c>
      <c r="F410" s="124">
        <f t="shared" si="144"/>
        <v>1</v>
      </c>
      <c r="G410" s="124">
        <f t="shared" si="145"/>
        <v>77063.152856372952</v>
      </c>
      <c r="H410" s="124">
        <f t="shared" si="146"/>
        <v>1</v>
      </c>
      <c r="I410" s="124">
        <f t="shared" si="147"/>
        <v>1</v>
      </c>
      <c r="J410" s="124">
        <f t="shared" si="148"/>
        <v>6.5567868695131675E-5</v>
      </c>
      <c r="K410" s="124">
        <f t="shared" si="149"/>
        <v>0</v>
      </c>
      <c r="L410" s="124">
        <f t="shared" si="150"/>
        <v>0</v>
      </c>
      <c r="M410" s="120"/>
      <c r="N410" s="132">
        <f t="shared" si="138"/>
        <v>9.081965929962573</v>
      </c>
      <c r="O410" s="124">
        <f t="shared" si="151"/>
        <v>368173.0633911044</v>
      </c>
      <c r="P410" s="124">
        <f t="shared" si="152"/>
        <v>1</v>
      </c>
      <c r="Q410" s="124">
        <f t="shared" si="153"/>
        <v>1</v>
      </c>
      <c r="R410" s="124">
        <f t="shared" si="154"/>
        <v>304195.98967343499</v>
      </c>
      <c r="S410" s="124">
        <f t="shared" si="155"/>
        <v>214121.25031848322</v>
      </c>
      <c r="T410" s="124">
        <f t="shared" si="156"/>
        <v>371998.80372301082</v>
      </c>
      <c r="U410" s="124">
        <f t="shared" si="157"/>
        <v>1</v>
      </c>
      <c r="V410" s="124">
        <f t="shared" si="158"/>
        <v>0</v>
      </c>
      <c r="W410" s="124">
        <f t="shared" si="159"/>
        <v>1</v>
      </c>
      <c r="X410" s="124">
        <f t="shared" si="160"/>
        <v>1</v>
      </c>
      <c r="Y410" s="124">
        <f t="shared" si="161"/>
        <v>0</v>
      </c>
      <c r="Z410" s="124">
        <f t="shared" si="162"/>
        <v>1</v>
      </c>
      <c r="AA410" s="124">
        <f t="shared" si="139"/>
        <v>2.0155899280436944E-5</v>
      </c>
      <c r="AB410" s="124">
        <f t="shared" si="163"/>
        <v>0</v>
      </c>
      <c r="AC410" s="124">
        <f t="shared" si="164"/>
        <v>0</v>
      </c>
    </row>
    <row r="411" spans="2:29" s="114" customFormat="1">
      <c r="B411" s="115">
        <f t="shared" si="140"/>
        <v>0.17999999999993932</v>
      </c>
      <c r="C411" s="124">
        <f t="shared" si="141"/>
        <v>1.5135612484359968</v>
      </c>
      <c r="D411" s="124">
        <f t="shared" si="142"/>
        <v>73994.540464772406</v>
      </c>
      <c r="E411" s="124">
        <f t="shared" si="143"/>
        <v>1</v>
      </c>
      <c r="F411" s="124">
        <f t="shared" si="144"/>
        <v>1</v>
      </c>
      <c r="G411" s="124">
        <f t="shared" si="145"/>
        <v>75085.945701940058</v>
      </c>
      <c r="H411" s="124">
        <f t="shared" si="146"/>
        <v>1</v>
      </c>
      <c r="I411" s="124">
        <f t="shared" si="147"/>
        <v>1</v>
      </c>
      <c r="J411" s="124">
        <f t="shared" si="148"/>
        <v>4.0436596834525673E-5</v>
      </c>
      <c r="K411" s="124">
        <f t="shared" si="149"/>
        <v>0</v>
      </c>
      <c r="L411" s="124">
        <f t="shared" si="150"/>
        <v>0</v>
      </c>
      <c r="M411" s="120"/>
      <c r="N411" s="132">
        <f t="shared" si="138"/>
        <v>9.5099857976894473</v>
      </c>
      <c r="O411" s="124">
        <f t="shared" si="151"/>
        <v>374904.48108263221</v>
      </c>
      <c r="P411" s="124">
        <f t="shared" si="152"/>
        <v>1</v>
      </c>
      <c r="Q411" s="124">
        <f t="shared" si="153"/>
        <v>1</v>
      </c>
      <c r="R411" s="124">
        <f t="shared" si="154"/>
        <v>311451.50203754375</v>
      </c>
      <c r="S411" s="124">
        <f t="shared" si="155"/>
        <v>216631.63685383607</v>
      </c>
      <c r="T411" s="124">
        <f t="shared" si="156"/>
        <v>379382.79376826569</v>
      </c>
      <c r="U411" s="124">
        <f t="shared" si="157"/>
        <v>1</v>
      </c>
      <c r="V411" s="124">
        <f t="shared" si="158"/>
        <v>0</v>
      </c>
      <c r="W411" s="124">
        <f t="shared" si="159"/>
        <v>1</v>
      </c>
      <c r="X411" s="124">
        <f t="shared" si="160"/>
        <v>1</v>
      </c>
      <c r="Y411" s="124">
        <f t="shared" si="161"/>
        <v>0</v>
      </c>
      <c r="Z411" s="124">
        <f t="shared" si="162"/>
        <v>1</v>
      </c>
      <c r="AA411" s="124">
        <f t="shared" si="139"/>
        <v>2.6594638124832024E-5</v>
      </c>
      <c r="AB411" s="124">
        <f t="shared" si="163"/>
        <v>0</v>
      </c>
      <c r="AC411" s="124">
        <f t="shared" si="164"/>
        <v>0</v>
      </c>
    </row>
    <row r="412" spans="2:29" s="114" customFormat="1">
      <c r="B412" s="115">
        <f t="shared" si="140"/>
        <v>0.19999999999993931</v>
      </c>
      <c r="C412" s="124">
        <f t="shared" si="141"/>
        <v>1.584893192460892</v>
      </c>
      <c r="D412" s="124">
        <f t="shared" si="142"/>
        <v>72385.00215806035</v>
      </c>
      <c r="E412" s="124">
        <f t="shared" si="143"/>
        <v>1</v>
      </c>
      <c r="F412" s="124">
        <f t="shared" si="144"/>
        <v>1</v>
      </c>
      <c r="G412" s="124">
        <f t="shared" si="145"/>
        <v>73141.064233528145</v>
      </c>
      <c r="H412" s="124">
        <f t="shared" si="146"/>
        <v>1</v>
      </c>
      <c r="I412" s="124">
        <f t="shared" si="147"/>
        <v>1</v>
      </c>
      <c r="J412" s="124">
        <f t="shared" si="148"/>
        <v>2.0364312666637041E-5</v>
      </c>
      <c r="K412" s="124">
        <f t="shared" si="149"/>
        <v>0</v>
      </c>
      <c r="L412" s="124">
        <f t="shared" si="150"/>
        <v>0</v>
      </c>
      <c r="M412" s="120"/>
      <c r="N412" s="132">
        <f t="shared" si="138"/>
        <v>9.9581776203192245</v>
      </c>
      <c r="O412" s="124">
        <f t="shared" si="151"/>
        <v>381726.67976445943</v>
      </c>
      <c r="P412" s="124">
        <f t="shared" si="152"/>
        <v>1</v>
      </c>
      <c r="Q412" s="124">
        <f t="shared" si="153"/>
        <v>1</v>
      </c>
      <c r="R412" s="124">
        <f t="shared" si="154"/>
        <v>318768.43672939012</v>
      </c>
      <c r="S412" s="124">
        <f t="shared" si="155"/>
        <v>218972.89720846326</v>
      </c>
      <c r="T412" s="124">
        <f t="shared" si="156"/>
        <v>386733.04224848357</v>
      </c>
      <c r="U412" s="124">
        <f t="shared" si="157"/>
        <v>1</v>
      </c>
      <c r="V412" s="124">
        <f t="shared" si="158"/>
        <v>0</v>
      </c>
      <c r="W412" s="124">
        <f t="shared" si="159"/>
        <v>1</v>
      </c>
      <c r="X412" s="124">
        <f t="shared" si="160"/>
        <v>1</v>
      </c>
      <c r="Y412" s="124">
        <f t="shared" si="161"/>
        <v>0</v>
      </c>
      <c r="Z412" s="124">
        <f t="shared" si="162"/>
        <v>1</v>
      </c>
      <c r="AA412" s="124">
        <f t="shared" si="139"/>
        <v>3.2021617575057334E-5</v>
      </c>
      <c r="AB412" s="124">
        <f t="shared" si="163"/>
        <v>0</v>
      </c>
      <c r="AC412" s="124">
        <f t="shared" si="164"/>
        <v>0</v>
      </c>
    </row>
    <row r="413" spans="2:29" s="114" customFormat="1">
      <c r="B413" s="115">
        <f t="shared" si="140"/>
        <v>0.2199999999999393</v>
      </c>
      <c r="C413" s="124">
        <f t="shared" si="141"/>
        <v>1.6595869074373286</v>
      </c>
      <c r="D413" s="124">
        <f t="shared" si="142"/>
        <v>70810.343963236242</v>
      </c>
      <c r="E413" s="124">
        <f t="shared" si="143"/>
        <v>1</v>
      </c>
      <c r="F413" s="124">
        <f t="shared" si="144"/>
        <v>1</v>
      </c>
      <c r="G413" s="124">
        <f t="shared" si="145"/>
        <v>71232.750105118597</v>
      </c>
      <c r="H413" s="124">
        <f t="shared" si="146"/>
        <v>1</v>
      </c>
      <c r="I413" s="124">
        <f t="shared" si="147"/>
        <v>1</v>
      </c>
      <c r="J413" s="124">
        <f t="shared" si="148"/>
        <v>6.6719283753119865E-6</v>
      </c>
      <c r="K413" s="124">
        <f t="shared" si="149"/>
        <v>0</v>
      </c>
      <c r="L413" s="124">
        <f t="shared" si="150"/>
        <v>0</v>
      </c>
      <c r="M413" s="120"/>
      <c r="N413" s="132">
        <f t="shared" si="138"/>
        <v>10.427492072797831</v>
      </c>
      <c r="O413" s="124">
        <f t="shared" si="151"/>
        <v>388639.94873409078</v>
      </c>
      <c r="P413" s="124">
        <f t="shared" si="152"/>
        <v>1</v>
      </c>
      <c r="Q413" s="124">
        <f t="shared" si="153"/>
        <v>1</v>
      </c>
      <c r="R413" s="124">
        <f t="shared" si="154"/>
        <v>326122.94795332872</v>
      </c>
      <c r="S413" s="124">
        <f t="shared" si="155"/>
        <v>221146.82684341539</v>
      </c>
      <c r="T413" s="124">
        <f t="shared" si="156"/>
        <v>394033.11561933608</v>
      </c>
      <c r="U413" s="124">
        <f t="shared" si="157"/>
        <v>1</v>
      </c>
      <c r="V413" s="124">
        <f t="shared" si="158"/>
        <v>0</v>
      </c>
      <c r="W413" s="124">
        <f t="shared" si="159"/>
        <v>1</v>
      </c>
      <c r="X413" s="124">
        <f t="shared" si="160"/>
        <v>1</v>
      </c>
      <c r="Y413" s="124">
        <f t="shared" si="161"/>
        <v>0</v>
      </c>
      <c r="Z413" s="124">
        <f t="shared" si="162"/>
        <v>1</v>
      </c>
      <c r="AA413" s="124">
        <f t="shared" si="139"/>
        <v>3.5823606378931719E-5</v>
      </c>
      <c r="AB413" s="124">
        <f t="shared" si="163"/>
        <v>0</v>
      </c>
      <c r="AC413" s="124">
        <f t="shared" si="164"/>
        <v>0</v>
      </c>
    </row>
    <row r="414" spans="2:29" s="114" customFormat="1">
      <c r="B414" s="115">
        <f t="shared" si="140"/>
        <v>0.23999999999993929</v>
      </c>
      <c r="C414" s="124">
        <f t="shared" si="141"/>
        <v>1.7378008287491327</v>
      </c>
      <c r="D414" s="124">
        <f t="shared" si="142"/>
        <v>69269.906480754915</v>
      </c>
      <c r="E414" s="124">
        <f t="shared" si="143"/>
        <v>1</v>
      </c>
      <c r="F414" s="124">
        <f t="shared" si="144"/>
        <v>1</v>
      </c>
      <c r="G414" s="124">
        <f t="shared" si="145"/>
        <v>69365.085737800546</v>
      </c>
      <c r="H414" s="124">
        <f t="shared" si="146"/>
        <v>1</v>
      </c>
      <c r="I414" s="124">
        <f t="shared" si="147"/>
        <v>1</v>
      </c>
      <c r="J414" s="124">
        <f t="shared" si="148"/>
        <v>3.5560482622120055E-7</v>
      </c>
      <c r="K414" s="124">
        <f t="shared" si="149"/>
        <v>0</v>
      </c>
      <c r="L414" s="124">
        <f t="shared" si="150"/>
        <v>0</v>
      </c>
      <c r="M414" s="120"/>
      <c r="N414" s="132">
        <f t="shared" si="138"/>
        <v>10.918924634001058</v>
      </c>
      <c r="O414" s="124">
        <f t="shared" si="151"/>
        <v>395644.55450604</v>
      </c>
      <c r="P414" s="124">
        <f t="shared" si="152"/>
        <v>1</v>
      </c>
      <c r="Q414" s="124">
        <f t="shared" si="153"/>
        <v>1</v>
      </c>
      <c r="R414" s="124">
        <f t="shared" si="154"/>
        <v>333491.40881216939</v>
      </c>
      <c r="S414" s="124">
        <f t="shared" si="155"/>
        <v>223158.61029524176</v>
      </c>
      <c r="T414" s="124">
        <f t="shared" si="156"/>
        <v>401268.34550015163</v>
      </c>
      <c r="U414" s="124">
        <f t="shared" si="157"/>
        <v>1</v>
      </c>
      <c r="V414" s="124">
        <f t="shared" si="158"/>
        <v>0</v>
      </c>
      <c r="W414" s="124">
        <f t="shared" si="159"/>
        <v>1</v>
      </c>
      <c r="X414" s="124">
        <f t="shared" si="160"/>
        <v>1</v>
      </c>
      <c r="Y414" s="124">
        <f t="shared" si="161"/>
        <v>0</v>
      </c>
      <c r="Z414" s="124">
        <f t="shared" si="162"/>
        <v>1</v>
      </c>
      <c r="AA414" s="124">
        <f t="shared" si="139"/>
        <v>3.757332792806481E-5</v>
      </c>
      <c r="AB414" s="124">
        <f t="shared" si="163"/>
        <v>0</v>
      </c>
      <c r="AC414" s="124">
        <f t="shared" si="164"/>
        <v>0</v>
      </c>
    </row>
    <row r="415" spans="2:29" s="114" customFormat="1">
      <c r="B415" s="115">
        <f t="shared" si="140"/>
        <v>0.25999999999993928</v>
      </c>
      <c r="C415" s="124">
        <f t="shared" si="141"/>
        <v>1.8197008586097292</v>
      </c>
      <c r="D415" s="124">
        <f t="shared" si="142"/>
        <v>67763.038366614914</v>
      </c>
      <c r="E415" s="124">
        <f t="shared" si="143"/>
        <v>1</v>
      </c>
      <c r="F415" s="124">
        <f t="shared" si="144"/>
        <v>1</v>
      </c>
      <c r="G415" s="124">
        <f t="shared" si="145"/>
        <v>67541.941982396311</v>
      </c>
      <c r="H415" s="124">
        <f t="shared" si="146"/>
        <v>1</v>
      </c>
      <c r="I415" s="124">
        <f t="shared" si="147"/>
        <v>1</v>
      </c>
      <c r="J415" s="124">
        <f t="shared" si="148"/>
        <v>2.014489937564341E-6</v>
      </c>
      <c r="K415" s="124">
        <f t="shared" si="149"/>
        <v>0</v>
      </c>
      <c r="L415" s="124">
        <f t="shared" si="150"/>
        <v>0</v>
      </c>
      <c r="M415" s="120"/>
      <c r="N415" s="132">
        <f t="shared" si="138"/>
        <v>11.433517698278727</v>
      </c>
      <c r="O415" s="124">
        <f t="shared" si="151"/>
        <v>402740.74044508865</v>
      </c>
      <c r="P415" s="124">
        <f t="shared" si="152"/>
        <v>1</v>
      </c>
      <c r="Q415" s="124">
        <f t="shared" si="153"/>
        <v>1</v>
      </c>
      <c r="R415" s="124">
        <f t="shared" si="154"/>
        <v>340850.92311596574</v>
      </c>
      <c r="S415" s="124">
        <f t="shared" si="155"/>
        <v>225016.77685286955</v>
      </c>
      <c r="T415" s="124">
        <f t="shared" si="156"/>
        <v>408426.1275362536</v>
      </c>
      <c r="U415" s="124">
        <f t="shared" si="157"/>
        <v>1</v>
      </c>
      <c r="V415" s="124">
        <f t="shared" si="158"/>
        <v>0</v>
      </c>
      <c r="W415" s="124">
        <f t="shared" si="159"/>
        <v>1</v>
      </c>
      <c r="X415" s="124">
        <f t="shared" si="160"/>
        <v>1</v>
      </c>
      <c r="Y415" s="124">
        <f t="shared" si="161"/>
        <v>0</v>
      </c>
      <c r="Z415" s="124">
        <f t="shared" si="162"/>
        <v>1</v>
      </c>
      <c r="AA415" s="124">
        <f t="shared" si="139"/>
        <v>3.7063165438650532E-5</v>
      </c>
      <c r="AB415" s="124">
        <f t="shared" si="163"/>
        <v>0</v>
      </c>
      <c r="AC415" s="124">
        <f t="shared" si="164"/>
        <v>0</v>
      </c>
    </row>
    <row r="416" spans="2:29" s="114" customFormat="1">
      <c r="B416" s="115">
        <f t="shared" si="140"/>
        <v>0.2799999999999393</v>
      </c>
      <c r="C416" s="124">
        <f t="shared" si="141"/>
        <v>1.905460717962981</v>
      </c>
      <c r="D416" s="124">
        <f t="shared" si="142"/>
        <v>66289.096405788063</v>
      </c>
      <c r="E416" s="124">
        <f t="shared" si="143"/>
        <v>1</v>
      </c>
      <c r="F416" s="124">
        <f t="shared" si="144"/>
        <v>1</v>
      </c>
      <c r="G416" s="124">
        <f t="shared" si="145"/>
        <v>65766.926554206657</v>
      </c>
      <c r="H416" s="124">
        <f t="shared" si="146"/>
        <v>1</v>
      </c>
      <c r="I416" s="124">
        <f t="shared" si="147"/>
        <v>1</v>
      </c>
      <c r="J416" s="124">
        <f t="shared" si="148"/>
        <v>1.17961503731868E-5</v>
      </c>
      <c r="K416" s="124">
        <f t="shared" si="149"/>
        <v>0</v>
      </c>
      <c r="L416" s="124">
        <f t="shared" si="150"/>
        <v>0</v>
      </c>
      <c r="M416" s="120"/>
      <c r="N416" s="132">
        <f t="shared" si="138"/>
        <v>11.972362786512868</v>
      </c>
      <c r="O416" s="124">
        <f t="shared" si="151"/>
        <v>409928.72641248896</v>
      </c>
      <c r="P416" s="124">
        <f t="shared" si="152"/>
        <v>1</v>
      </c>
      <c r="Q416" s="124">
        <f t="shared" si="153"/>
        <v>1</v>
      </c>
      <c r="R416" s="124">
        <f t="shared" si="154"/>
        <v>348179.82277702243</v>
      </c>
      <c r="S416" s="124">
        <f t="shared" si="155"/>
        <v>226733.07046501135</v>
      </c>
      <c r="T416" s="124">
        <f t="shared" si="156"/>
        <v>415496.17835971795</v>
      </c>
      <c r="U416" s="124">
        <f t="shared" si="157"/>
        <v>1</v>
      </c>
      <c r="V416" s="124">
        <f t="shared" si="158"/>
        <v>0</v>
      </c>
      <c r="W416" s="124">
        <f t="shared" si="159"/>
        <v>1</v>
      </c>
      <c r="X416" s="124">
        <f t="shared" si="160"/>
        <v>1</v>
      </c>
      <c r="Y416" s="124">
        <f t="shared" si="161"/>
        <v>0</v>
      </c>
      <c r="Z416" s="124">
        <f t="shared" si="162"/>
        <v>1</v>
      </c>
      <c r="AA416" s="124">
        <f t="shared" si="139"/>
        <v>3.4324135219643065E-5</v>
      </c>
      <c r="AB416" s="124">
        <f t="shared" si="163"/>
        <v>0</v>
      </c>
      <c r="AC416" s="124">
        <f t="shared" si="164"/>
        <v>0</v>
      </c>
    </row>
    <row r="417" spans="2:29" s="114" customFormat="1">
      <c r="B417" s="115">
        <f t="shared" si="140"/>
        <v>0.29999999999993932</v>
      </c>
      <c r="C417" s="124">
        <f t="shared" si="141"/>
        <v>1.9952623149686011</v>
      </c>
      <c r="D417" s="124">
        <f t="shared" si="142"/>
        <v>64847.445577877887</v>
      </c>
      <c r="E417" s="124">
        <f t="shared" si="143"/>
        <v>1</v>
      </c>
      <c r="F417" s="124">
        <f t="shared" si="144"/>
        <v>1</v>
      </c>
      <c r="G417" s="124">
        <f t="shared" si="145"/>
        <v>64043.333767230222</v>
      </c>
      <c r="H417" s="124">
        <f t="shared" si="146"/>
        <v>1</v>
      </c>
      <c r="I417" s="124">
        <f t="shared" si="147"/>
        <v>1</v>
      </c>
      <c r="J417" s="124">
        <f t="shared" si="148"/>
        <v>2.9364936475102101E-5</v>
      </c>
      <c r="K417" s="124">
        <f t="shared" si="149"/>
        <v>0</v>
      </c>
      <c r="L417" s="124">
        <f t="shared" si="150"/>
        <v>0</v>
      </c>
      <c r="M417" s="120"/>
      <c r="N417" s="132">
        <f t="shared" si="138"/>
        <v>12.536602861379842</v>
      </c>
      <c r="O417" s="124">
        <f t="shared" si="151"/>
        <v>417208.70842553844</v>
      </c>
      <c r="P417" s="124">
        <f t="shared" si="152"/>
        <v>1</v>
      </c>
      <c r="Q417" s="124">
        <f t="shared" si="153"/>
        <v>1</v>
      </c>
      <c r="R417" s="124">
        <f t="shared" si="154"/>
        <v>355458.13456659083</v>
      </c>
      <c r="S417" s="124">
        <f t="shared" si="155"/>
        <v>228322.23907446855</v>
      </c>
      <c r="T417" s="124">
        <f t="shared" si="156"/>
        <v>422470.74488719262</v>
      </c>
      <c r="U417" s="124">
        <f t="shared" si="157"/>
        <v>1</v>
      </c>
      <c r="V417" s="124">
        <f t="shared" si="158"/>
        <v>0</v>
      </c>
      <c r="W417" s="124">
        <f t="shared" si="159"/>
        <v>1</v>
      </c>
      <c r="X417" s="124">
        <f t="shared" si="160"/>
        <v>1</v>
      </c>
      <c r="Y417" s="124">
        <f t="shared" si="161"/>
        <v>0</v>
      </c>
      <c r="Z417" s="124">
        <f t="shared" si="162"/>
        <v>1</v>
      </c>
      <c r="AA417" s="124">
        <f t="shared" si="139"/>
        <v>2.9629248613057475E-5</v>
      </c>
      <c r="AB417" s="124">
        <f t="shared" si="163"/>
        <v>0</v>
      </c>
      <c r="AC417" s="124">
        <f t="shared" si="164"/>
        <v>0</v>
      </c>
    </row>
    <row r="418" spans="2:29" s="114" customFormat="1">
      <c r="B418" s="115">
        <f t="shared" si="140"/>
        <v>0.31999999999993933</v>
      </c>
      <c r="C418" s="124">
        <f t="shared" si="141"/>
        <v>2.0892961308537479</v>
      </c>
      <c r="D418" s="124">
        <f t="shared" si="142"/>
        <v>63437.459115185462</v>
      </c>
      <c r="E418" s="124">
        <f t="shared" si="143"/>
        <v>1</v>
      </c>
      <c r="F418" s="124">
        <f t="shared" si="144"/>
        <v>1</v>
      </c>
      <c r="G418" s="124">
        <f t="shared" si="145"/>
        <v>62374.096317142059</v>
      </c>
      <c r="H418" s="124">
        <f t="shared" si="146"/>
        <v>1</v>
      </c>
      <c r="I418" s="124">
        <f t="shared" si="147"/>
        <v>1</v>
      </c>
      <c r="J418" s="124">
        <f t="shared" si="148"/>
        <v>5.3897814960499274E-5</v>
      </c>
      <c r="K418" s="124">
        <f t="shared" si="149"/>
        <v>0</v>
      </c>
      <c r="L418" s="124">
        <f t="shared" si="150"/>
        <v>0</v>
      </c>
      <c r="M418" s="120"/>
      <c r="N418" s="132">
        <f t="shared" si="138"/>
        <v>13.127434751727426</v>
      </c>
      <c r="O418" s="124">
        <f t="shared" si="151"/>
        <v>424580.85833095928</v>
      </c>
      <c r="P418" s="124">
        <f t="shared" si="152"/>
        <v>1</v>
      </c>
      <c r="Q418" s="124">
        <f t="shared" si="153"/>
        <v>1</v>
      </c>
      <c r="R418" s="124">
        <f t="shared" si="154"/>
        <v>362668.00186419906</v>
      </c>
      <c r="S418" s="124">
        <f t="shared" si="155"/>
        <v>229801.75199468125</v>
      </c>
      <c r="T418" s="124">
        <f t="shared" si="156"/>
        <v>429344.76216205978</v>
      </c>
      <c r="U418" s="124">
        <f t="shared" si="157"/>
        <v>1</v>
      </c>
      <c r="V418" s="124">
        <f t="shared" si="158"/>
        <v>0</v>
      </c>
      <c r="W418" s="124">
        <f t="shared" si="159"/>
        <v>1</v>
      </c>
      <c r="X418" s="124">
        <f t="shared" si="160"/>
        <v>1</v>
      </c>
      <c r="Y418" s="124">
        <f t="shared" si="161"/>
        <v>0</v>
      </c>
      <c r="Z418" s="124">
        <f t="shared" si="162"/>
        <v>1</v>
      </c>
      <c r="AA418" s="124">
        <f t="shared" si="139"/>
        <v>2.3481374162212119E-5</v>
      </c>
      <c r="AB418" s="124">
        <f t="shared" si="163"/>
        <v>0</v>
      </c>
      <c r="AC418" s="124">
        <f t="shared" si="164"/>
        <v>0</v>
      </c>
    </row>
    <row r="419" spans="2:29" s="114" customFormat="1">
      <c r="B419" s="115">
        <f t="shared" si="140"/>
        <v>0.33999999999993935</v>
      </c>
      <c r="C419" s="124">
        <f t="shared" si="141"/>
        <v>2.187761623949247</v>
      </c>
      <c r="D419" s="124">
        <f t="shared" si="142"/>
        <v>62058.51855337507</v>
      </c>
      <c r="E419" s="124">
        <f t="shared" si="143"/>
        <v>1</v>
      </c>
      <c r="F419" s="124">
        <f t="shared" si="144"/>
        <v>1</v>
      </c>
      <c r="G419" s="124">
        <f t="shared" si="145"/>
        <v>60761.740039061595</v>
      </c>
      <c r="H419" s="124">
        <f t="shared" si="146"/>
        <v>1</v>
      </c>
      <c r="I419" s="124">
        <f t="shared" si="147"/>
        <v>1</v>
      </c>
      <c r="J419" s="124">
        <f t="shared" si="148"/>
        <v>8.4110940582691844E-5</v>
      </c>
      <c r="K419" s="124">
        <f t="shared" si="149"/>
        <v>0</v>
      </c>
      <c r="L419" s="124">
        <f t="shared" si="150"/>
        <v>0</v>
      </c>
      <c r="M419" s="120"/>
      <c r="N419" s="132">
        <f t="shared" si="138"/>
        <v>13.74611169120926</v>
      </c>
      <c r="O419" s="124">
        <f t="shared" si="151"/>
        <v>432045.32349249197</v>
      </c>
      <c r="P419" s="124">
        <f t="shared" si="152"/>
        <v>1</v>
      </c>
      <c r="Q419" s="124">
        <f t="shared" si="153"/>
        <v>1</v>
      </c>
      <c r="R419" s="124">
        <f t="shared" si="154"/>
        <v>369794.04965644795</v>
      </c>
      <c r="S419" s="124">
        <f t="shared" si="155"/>
        <v>231191.45670542278</v>
      </c>
      <c r="T419" s="124">
        <f t="shared" si="156"/>
        <v>436115.95799155399</v>
      </c>
      <c r="U419" s="124">
        <f t="shared" si="157"/>
        <v>1</v>
      </c>
      <c r="V419" s="124">
        <f t="shared" si="158"/>
        <v>0</v>
      </c>
      <c r="W419" s="124">
        <f t="shared" si="159"/>
        <v>1</v>
      </c>
      <c r="X419" s="124">
        <f t="shared" si="160"/>
        <v>1</v>
      </c>
      <c r="Y419" s="124">
        <f t="shared" si="161"/>
        <v>0</v>
      </c>
      <c r="Z419" s="124">
        <f t="shared" si="162"/>
        <v>1</v>
      </c>
      <c r="AA419" s="124">
        <f t="shared" si="139"/>
        <v>1.6586638173513824E-5</v>
      </c>
      <c r="AB419" s="124">
        <f t="shared" si="163"/>
        <v>0</v>
      </c>
      <c r="AC419" s="124">
        <f t="shared" si="164"/>
        <v>0</v>
      </c>
    </row>
    <row r="420" spans="2:29" s="114" customFormat="1">
      <c r="B420" s="115">
        <f t="shared" si="140"/>
        <v>0.35999999999993937</v>
      </c>
      <c r="C420" s="124">
        <f t="shared" si="141"/>
        <v>2.2908676527674534</v>
      </c>
      <c r="D420" s="124">
        <f t="shared" si="142"/>
        <v>60710.013774926294</v>
      </c>
      <c r="E420" s="124">
        <f t="shared" si="143"/>
        <v>1</v>
      </c>
      <c r="F420" s="124">
        <f t="shared" si="144"/>
        <v>1</v>
      </c>
      <c r="G420" s="124">
        <f t="shared" si="145"/>
        <v>59208.342693195918</v>
      </c>
      <c r="H420" s="124">
        <f t="shared" si="146"/>
        <v>1</v>
      </c>
      <c r="I420" s="124">
        <f t="shared" si="147"/>
        <v>1</v>
      </c>
      <c r="J420" s="124">
        <f t="shared" si="148"/>
        <v>1.1831840818651284E-4</v>
      </c>
      <c r="K420" s="124">
        <f t="shared" si="149"/>
        <v>0</v>
      </c>
      <c r="L420" s="124">
        <f t="shared" si="150"/>
        <v>0</v>
      </c>
      <c r="M420" s="120"/>
      <c r="N420" s="132">
        <f t="shared" si="138"/>
        <v>14.393945976561449</v>
      </c>
      <c r="O420" s="124">
        <f t="shared" si="151"/>
        <v>439602.22649308818</v>
      </c>
      <c r="P420" s="124">
        <f t="shared" si="152"/>
        <v>1</v>
      </c>
      <c r="Q420" s="124">
        <f t="shared" si="153"/>
        <v>1</v>
      </c>
      <c r="R420" s="124">
        <f t="shared" si="154"/>
        <v>376823.68420396745</v>
      </c>
      <c r="S420" s="124">
        <f t="shared" si="155"/>
        <v>232513.18837497264</v>
      </c>
      <c r="T420" s="124">
        <f t="shared" si="156"/>
        <v>442784.90460419591</v>
      </c>
      <c r="U420" s="124">
        <f t="shared" si="157"/>
        <v>1</v>
      </c>
      <c r="V420" s="124">
        <f t="shared" si="158"/>
        <v>0</v>
      </c>
      <c r="W420" s="124">
        <f t="shared" si="159"/>
        <v>1</v>
      </c>
      <c r="X420" s="124">
        <f t="shared" si="160"/>
        <v>1</v>
      </c>
      <c r="Y420" s="124">
        <f t="shared" si="161"/>
        <v>0</v>
      </c>
      <c r="Z420" s="124">
        <f t="shared" si="162"/>
        <v>1</v>
      </c>
      <c r="AA420" s="124">
        <f t="shared" si="139"/>
        <v>9.8152074683688211E-6</v>
      </c>
      <c r="AB420" s="124">
        <f t="shared" si="163"/>
        <v>0</v>
      </c>
      <c r="AC420" s="124">
        <f t="shared" si="164"/>
        <v>0</v>
      </c>
    </row>
    <row r="421" spans="2:29" s="114" customFormat="1">
      <c r="B421" s="115">
        <f t="shared" si="140"/>
        <v>0.37999999999993939</v>
      </c>
      <c r="C421" s="124">
        <f t="shared" si="141"/>
        <v>2.398832919019156</v>
      </c>
      <c r="D421" s="124">
        <f t="shared" si="142"/>
        <v>59391.34304556805</v>
      </c>
      <c r="E421" s="124">
        <f t="shared" si="143"/>
        <v>1</v>
      </c>
      <c r="F421" s="124">
        <f t="shared" si="144"/>
        <v>1</v>
      </c>
      <c r="G421" s="124">
        <f t="shared" si="145"/>
        <v>57715.497906514785</v>
      </c>
      <c r="H421" s="124">
        <f t="shared" si="146"/>
        <v>1</v>
      </c>
      <c r="I421" s="124">
        <f t="shared" si="147"/>
        <v>1</v>
      </c>
      <c r="J421" s="124">
        <f t="shared" si="148"/>
        <v>1.5452229431052141E-4</v>
      </c>
      <c r="K421" s="124">
        <f t="shared" si="149"/>
        <v>0</v>
      </c>
      <c r="L421" s="124">
        <f t="shared" si="150"/>
        <v>0</v>
      </c>
      <c r="M421" s="120"/>
      <c r="N421" s="132">
        <f t="shared" si="138"/>
        <v>15.072311751159878</v>
      </c>
      <c r="O421" s="124">
        <f t="shared" si="151"/>
        <v>447251.66485209129</v>
      </c>
      <c r="P421" s="124">
        <f t="shared" si="152"/>
        <v>1</v>
      </c>
      <c r="Q421" s="124">
        <f t="shared" si="153"/>
        <v>1</v>
      </c>
      <c r="R421" s="124">
        <f t="shared" si="154"/>
        <v>383747.32222417725</v>
      </c>
      <c r="S421" s="124">
        <f t="shared" si="155"/>
        <v>233790.34642624744</v>
      </c>
      <c r="T421" s="124">
        <f t="shared" si="156"/>
        <v>449355.01932918403</v>
      </c>
      <c r="U421" s="124">
        <f t="shared" si="157"/>
        <v>1</v>
      </c>
      <c r="V421" s="124">
        <f t="shared" si="158"/>
        <v>0</v>
      </c>
      <c r="W421" s="124">
        <f t="shared" si="159"/>
        <v>1</v>
      </c>
      <c r="X421" s="124">
        <f t="shared" si="160"/>
        <v>1</v>
      </c>
      <c r="Y421" s="124">
        <f t="shared" si="161"/>
        <v>0</v>
      </c>
      <c r="Z421" s="124">
        <f t="shared" si="162"/>
        <v>1</v>
      </c>
      <c r="AA421" s="124">
        <f t="shared" si="139"/>
        <v>4.1519412861574169E-6</v>
      </c>
      <c r="AB421" s="124">
        <f t="shared" si="163"/>
        <v>0</v>
      </c>
      <c r="AC421" s="124">
        <f t="shared" si="164"/>
        <v>0</v>
      </c>
    </row>
    <row r="422" spans="2:29" s="114" customFormat="1">
      <c r="B422" s="115">
        <f t="shared" si="140"/>
        <v>0.3999999999999394</v>
      </c>
      <c r="C422" s="124">
        <f t="shared" si="141"/>
        <v>2.5118864315092297</v>
      </c>
      <c r="D422" s="124">
        <f t="shared" si="142"/>
        <v>58101.913043887143</v>
      </c>
      <c r="E422" s="124">
        <f t="shared" si="143"/>
        <v>1</v>
      </c>
      <c r="F422" s="124">
        <f t="shared" si="144"/>
        <v>1</v>
      </c>
      <c r="G422" s="124">
        <f t="shared" si="145"/>
        <v>56284.285420472523</v>
      </c>
      <c r="H422" s="124">
        <f t="shared" si="146"/>
        <v>1</v>
      </c>
      <c r="I422" s="124">
        <f t="shared" si="147"/>
        <v>1</v>
      </c>
      <c r="J422" s="124">
        <f t="shared" si="148"/>
        <v>1.9053041057656882E-4</v>
      </c>
      <c r="K422" s="124">
        <f t="shared" si="149"/>
        <v>0</v>
      </c>
      <c r="L422" s="124">
        <f t="shared" si="150"/>
        <v>0</v>
      </c>
      <c r="M422" s="120"/>
      <c r="N422" s="132">
        <f t="shared" si="138"/>
        <v>15.782647919762555</v>
      </c>
      <c r="O422" s="124">
        <f t="shared" si="151"/>
        <v>454993.71075776377</v>
      </c>
      <c r="P422" s="124">
        <f t="shared" si="152"/>
        <v>1</v>
      </c>
      <c r="Q422" s="124">
        <f t="shared" si="153"/>
        <v>1</v>
      </c>
      <c r="R422" s="124">
        <f t="shared" si="154"/>
        <v>390558.54786078143</v>
      </c>
      <c r="S422" s="124">
        <f t="shared" si="155"/>
        <v>235047.45255284788</v>
      </c>
      <c r="T422" s="124">
        <f t="shared" si="156"/>
        <v>455832.51777237828</v>
      </c>
      <c r="U422" s="124">
        <f t="shared" si="157"/>
        <v>1</v>
      </c>
      <c r="V422" s="124">
        <f t="shared" si="158"/>
        <v>0</v>
      </c>
      <c r="W422" s="124">
        <f t="shared" si="159"/>
        <v>1</v>
      </c>
      <c r="X422" s="124">
        <f t="shared" si="160"/>
        <v>1</v>
      </c>
      <c r="Y422" s="124">
        <f t="shared" si="161"/>
        <v>0</v>
      </c>
      <c r="Z422" s="124">
        <f t="shared" si="162"/>
        <v>1</v>
      </c>
      <c r="AA422" s="124">
        <f t="shared" si="139"/>
        <v>6.3985550429176903E-7</v>
      </c>
      <c r="AB422" s="124">
        <f t="shared" si="163"/>
        <v>0</v>
      </c>
      <c r="AC422" s="124">
        <f t="shared" si="164"/>
        <v>0</v>
      </c>
    </row>
    <row r="423" spans="2:29" s="114" customFormat="1">
      <c r="B423" s="115">
        <f t="shared" si="140"/>
        <v>0.41999999999993942</v>
      </c>
      <c r="C423" s="124">
        <f t="shared" si="141"/>
        <v>2.6302679918950154</v>
      </c>
      <c r="D423" s="124">
        <f t="shared" si="142"/>
        <v>56841.138884308435</v>
      </c>
      <c r="E423" s="124">
        <f t="shared" si="143"/>
        <v>1</v>
      </c>
      <c r="F423" s="124">
        <f t="shared" si="144"/>
        <v>1</v>
      </c>
      <c r="G423" s="124">
        <f t="shared" si="145"/>
        <v>54915.248762651667</v>
      </c>
      <c r="H423" s="124">
        <f t="shared" si="146"/>
        <v>1</v>
      </c>
      <c r="I423" s="124">
        <f t="shared" si="147"/>
        <v>1</v>
      </c>
      <c r="J423" s="124">
        <f t="shared" si="148"/>
        <v>2.2409538253444629E-4</v>
      </c>
      <c r="K423" s="124">
        <f t="shared" si="149"/>
        <v>0</v>
      </c>
      <c r="L423" s="124">
        <f t="shared" si="150"/>
        <v>0</v>
      </c>
      <c r="M423" s="120"/>
      <c r="N423" s="132">
        <f t="shared" si="138"/>
        <v>16.526461200619515</v>
      </c>
      <c r="O423" s="124">
        <f t="shared" si="151"/>
        <v>462828.41081550071</v>
      </c>
      <c r="P423" s="124">
        <f t="shared" si="152"/>
        <v>1</v>
      </c>
      <c r="Q423" s="124">
        <f t="shared" si="153"/>
        <v>1</v>
      </c>
      <c r="R423" s="124">
        <f t="shared" si="154"/>
        <v>397254.19888029859</v>
      </c>
      <c r="S423" s="124">
        <f t="shared" si="155"/>
        <v>236309.7038365427</v>
      </c>
      <c r="T423" s="124">
        <f t="shared" si="156"/>
        <v>462226.32406143029</v>
      </c>
      <c r="U423" s="124">
        <f t="shared" si="157"/>
        <v>1</v>
      </c>
      <c r="V423" s="124">
        <f t="shared" si="158"/>
        <v>0</v>
      </c>
      <c r="W423" s="124">
        <f t="shared" si="159"/>
        <v>1</v>
      </c>
      <c r="X423" s="124">
        <f t="shared" si="160"/>
        <v>1</v>
      </c>
      <c r="Y423" s="124">
        <f t="shared" si="161"/>
        <v>0</v>
      </c>
      <c r="Z423" s="124">
        <f t="shared" si="162"/>
        <v>1</v>
      </c>
      <c r="AA423" s="124">
        <f t="shared" si="139"/>
        <v>3.1960386407773726E-7</v>
      </c>
      <c r="AB423" s="124">
        <f t="shared" si="163"/>
        <v>0</v>
      </c>
      <c r="AC423" s="124">
        <f t="shared" si="164"/>
        <v>0</v>
      </c>
    </row>
    <row r="424" spans="2:29" s="114" customFormat="1">
      <c r="B424" s="115">
        <f t="shared" si="140"/>
        <v>0.43999999999993944</v>
      </c>
      <c r="C424" s="124">
        <f t="shared" si="141"/>
        <v>2.7542287033377826</v>
      </c>
      <c r="D424" s="124">
        <f t="shared" si="142"/>
        <v>55608.444133644669</v>
      </c>
      <c r="E424" s="124">
        <f t="shared" si="143"/>
        <v>1</v>
      </c>
      <c r="F424" s="124">
        <f t="shared" si="144"/>
        <v>1</v>
      </c>
      <c r="G424" s="124">
        <f t="shared" si="145"/>
        <v>53608.381373595701</v>
      </c>
      <c r="H424" s="124">
        <f t="shared" si="146"/>
        <v>1</v>
      </c>
      <c r="I424" s="124">
        <f t="shared" si="147"/>
        <v>1</v>
      </c>
      <c r="J424" s="124">
        <f t="shared" si="148"/>
        <v>2.5306604210291006E-4</v>
      </c>
      <c r="K424" s="124">
        <f t="shared" si="149"/>
        <v>0</v>
      </c>
      <c r="L424" s="124">
        <f t="shared" si="150"/>
        <v>0</v>
      </c>
      <c r="M424" s="120"/>
      <c r="N424" s="132">
        <f t="shared" si="138"/>
        <v>17.305329321424239</v>
      </c>
      <c r="O424" s="124">
        <f t="shared" si="151"/>
        <v>470755.78581205755</v>
      </c>
      <c r="P424" s="124">
        <f t="shared" si="152"/>
        <v>1</v>
      </c>
      <c r="Q424" s="124">
        <f t="shared" si="153"/>
        <v>1</v>
      </c>
      <c r="R424" s="124">
        <f t="shared" si="154"/>
        <v>403834.38624995435</v>
      </c>
      <c r="S424" s="124">
        <f t="shared" si="155"/>
        <v>237602.53316298948</v>
      </c>
      <c r="T424" s="124">
        <f t="shared" si="156"/>
        <v>468547.94342025113</v>
      </c>
      <c r="U424" s="124">
        <f t="shared" si="157"/>
        <v>1</v>
      </c>
      <c r="V424" s="124">
        <f t="shared" si="158"/>
        <v>0</v>
      </c>
      <c r="W424" s="124">
        <f t="shared" si="159"/>
        <v>1</v>
      </c>
      <c r="X424" s="124">
        <f t="shared" si="160"/>
        <v>1</v>
      </c>
      <c r="Y424" s="124">
        <f t="shared" si="161"/>
        <v>0</v>
      </c>
      <c r="Z424" s="124">
        <f t="shared" si="162"/>
        <v>1</v>
      </c>
      <c r="AA424" s="124">
        <f t="shared" si="139"/>
        <v>4.168254771216333E-6</v>
      </c>
      <c r="AB424" s="124">
        <f t="shared" si="163"/>
        <v>0</v>
      </c>
      <c r="AC424" s="124">
        <f t="shared" si="164"/>
        <v>0</v>
      </c>
    </row>
    <row r="425" spans="2:29" s="114" customFormat="1">
      <c r="B425" s="115">
        <f t="shared" si="140"/>
        <v>0.45999999999993946</v>
      </c>
      <c r="C425" s="124">
        <f t="shared" si="141"/>
        <v>2.884031503126204</v>
      </c>
      <c r="D425" s="124">
        <f t="shared" si="142"/>
        <v>54403.260821413256</v>
      </c>
      <c r="E425" s="124">
        <f t="shared" si="143"/>
        <v>1</v>
      </c>
      <c r="F425" s="124">
        <f t="shared" si="144"/>
        <v>1</v>
      </c>
      <c r="G425" s="124">
        <f t="shared" si="145"/>
        <v>52363.122079159803</v>
      </c>
      <c r="H425" s="124">
        <f t="shared" si="146"/>
        <v>1</v>
      </c>
      <c r="I425" s="124">
        <f t="shared" si="147"/>
        <v>1</v>
      </c>
      <c r="J425" s="124">
        <f t="shared" si="148"/>
        <v>2.7554002555076816E-4</v>
      </c>
      <c r="K425" s="124">
        <f t="shared" si="149"/>
        <v>0</v>
      </c>
      <c r="L425" s="124">
        <f t="shared" si="150"/>
        <v>0</v>
      </c>
      <c r="M425" s="120"/>
      <c r="N425" s="132">
        <f t="shared" si="138"/>
        <v>18.120904365885622</v>
      </c>
      <c r="O425" s="124">
        <f t="shared" si="151"/>
        <v>478775.83049610467</v>
      </c>
      <c r="P425" s="124">
        <f t="shared" si="152"/>
        <v>1</v>
      </c>
      <c r="Q425" s="124">
        <f t="shared" si="153"/>
        <v>1</v>
      </c>
      <c r="R425" s="124">
        <f t="shared" si="154"/>
        <v>410302.45336954651</v>
      </c>
      <c r="S425" s="124">
        <f t="shared" si="155"/>
        <v>238951.18716222423</v>
      </c>
      <c r="T425" s="124">
        <f t="shared" si="156"/>
        <v>474811.30261115852</v>
      </c>
      <c r="U425" s="124">
        <f t="shared" si="157"/>
        <v>1</v>
      </c>
      <c r="V425" s="124">
        <f t="shared" si="158"/>
        <v>0</v>
      </c>
      <c r="W425" s="124">
        <f t="shared" si="159"/>
        <v>1</v>
      </c>
      <c r="X425" s="124">
        <f t="shared" si="160"/>
        <v>1</v>
      </c>
      <c r="Y425" s="124">
        <f t="shared" si="161"/>
        <v>0</v>
      </c>
      <c r="Z425" s="124">
        <f t="shared" si="162"/>
        <v>1</v>
      </c>
      <c r="AA425" s="124">
        <f t="shared" si="139"/>
        <v>1.3040546955271626E-5</v>
      </c>
      <c r="AB425" s="124">
        <f t="shared" si="163"/>
        <v>0</v>
      </c>
      <c r="AC425" s="124">
        <f t="shared" si="164"/>
        <v>0</v>
      </c>
    </row>
    <row r="426" spans="2:29" s="114" customFormat="1">
      <c r="B426" s="115">
        <f t="shared" si="140"/>
        <v>0.47999999999993948</v>
      </c>
      <c r="C426" s="124">
        <f t="shared" si="141"/>
        <v>3.0199517204015951</v>
      </c>
      <c r="D426" s="124">
        <f t="shared" si="142"/>
        <v>53225.029444121094</v>
      </c>
      <c r="E426" s="124">
        <f t="shared" si="143"/>
        <v>1</v>
      </c>
      <c r="F426" s="124">
        <f t="shared" si="144"/>
        <v>1</v>
      </c>
      <c r="G426" s="124">
        <f t="shared" si="145"/>
        <v>51178.360604706555</v>
      </c>
      <c r="H426" s="124">
        <f t="shared" si="146"/>
        <v>1</v>
      </c>
      <c r="I426" s="124">
        <f t="shared" si="147"/>
        <v>1</v>
      </c>
      <c r="J426" s="124">
        <f t="shared" si="148"/>
        <v>2.9000524398644625E-4</v>
      </c>
      <c r="K426" s="124">
        <f t="shared" si="149"/>
        <v>0</v>
      </c>
      <c r="L426" s="124">
        <f t="shared" si="150"/>
        <v>0</v>
      </c>
      <c r="M426" s="120"/>
      <c r="N426" s="132">
        <f t="shared" si="138"/>
        <v>18.974916278019016</v>
      </c>
      <c r="O426" s="124">
        <f t="shared" si="151"/>
        <v>486888.5133753983</v>
      </c>
      <c r="P426" s="124">
        <f t="shared" si="152"/>
        <v>1</v>
      </c>
      <c r="Q426" s="124">
        <f t="shared" si="153"/>
        <v>1</v>
      </c>
      <c r="R426" s="124">
        <f t="shared" si="154"/>
        <v>416664.88267816126</v>
      </c>
      <c r="S426" s="124">
        <f t="shared" si="155"/>
        <v>240380.32961821242</v>
      </c>
      <c r="T426" s="124">
        <f t="shared" si="156"/>
        <v>481032.5636841713</v>
      </c>
      <c r="U426" s="124">
        <f t="shared" si="157"/>
        <v>1</v>
      </c>
      <c r="V426" s="124">
        <f t="shared" si="158"/>
        <v>0</v>
      </c>
      <c r="W426" s="124">
        <f t="shared" si="159"/>
        <v>1</v>
      </c>
      <c r="X426" s="124">
        <f t="shared" si="160"/>
        <v>1</v>
      </c>
      <c r="Y426" s="124">
        <f t="shared" si="161"/>
        <v>0</v>
      </c>
      <c r="Z426" s="124">
        <f t="shared" si="162"/>
        <v>1</v>
      </c>
      <c r="AA426" s="124">
        <f t="shared" si="139"/>
        <v>2.7615568731882013E-5</v>
      </c>
      <c r="AB426" s="124">
        <f t="shared" si="163"/>
        <v>0</v>
      </c>
      <c r="AC426" s="124">
        <f t="shared" si="164"/>
        <v>0</v>
      </c>
    </row>
    <row r="427" spans="2:29" s="114" customFormat="1">
      <c r="B427" s="115">
        <f t="shared" si="140"/>
        <v>0.49999999999993949</v>
      </c>
      <c r="C427" s="124">
        <f t="shared" si="141"/>
        <v>3.1622776601679394</v>
      </c>
      <c r="D427" s="124">
        <f t="shared" si="142"/>
        <v>52073.198963714531</v>
      </c>
      <c r="E427" s="124">
        <f t="shared" si="143"/>
        <v>1</v>
      </c>
      <c r="F427" s="124">
        <f t="shared" si="144"/>
        <v>1</v>
      </c>
      <c r="G427" s="124">
        <f t="shared" si="145"/>
        <v>50052.453583442853</v>
      </c>
      <c r="H427" s="124">
        <f t="shared" si="146"/>
        <v>1</v>
      </c>
      <c r="I427" s="124">
        <f t="shared" si="147"/>
        <v>1</v>
      </c>
      <c r="J427" s="124">
        <f t="shared" si="148"/>
        <v>2.9545782049328508E-4</v>
      </c>
      <c r="K427" s="124">
        <f t="shared" si="149"/>
        <v>0</v>
      </c>
      <c r="L427" s="124">
        <f t="shared" si="150"/>
        <v>0</v>
      </c>
      <c r="M427" s="120"/>
      <c r="N427" s="132">
        <f t="shared" si="138"/>
        <v>19.869176531589439</v>
      </c>
      <c r="O427" s="124">
        <f t="shared" si="151"/>
        <v>495093.77653081861</v>
      </c>
      <c r="P427" s="124">
        <f t="shared" si="152"/>
        <v>1</v>
      </c>
      <c r="Q427" s="124">
        <f t="shared" si="153"/>
        <v>1</v>
      </c>
      <c r="R427" s="124">
        <f t="shared" si="154"/>
        <v>422931.15812382393</v>
      </c>
      <c r="S427" s="124">
        <f t="shared" si="155"/>
        <v>241913.67589816259</v>
      </c>
      <c r="T427" s="124">
        <f t="shared" si="156"/>
        <v>487229.91605454625</v>
      </c>
      <c r="U427" s="124">
        <f t="shared" si="157"/>
        <v>1</v>
      </c>
      <c r="V427" s="124">
        <f t="shared" si="158"/>
        <v>0</v>
      </c>
      <c r="W427" s="124">
        <f t="shared" si="159"/>
        <v>1</v>
      </c>
      <c r="X427" s="124">
        <f t="shared" si="160"/>
        <v>1</v>
      </c>
      <c r="Y427" s="124">
        <f t="shared" si="161"/>
        <v>0</v>
      </c>
      <c r="Z427" s="124">
        <f t="shared" si="162"/>
        <v>1</v>
      </c>
      <c r="AA427" s="124">
        <f t="shared" si="139"/>
        <v>4.8351453095397307E-5</v>
      </c>
      <c r="AB427" s="124">
        <f t="shared" si="163"/>
        <v>0</v>
      </c>
      <c r="AC427" s="124">
        <f t="shared" si="164"/>
        <v>0</v>
      </c>
    </row>
    <row r="428" spans="2:29" s="114" customFormat="1">
      <c r="B428" s="115">
        <f t="shared" si="140"/>
        <v>0.51999999999993951</v>
      </c>
      <c r="C428" s="124">
        <f t="shared" si="141"/>
        <v>3.3113112148254502</v>
      </c>
      <c r="D428" s="124">
        <f t="shared" si="142"/>
        <v>50947.226800395976</v>
      </c>
      <c r="E428" s="124">
        <f t="shared" si="143"/>
        <v>1</v>
      </c>
      <c r="F428" s="124">
        <f t="shared" si="144"/>
        <v>1</v>
      </c>
      <c r="G428" s="124">
        <f t="shared" si="145"/>
        <v>48983.251222516832</v>
      </c>
      <c r="H428" s="124">
        <f t="shared" si="146"/>
        <v>1</v>
      </c>
      <c r="I428" s="124">
        <f t="shared" si="147"/>
        <v>1</v>
      </c>
      <c r="J428" s="124">
        <f t="shared" si="148"/>
        <v>2.9148532962697645E-4</v>
      </c>
      <c r="K428" s="124">
        <f t="shared" si="149"/>
        <v>0</v>
      </c>
      <c r="L428" s="124">
        <f t="shared" si="150"/>
        <v>0</v>
      </c>
      <c r="M428" s="120"/>
      <c r="N428" s="132">
        <f t="shared" si="138"/>
        <v>20.805581972490256</v>
      </c>
      <c r="O428" s="124">
        <f t="shared" si="151"/>
        <v>503391.53544755827</v>
      </c>
      <c r="P428" s="124">
        <f t="shared" si="152"/>
        <v>1</v>
      </c>
      <c r="Q428" s="124">
        <f t="shared" si="153"/>
        <v>1</v>
      </c>
      <c r="R428" s="124">
        <f t="shared" si="154"/>
        <v>429113.59211311821</v>
      </c>
      <c r="S428" s="124">
        <f t="shared" si="155"/>
        <v>243573.66162752148</v>
      </c>
      <c r="T428" s="124">
        <f t="shared" si="156"/>
        <v>493423.35126629542</v>
      </c>
      <c r="U428" s="124">
        <f t="shared" si="157"/>
        <v>1</v>
      </c>
      <c r="V428" s="124">
        <f t="shared" si="158"/>
        <v>0</v>
      </c>
      <c r="W428" s="124">
        <f t="shared" si="159"/>
        <v>1</v>
      </c>
      <c r="X428" s="124">
        <f t="shared" si="160"/>
        <v>1</v>
      </c>
      <c r="Y428" s="124">
        <f t="shared" si="161"/>
        <v>0</v>
      </c>
      <c r="Z428" s="124">
        <f t="shared" si="162"/>
        <v>1</v>
      </c>
      <c r="AA428" s="124">
        <f t="shared" si="139"/>
        <v>7.5450243462946829E-5</v>
      </c>
      <c r="AB428" s="124">
        <f t="shared" si="163"/>
        <v>0</v>
      </c>
      <c r="AC428" s="124">
        <f t="shared" si="164"/>
        <v>0</v>
      </c>
    </row>
    <row r="429" spans="2:29" s="114" customFormat="1">
      <c r="B429" s="115">
        <f t="shared" si="140"/>
        <v>0.53999999999993953</v>
      </c>
      <c r="C429" s="124">
        <f t="shared" si="141"/>
        <v>3.4673685045248344</v>
      </c>
      <c r="D429" s="124">
        <f t="shared" si="142"/>
        <v>49846.578820004848</v>
      </c>
      <c r="E429" s="124">
        <f t="shared" si="143"/>
        <v>1</v>
      </c>
      <c r="F429" s="124">
        <f t="shared" si="144"/>
        <v>1</v>
      </c>
      <c r="G429" s="124">
        <f t="shared" si="145"/>
        <v>47968.134465346353</v>
      </c>
      <c r="H429" s="124">
        <f t="shared" si="146"/>
        <v>1</v>
      </c>
      <c r="I429" s="124">
        <f t="shared" si="147"/>
        <v>1</v>
      </c>
      <c r="J429" s="124">
        <f t="shared" si="148"/>
        <v>2.7830672788821073E-4</v>
      </c>
      <c r="K429" s="124">
        <f t="shared" si="149"/>
        <v>0</v>
      </c>
      <c r="L429" s="124">
        <f t="shared" si="150"/>
        <v>0</v>
      </c>
      <c r="M429" s="120"/>
      <c r="N429" s="132">
        <f t="shared" si="138"/>
        <v>21.786118842207696</v>
      </c>
      <c r="O429" s="124">
        <f t="shared" si="151"/>
        <v>511781.67886365316</v>
      </c>
      <c r="P429" s="124">
        <f t="shared" si="152"/>
        <v>1</v>
      </c>
      <c r="Q429" s="124">
        <f t="shared" si="153"/>
        <v>1</v>
      </c>
      <c r="R429" s="124">
        <f t="shared" si="154"/>
        <v>435227.12513205514</v>
      </c>
      <c r="S429" s="124">
        <f t="shared" si="155"/>
        <v>245381.14672827467</v>
      </c>
      <c r="T429" s="124">
        <f t="shared" si="156"/>
        <v>499634.42397456628</v>
      </c>
      <c r="U429" s="124">
        <f t="shared" si="157"/>
        <v>1</v>
      </c>
      <c r="V429" s="124">
        <f t="shared" si="158"/>
        <v>0</v>
      </c>
      <c r="W429" s="124">
        <f t="shared" si="159"/>
        <v>1</v>
      </c>
      <c r="X429" s="124">
        <f t="shared" si="160"/>
        <v>1</v>
      </c>
      <c r="Y429" s="124">
        <f t="shared" si="161"/>
        <v>0</v>
      </c>
      <c r="Z429" s="124">
        <f t="shared" si="162"/>
        <v>1</v>
      </c>
      <c r="AA429" s="124">
        <f t="shared" si="139"/>
        <v>1.0883458880430125E-4</v>
      </c>
      <c r="AB429" s="124">
        <f t="shared" si="163"/>
        <v>0</v>
      </c>
      <c r="AC429" s="124">
        <f t="shared" si="164"/>
        <v>0</v>
      </c>
    </row>
    <row r="430" spans="2:29" s="114" customFormat="1">
      <c r="B430" s="115">
        <f t="shared" si="140"/>
        <v>0.55999999999993955</v>
      </c>
      <c r="C430" s="124">
        <f t="shared" si="141"/>
        <v>3.6307805477005086</v>
      </c>
      <c r="D430" s="124">
        <f t="shared" si="142"/>
        <v>48770.729316161291</v>
      </c>
      <c r="E430" s="124">
        <f t="shared" si="143"/>
        <v>1</v>
      </c>
      <c r="F430" s="124">
        <f t="shared" si="144"/>
        <v>1</v>
      </c>
      <c r="G430" s="124">
        <f t="shared" si="145"/>
        <v>47004.062138223097</v>
      </c>
      <c r="H430" s="124">
        <f t="shared" si="146"/>
        <v>1</v>
      </c>
      <c r="I430" s="124">
        <f t="shared" si="147"/>
        <v>1</v>
      </c>
      <c r="J430" s="124">
        <f t="shared" si="148"/>
        <v>2.5676403627449088E-4</v>
      </c>
      <c r="K430" s="124">
        <f t="shared" si="149"/>
        <v>0</v>
      </c>
      <c r="L430" s="124">
        <f t="shared" si="150"/>
        <v>0</v>
      </c>
      <c r="M430" s="120"/>
      <c r="N430" s="132">
        <f t="shared" si="138"/>
        <v>22.812866990905288</v>
      </c>
      <c r="O430" s="124">
        <f t="shared" si="151"/>
        <v>520264.06863609649</v>
      </c>
      <c r="P430" s="124">
        <f t="shared" si="152"/>
        <v>1</v>
      </c>
      <c r="Q430" s="124">
        <f t="shared" si="153"/>
        <v>1</v>
      </c>
      <c r="R430" s="124">
        <f t="shared" si="154"/>
        <v>441289.10535863379</v>
      </c>
      <c r="S430" s="124">
        <f t="shared" si="155"/>
        <v>247355.15415539208</v>
      </c>
      <c r="T430" s="124">
        <f t="shared" si="156"/>
        <v>505886.00177852437</v>
      </c>
      <c r="U430" s="124">
        <f t="shared" si="157"/>
        <v>1</v>
      </c>
      <c r="V430" s="124">
        <f t="shared" si="158"/>
        <v>0</v>
      </c>
      <c r="W430" s="124">
        <f t="shared" si="159"/>
        <v>1</v>
      </c>
      <c r="X430" s="124">
        <f t="shared" si="160"/>
        <v>1</v>
      </c>
      <c r="Y430" s="124">
        <f t="shared" si="161"/>
        <v>0</v>
      </c>
      <c r="Z430" s="124">
        <f t="shared" si="162"/>
        <v>1</v>
      </c>
      <c r="AA430" s="124">
        <f t="shared" si="139"/>
        <v>1.4813739389380682E-4</v>
      </c>
      <c r="AB430" s="124">
        <f t="shared" si="163"/>
        <v>0</v>
      </c>
      <c r="AC430" s="124">
        <f t="shared" si="164"/>
        <v>0</v>
      </c>
    </row>
    <row r="431" spans="2:29" s="114" customFormat="1">
      <c r="B431" s="115">
        <f t="shared" si="140"/>
        <v>0.57999999999993956</v>
      </c>
      <c r="C431" s="124">
        <f t="shared" si="141"/>
        <v>3.8018939632050834</v>
      </c>
      <c r="D431" s="124">
        <f t="shared" si="142"/>
        <v>47719.160987371593</v>
      </c>
      <c r="E431" s="124">
        <f t="shared" si="143"/>
        <v>1</v>
      </c>
      <c r="F431" s="124">
        <f t="shared" si="144"/>
        <v>1</v>
      </c>
      <c r="G431" s="124">
        <f t="shared" si="145"/>
        <v>46087.627207681042</v>
      </c>
      <c r="H431" s="124">
        <f t="shared" si="146"/>
        <v>1</v>
      </c>
      <c r="I431" s="124">
        <f t="shared" si="147"/>
        <v>1</v>
      </c>
      <c r="J431" s="124">
        <f t="shared" si="148"/>
        <v>2.2826525674333109E-4</v>
      </c>
      <c r="K431" s="124">
        <f t="shared" si="149"/>
        <v>0</v>
      </c>
      <c r="L431" s="124">
        <f t="shared" si="150"/>
        <v>0</v>
      </c>
      <c r="M431" s="120"/>
      <c r="N431" s="132">
        <f t="shared" si="138"/>
        <v>23.888004289064948</v>
      </c>
      <c r="O431" s="124">
        <f t="shared" si="151"/>
        <v>528838.53962470242</v>
      </c>
      <c r="P431" s="124">
        <f t="shared" si="152"/>
        <v>1</v>
      </c>
      <c r="Q431" s="124">
        <f t="shared" si="153"/>
        <v>1</v>
      </c>
      <c r="R431" s="124">
        <f t="shared" si="154"/>
        <v>447319.05439346249</v>
      </c>
      <c r="S431" s="124">
        <f t="shared" si="155"/>
        <v>249512.64127851345</v>
      </c>
      <c r="T431" s="124">
        <f t="shared" si="156"/>
        <v>512202.00563961244</v>
      </c>
      <c r="U431" s="124">
        <f t="shared" si="157"/>
        <v>1</v>
      </c>
      <c r="V431" s="124">
        <f t="shared" si="158"/>
        <v>0</v>
      </c>
      <c r="W431" s="124">
        <f t="shared" si="159"/>
        <v>1</v>
      </c>
      <c r="X431" s="124">
        <f t="shared" si="160"/>
        <v>1</v>
      </c>
      <c r="Y431" s="124">
        <f t="shared" si="161"/>
        <v>0</v>
      </c>
      <c r="Z431" s="124">
        <f t="shared" si="162"/>
        <v>1</v>
      </c>
      <c r="AA431" s="124">
        <f t="shared" si="139"/>
        <v>1.9270499741533197E-4</v>
      </c>
      <c r="AB431" s="124">
        <f t="shared" si="163"/>
        <v>0</v>
      </c>
      <c r="AC431" s="124">
        <f t="shared" si="164"/>
        <v>0</v>
      </c>
    </row>
    <row r="432" spans="2:29" s="114" customFormat="1">
      <c r="B432" s="115">
        <f t="shared" si="140"/>
        <v>0.59999999999993958</v>
      </c>
      <c r="C432" s="124">
        <f t="shared" si="141"/>
        <v>3.9810717055344194</v>
      </c>
      <c r="D432" s="124">
        <f t="shared" si="142"/>
        <v>46691.364909289528</v>
      </c>
      <c r="E432" s="124">
        <f t="shared" si="143"/>
        <v>1</v>
      </c>
      <c r="F432" s="124">
        <f t="shared" si="144"/>
        <v>1</v>
      </c>
      <c r="G432" s="124">
        <f t="shared" si="145"/>
        <v>45215.120919194989</v>
      </c>
      <c r="H432" s="124">
        <f t="shared" si="146"/>
        <v>1</v>
      </c>
      <c r="I432" s="124">
        <f t="shared" si="147"/>
        <v>1</v>
      </c>
      <c r="J432" s="124">
        <f t="shared" si="148"/>
        <v>1.9468266635997586E-4</v>
      </c>
      <c r="K432" s="124">
        <f t="shared" si="149"/>
        <v>0</v>
      </c>
      <c r="L432" s="124">
        <f t="shared" si="150"/>
        <v>0</v>
      </c>
      <c r="M432" s="120"/>
      <c r="N432" s="132">
        <f t="shared" si="138"/>
        <v>25.013811247042241</v>
      </c>
      <c r="O432" s="124">
        <f t="shared" si="151"/>
        <v>537504.89959389681</v>
      </c>
      <c r="P432" s="124">
        <f t="shared" si="152"/>
        <v>1</v>
      </c>
      <c r="Q432" s="124">
        <f t="shared" si="153"/>
        <v>1</v>
      </c>
      <c r="R432" s="124">
        <f t="shared" si="154"/>
        <v>453338.42383979005</v>
      </c>
      <c r="S432" s="124">
        <f t="shared" si="155"/>
        <v>251868.30089646814</v>
      </c>
      <c r="T432" s="124">
        <f t="shared" si="156"/>
        <v>518607.14180005173</v>
      </c>
      <c r="U432" s="124">
        <f t="shared" si="157"/>
        <v>1</v>
      </c>
      <c r="V432" s="124">
        <f t="shared" si="158"/>
        <v>0</v>
      </c>
      <c r="W432" s="124">
        <f t="shared" si="159"/>
        <v>1</v>
      </c>
      <c r="X432" s="124">
        <f t="shared" si="160"/>
        <v>1</v>
      </c>
      <c r="Y432" s="124">
        <f t="shared" si="161"/>
        <v>0</v>
      </c>
      <c r="Z432" s="124">
        <f t="shared" si="162"/>
        <v>1</v>
      </c>
      <c r="AA432" s="124">
        <f t="shared" si="139"/>
        <v>2.4161389029503759E-4</v>
      </c>
      <c r="AB432" s="124">
        <f t="shared" si="163"/>
        <v>0</v>
      </c>
      <c r="AC432" s="124">
        <f t="shared" si="164"/>
        <v>0</v>
      </c>
    </row>
    <row r="433" spans="2:29" s="114" customFormat="1">
      <c r="B433" s="115">
        <f t="shared" si="140"/>
        <v>0.6199999999999396</v>
      </c>
      <c r="C433" s="124">
        <f t="shared" si="141"/>
        <v>4.1686938347027747</v>
      </c>
      <c r="D433" s="124">
        <f t="shared" si="142"/>
        <v>45686.840502330779</v>
      </c>
      <c r="E433" s="124">
        <f t="shared" si="143"/>
        <v>1</v>
      </c>
      <c r="F433" s="124">
        <f t="shared" si="144"/>
        <v>1</v>
      </c>
      <c r="G433" s="124">
        <f t="shared" si="145"/>
        <v>44382.603256174501</v>
      </c>
      <c r="H433" s="124">
        <f t="shared" si="146"/>
        <v>1</v>
      </c>
      <c r="I433" s="124">
        <f t="shared" si="147"/>
        <v>1</v>
      </c>
      <c r="J433" s="124">
        <f t="shared" si="148"/>
        <v>1.5821496661245598E-4</v>
      </c>
      <c r="K433" s="124">
        <f t="shared" si="149"/>
        <v>0</v>
      </c>
      <c r="L433" s="124">
        <f t="shared" si="150"/>
        <v>0</v>
      </c>
      <c r="M433" s="120"/>
      <c r="N433" s="132">
        <f t="shared" si="138"/>
        <v>26.192675852334599</v>
      </c>
      <c r="O433" s="124">
        <f t="shared" si="151"/>
        <v>546262.92913257203</v>
      </c>
      <c r="P433" s="124">
        <f t="shared" si="152"/>
        <v>1</v>
      </c>
      <c r="Q433" s="124">
        <f t="shared" si="153"/>
        <v>1</v>
      </c>
      <c r="R433" s="124">
        <f t="shared" si="154"/>
        <v>459370.3459825014</v>
      </c>
      <c r="S433" s="124">
        <f t="shared" si="155"/>
        <v>254434.38834369683</v>
      </c>
      <c r="T433" s="124">
        <f t="shared" si="156"/>
        <v>525126.62543420342</v>
      </c>
      <c r="U433" s="124">
        <f t="shared" si="157"/>
        <v>1</v>
      </c>
      <c r="V433" s="124">
        <f t="shared" si="158"/>
        <v>0</v>
      </c>
      <c r="W433" s="124">
        <f t="shared" si="159"/>
        <v>1</v>
      </c>
      <c r="X433" s="124">
        <f t="shared" si="160"/>
        <v>1</v>
      </c>
      <c r="Y433" s="124">
        <f t="shared" si="161"/>
        <v>0</v>
      </c>
      <c r="Z433" s="124">
        <f t="shared" si="162"/>
        <v>1</v>
      </c>
      <c r="AA433" s="124">
        <f t="shared" si="139"/>
        <v>2.9370042876255528E-4</v>
      </c>
      <c r="AB433" s="124">
        <f t="shared" si="163"/>
        <v>0</v>
      </c>
      <c r="AC433" s="124">
        <f t="shared" si="164"/>
        <v>0</v>
      </c>
    </row>
    <row r="434" spans="2:29" s="114" customFormat="1">
      <c r="B434" s="115">
        <f t="shared" si="140"/>
        <v>0.63999999999993962</v>
      </c>
      <c r="C434" s="124">
        <f t="shared" si="141"/>
        <v>4.3651583224010535</v>
      </c>
      <c r="D434" s="124">
        <f t="shared" si="142"/>
        <v>44705.095494831396</v>
      </c>
      <c r="E434" s="124">
        <f t="shared" si="143"/>
        <v>1</v>
      </c>
      <c r="F434" s="124">
        <f t="shared" si="144"/>
        <v>1</v>
      </c>
      <c r="G434" s="124">
        <f t="shared" si="145"/>
        <v>43585.977870580362</v>
      </c>
      <c r="H434" s="124">
        <f t="shared" si="146"/>
        <v>1</v>
      </c>
      <c r="I434" s="124">
        <f t="shared" si="147"/>
        <v>1</v>
      </c>
      <c r="J434" s="124">
        <f t="shared" si="148"/>
        <v>1.2122522846306172E-4</v>
      </c>
      <c r="K434" s="124">
        <f t="shared" si="149"/>
        <v>0</v>
      </c>
      <c r="L434" s="124">
        <f t="shared" si="150"/>
        <v>0</v>
      </c>
      <c r="M434" s="120"/>
      <c r="N434" s="132">
        <f t="shared" si="138"/>
        <v>27.42709863482299</v>
      </c>
      <c r="O434" s="124">
        <f t="shared" si="151"/>
        <v>555112.38159213774</v>
      </c>
      <c r="P434" s="124">
        <f t="shared" si="152"/>
        <v>1</v>
      </c>
      <c r="Q434" s="124">
        <f t="shared" si="153"/>
        <v>1</v>
      </c>
      <c r="R434" s="124">
        <f t="shared" si="154"/>
        <v>465439.38034762914</v>
      </c>
      <c r="S434" s="124">
        <f t="shared" si="155"/>
        <v>257220.57102945555</v>
      </c>
      <c r="T434" s="124">
        <f t="shared" si="156"/>
        <v>531785.89576925058</v>
      </c>
      <c r="U434" s="124">
        <f t="shared" si="157"/>
        <v>1</v>
      </c>
      <c r="V434" s="124">
        <f t="shared" si="158"/>
        <v>0</v>
      </c>
      <c r="W434" s="124">
        <f t="shared" si="159"/>
        <v>1</v>
      </c>
      <c r="X434" s="124">
        <f t="shared" si="160"/>
        <v>1</v>
      </c>
      <c r="Y434" s="124">
        <f t="shared" si="161"/>
        <v>0</v>
      </c>
      <c r="Z434" s="124">
        <f t="shared" si="162"/>
        <v>1</v>
      </c>
      <c r="AA434" s="124">
        <f t="shared" si="139"/>
        <v>3.4760245017743344E-4</v>
      </c>
      <c r="AB434" s="124">
        <f t="shared" si="163"/>
        <v>0</v>
      </c>
      <c r="AC434" s="124">
        <f t="shared" si="164"/>
        <v>0</v>
      </c>
    </row>
    <row r="435" spans="2:29" s="114" customFormat="1">
      <c r="B435" s="115">
        <f t="shared" si="140"/>
        <v>0.65999999999993963</v>
      </c>
      <c r="C435" s="124">
        <f t="shared" si="141"/>
        <v>4.5708818961481157</v>
      </c>
      <c r="D435" s="124">
        <f t="shared" si="142"/>
        <v>43745.645881943587</v>
      </c>
      <c r="E435" s="124">
        <f t="shared" si="143"/>
        <v>1</v>
      </c>
      <c r="F435" s="124">
        <f t="shared" si="144"/>
        <v>1</v>
      </c>
      <c r="G435" s="124">
        <f t="shared" si="145"/>
        <v>42821.069412137731</v>
      </c>
      <c r="H435" s="124">
        <f t="shared" si="146"/>
        <v>1</v>
      </c>
      <c r="I435" s="124">
        <f t="shared" si="147"/>
        <v>1</v>
      </c>
      <c r="J435" s="124">
        <f t="shared" si="148"/>
        <v>8.6068738691163186E-5</v>
      </c>
      <c r="K435" s="124">
        <f t="shared" si="149"/>
        <v>0</v>
      </c>
      <c r="L435" s="124">
        <f t="shared" si="150"/>
        <v>0</v>
      </c>
      <c r="M435" s="120"/>
      <c r="N435" s="132">
        <f t="shared" si="138"/>
        <v>28.719697970731008</v>
      </c>
      <c r="O435" s="124">
        <f t="shared" si="151"/>
        <v>564052.98304286448</v>
      </c>
      <c r="P435" s="124">
        <f t="shared" si="152"/>
        <v>1</v>
      </c>
      <c r="Q435" s="124">
        <f t="shared" si="153"/>
        <v>1</v>
      </c>
      <c r="R435" s="124">
        <f t="shared" si="154"/>
        <v>471571.2565543828</v>
      </c>
      <c r="S435" s="124">
        <f t="shared" si="155"/>
        <v>260233.79700580481</v>
      </c>
      <c r="T435" s="124">
        <f t="shared" si="156"/>
        <v>538610.32213682833</v>
      </c>
      <c r="U435" s="124">
        <f t="shared" si="157"/>
        <v>1</v>
      </c>
      <c r="V435" s="124">
        <f t="shared" si="158"/>
        <v>0</v>
      </c>
      <c r="W435" s="124">
        <f t="shared" si="159"/>
        <v>1</v>
      </c>
      <c r="X435" s="124">
        <f t="shared" si="160"/>
        <v>1</v>
      </c>
      <c r="Y435" s="124">
        <f t="shared" si="161"/>
        <v>0</v>
      </c>
      <c r="Z435" s="124">
        <f t="shared" si="162"/>
        <v>1</v>
      </c>
      <c r="AA435" s="124">
        <f t="shared" si="139"/>
        <v>4.0181117469995537E-4</v>
      </c>
      <c r="AB435" s="124">
        <f t="shared" si="163"/>
        <v>0</v>
      </c>
      <c r="AC435" s="124">
        <f t="shared" si="164"/>
        <v>0</v>
      </c>
    </row>
    <row r="436" spans="2:29" s="114" customFormat="1">
      <c r="B436" s="115">
        <f t="shared" si="140"/>
        <v>0.67999999999993965</v>
      </c>
      <c r="C436" s="124">
        <f t="shared" si="141"/>
        <v>4.7863009232257188</v>
      </c>
      <c r="D436" s="124">
        <f t="shared" si="142"/>
        <v>42808.015880457722</v>
      </c>
      <c r="E436" s="124">
        <f t="shared" si="143"/>
        <v>1</v>
      </c>
      <c r="F436" s="124">
        <f t="shared" si="144"/>
        <v>1</v>
      </c>
      <c r="G436" s="124">
        <f t="shared" si="145"/>
        <v>42083.701039596264</v>
      </c>
      <c r="H436" s="124">
        <f t="shared" si="146"/>
        <v>1</v>
      </c>
      <c r="I436" s="124">
        <f t="shared" si="147"/>
        <v>1</v>
      </c>
      <c r="J436" s="124">
        <f t="shared" si="148"/>
        <v>5.4925475471735247E-5</v>
      </c>
      <c r="K436" s="124">
        <f t="shared" si="149"/>
        <v>0</v>
      </c>
      <c r="L436" s="124">
        <f t="shared" si="150"/>
        <v>0</v>
      </c>
      <c r="M436" s="120"/>
      <c r="N436" s="132">
        <f t="shared" ref="N436:N499" si="165">2*PI()*C436</f>
        <v>30.073215636551925</v>
      </c>
      <c r="O436" s="124">
        <f t="shared" si="151"/>
        <v>573084.43224859668</v>
      </c>
      <c r="P436" s="124">
        <f t="shared" si="152"/>
        <v>1</v>
      </c>
      <c r="Q436" s="124">
        <f t="shared" si="153"/>
        <v>1</v>
      </c>
      <c r="R436" s="124">
        <f t="shared" si="154"/>
        <v>477792.61266934429</v>
      </c>
      <c r="S436" s="124">
        <f t="shared" si="155"/>
        <v>263478.17974160402</v>
      </c>
      <c r="T436" s="124">
        <f t="shared" si="156"/>
        <v>545624.90038610506</v>
      </c>
      <c r="U436" s="124">
        <f t="shared" si="157"/>
        <v>1</v>
      </c>
      <c r="V436" s="124">
        <f t="shared" si="158"/>
        <v>0</v>
      </c>
      <c r="W436" s="124">
        <f t="shared" si="159"/>
        <v>1</v>
      </c>
      <c r="X436" s="124">
        <f t="shared" si="160"/>
        <v>1</v>
      </c>
      <c r="Y436" s="124">
        <f t="shared" si="161"/>
        <v>0</v>
      </c>
      <c r="Z436" s="124">
        <f t="shared" si="162"/>
        <v>1</v>
      </c>
      <c r="AA436" s="124">
        <f t="shared" ref="AA436:AA499" si="166">(LOG10(O436)-LOG10(T436))^2</f>
        <v>4.5473128553733775E-4</v>
      </c>
      <c r="AB436" s="124">
        <f t="shared" si="163"/>
        <v>0</v>
      </c>
      <c r="AC436" s="124">
        <f t="shared" si="164"/>
        <v>0</v>
      </c>
    </row>
    <row r="437" spans="2:29" s="114" customFormat="1">
      <c r="B437" s="115">
        <f t="shared" ref="B437:B500" si="167">B436+0.02</f>
        <v>0.69999999999993967</v>
      </c>
      <c r="C437" s="124">
        <f t="shared" ref="C437:C500" si="168">10^B437</f>
        <v>5.0118723362720274</v>
      </c>
      <c r="D437" s="124">
        <f t="shared" ref="D437:D500" si="169">IF(AND($D$12&lt;&gt;"",$E$12&lt;&gt;"",$F$12&lt;&gt;"",$G$12&lt;&gt;""),10^($D$12+$E$12/(1+EXP($F$12+$G$12*LOG10($C437)))),1)</f>
        <v>41891.7378797356</v>
      </c>
      <c r="E437" s="124">
        <f t="shared" ref="E437:E500" si="170">IF(AND($D$13&lt;&gt;"",$E$13&lt;&gt;"",$F$13&lt;&gt;"",$G$13&lt;&gt;""),10^($D$13+$E$13/(1+EXP($F$13+$G$13*LOG10($C437)))),1)</f>
        <v>1</v>
      </c>
      <c r="F437" s="124">
        <f t="shared" ref="F437:F500" si="171">IF(AND($D$14&lt;&gt;"",$E$14&lt;&gt;"",$F$14&lt;&gt;"",$G$14&lt;&gt;""),10^($D$14+$E$14/(1+EXP($F$14+$G$14*LOG10($C437)))),1)</f>
        <v>1</v>
      </c>
      <c r="G437" s="124">
        <f t="shared" ref="G437:G500" si="172">IF(OR($C$28="",$C$28=0),1,$C$28+$C$29*EXP(-C437/$F$29)+$C$30*EXP(-C437/$F$30)+$C$31*EXP(-C437/$F$31)+$C$32*EXP(-C437/$F$32)+$C$33*EXP(-C437/$F$33)+$C$34*EXP(-C437/$F$34)+$C$35*EXP(-C437/$F$35)+$C$36*EXP(-C437/$F$36)+$C$37*EXP(-C437/$F$37)+$C$38*EXP(-C437/$F$38)+$C$39*EXP(-C437/$F$39)+$C$40*EXP(-C437/$F$40)+$C$41*EXP(-C437/$F$41)+$C$42*EXP(-C437/$F$42))</f>
        <v>41369.769848987802</v>
      </c>
      <c r="H437" s="124">
        <f t="shared" ref="H437:H500" si="173">IF(OR($D$28="",$D$28=0),1,$D$28+$D$29*EXP(-C437/$F$29)+$D$30*EXP(-C437/$F$30)+$D$31*EXP(-C437/$F$31)+$D$32*EXP(-C437/$F$32)+$D$33*EXP(-C437/$F$33)+$D$34*EXP(-C437/$F$34)+$D$35*EXP(-C437/$F$35)+$D$36*EXP(-C437/$F$36)+$D$37*EXP(-C437/$F$37)+$D$38*EXP(-C437/$F$38)+$D$39*EXP(-C437/$F$39)+$D$40*EXP(-C437/$F$40)+$D$41*EXP(-C437/$F$41)+$D$42*EXP(-C437/$F$42))</f>
        <v>1</v>
      </c>
      <c r="I437" s="124">
        <f t="shared" ref="I437:I500" si="174">IF(OR($E$28="",$E$28=0),1,$E$28+$E$29*EXP(-C437/$F$29)+$E$30*EXP(-C437/$F$30)+$E$31*EXP(-C437/$F$31)+$E$32*EXP(-C437/$F$32)+$E$33*EXP(-C437/$F$33)+$E$34*EXP(-C437/$F$34)+$E$35*EXP(-C437/$F$35)+$E$36*EXP(-C437/$F$36)+$E$37*EXP(-C437/$F$37)+$E$38*EXP(-C437/$F$38)+$E$39*EXP(-C437/$F$39)+$E$40*EXP(-C437/$F$40)+$E$41*EXP(-C437/$F$41)+$E$42*EXP(-C437/$F$42))</f>
        <v>1</v>
      </c>
      <c r="J437" s="124">
        <f t="shared" ref="J437:J500" si="175">(LOG10(D437)-LOG10(G437))^2</f>
        <v>2.9650994178896125E-5</v>
      </c>
      <c r="K437" s="124">
        <f t="shared" ref="K437:K500" si="176">(LOG10(E437)-LOG10(H437))^2</f>
        <v>0</v>
      </c>
      <c r="L437" s="124">
        <f t="shared" ref="L437:L500" si="177">(LOG10(F437)-LOG10(I437))^2</f>
        <v>0</v>
      </c>
      <c r="M437" s="120"/>
      <c r="N437" s="132">
        <f t="shared" si="165"/>
        <v>31.490522624724228</v>
      </c>
      <c r="O437" s="124">
        <f t="shared" ref="O437:O500" si="178">IF(AND($L$12&lt;&gt;"",$M$12&lt;&gt;"",$N$12&lt;&gt;"",$O$12&lt;&gt;""),10^($L$12+$M$12/(1+EXP($N$12+$O$12*LOG10($C437)))),1)</f>
        <v>582206.40065990039</v>
      </c>
      <c r="P437" s="124">
        <f t="shared" ref="P437:P500" si="179">IF(AND($L$13&lt;&gt;"",$M$13&lt;&gt;"",$N$13&lt;&gt;"",$O$13&lt;&gt;""),10^($L$13+$M$13/(1+EXP($N$13+$O$13*LOG10($C437)))),1)</f>
        <v>1</v>
      </c>
      <c r="Q437" s="124">
        <f t="shared" ref="Q437:Q500" si="180">IF(AND($L$14&lt;&gt;"",$M$14&lt;&gt;"",$N$14&lt;&gt;"",$O$14&lt;&gt;""),10^($L$14+$M$14/(1+EXP($N$14+$O$14*LOG10($C437)))),1)</f>
        <v>1</v>
      </c>
      <c r="R437" s="124">
        <f t="shared" ref="R437:R500" si="181">IF(OR($C$28="",$C$28=0),1,$C$28+($N437^2*$F$29^2*$C$29)/($N437^2*$F$29^2+1)+($N437^2*$F$30^2*$C$30)/($N437^2*$F$30^2+1)+($N437^2*$F$31^2*$C$31)/($N437^2*$F$31^2+1)+($N437^2*$F$32^2*$C$32)/($N437^2*$F$32^2+1)+($N437^2*$F$33^2*$C$33)/($N437^2*$F$33^2+1)+($N437^2*$F$34^2*$C$34)/($N437^2*$F$34^2+1)+($N437^2*$F$35^2*$C$35)/($N437^2*$F$35^2+1)+($N437^2*$F$36^2*$C$36)/($N437^2*$F$36^2+1)+($N437^2*$F$37^2*$C$37)/($N437^2*$F$37^2+1)+($N437^2*$F$38^2*$C$38)/($N437^2*$F$38^2+1)+($N437^2*$F$39^2*$C$39)/($N437^2*$F$39^2+1)+($N437^2*$F$40^2*$C$40)/($N437^2*$F$40^2+1)+($N437^2*$F$41^2*$C$41)/($N437^2*$F$41^2+1)+($N437^2*$F$42^2*$C$42)/($N437^2*$F$42^2+1))</f>
        <v>484130.72729181597</v>
      </c>
      <c r="S437" s="124">
        <f t="shared" ref="S437:S500" si="182">IF(OR($C$28="",$C$28=0),0,($N437*$F$29*$C$29)/($N437^2*$F$29^2+1)+($N437*$F$30*$C$30)/($N437^2*$F$30^2+1)+($N437*$F$31*$C$31)/($N437^2*$F$31^2+1)+($N437*$F$32*$C$32)/($N437^2*$F$32^2+1)+($N437*$F$33*$C$33)/($N437^2*$F$33^2+1)+($N437*$F$34*$C$34)/($N437^2*$F$34^2+1)+($N437*$F$35*$C$35)/($N437^2*$F$35^2+1)+($N437*$F$36*$C$36)/($N437^2*$F$36^2+1)+($N437*$F$37*$C$37)/($N437^2*$F$37^2+1)+($N437*$F$38*$C$38)/($N437^2*$F$38^2+1)+($N437*$F$39*$C$39)/($N437^2*$F$39^2+1)+($N437*$F$40*$C$40)/($N437^2*$F$40^2+1)+($N437*$F$41*$C$41)/($N437^2*$F$41^2+1)+($N437*$F$42*$C$42)/($N437^2*$F$42^2+1))</f>
        <v>266954.89713421528</v>
      </c>
      <c r="T437" s="124">
        <f t="shared" ref="T437:T500" si="183">SQRT(R437^2+S437^2)</f>
        <v>552853.93931131775</v>
      </c>
      <c r="U437" s="124">
        <f t="shared" ref="U437:U500" si="184">IF(OR($D$28="",$D$28=0),1,$D$28+($N437^2*$F$29^2*$D$29)/($N437^2*$F$29^2+1)+($N437^2*$F$30^2*$D$30)/($N437^2*$F$30^2+1)+($N437^2*$F$31^2*$D$31)/($N437^2*$F$31^2+1)+($N437^2*$F$32^2*$D$32)/($N437^2*$F$32^2+1)+($N437^2*$F$33^2*$D$33)/($N437^2*$F$33^2+1)+($N437^2*$F$34^2*$D$34)/($N437^2*$F$34^2+1)+($N437^2*$F$35^2*$D$35)/($N437^2*$F$35^2+1)+($N437^2*$F$36^2*$D$36)/($N437^2*$F$36^2+1)+($N437^2*$F$37^2*$D$37)/($N437^2*$F$37^2+1)+($N437^2*$F$38^2*$D$38)/($N437^2*$F$38^2+1)+($N437^2*$F$39^2*$D$39)/($N437^2*$F$39^2+1)+($N437^2*$F$40^2*$D$40)/($N437^2*$F$40^2+1)+($N437^2*$F$41^2*$D$41)/($N437^2*$F$41^2+1)+($N437^2*$F$42^2*$D$42)/($N437^2*$F$42^2+1))</f>
        <v>1</v>
      </c>
      <c r="V437" s="124">
        <f t="shared" ref="V437:V500" si="185">IF(OR($D$28="",$D$28=0),0,($N437*$F$29*$D$29)/($N437^2*$F$29^2+1)+($N437*$F$30*$D$30)/($N437^2*$F$30^2+1)+($N437*$F$31*$D$31)/($N437^2*$F$31^2+1)+($N437*$F$32*$D$32)/($N437^2*$F$32^2+1)+($N437*$F$33*$D$33)/($N437^2*$F$33^2+1)+($N437*$F$34*$D$34)/($N437^2*$F$34^2+1)+($N437*$F$35*$D$35)/($N437^2*$F$35^2+1)+($N437*$F$36*$D$36)/($N437^2*$F$36^2+1)+($N437*$F$37*$D$37)/($N437^2*$F$37^2+1)+($N437*$F$38*$D$38)/($N437^2*$F$38^2+1)+($N437*$F$39*$D$39)/($N437^2*$F$39^2+1)+($N437*$F$40*$D$40)/($N437^2*$F$40^2+1)+($N437*$F$41*$D$41)/($N437^2*$F$41^2+1)+($N437*$F$42*$D$42)/($N437^2*$F$42^2+1))</f>
        <v>0</v>
      </c>
      <c r="W437" s="124">
        <f t="shared" ref="W437:W500" si="186">SQRT(U437^2+V437^2)</f>
        <v>1</v>
      </c>
      <c r="X437" s="124">
        <f t="shared" ref="X437:X500" si="187">IF(OR($E$28="",$E$28=0),1,$E$28+($N437^2*$F$29^2*$E$29)/($N437^2*$F$29^2+1)+($N437^2*$F$30^2*$E$30)/($N437^2*$F$30^2+1)+($N437^2*$F$31^2*$E$31)/($N437^2*$F$31^2+1)+($N437^2*$F$32^2*$E$32)/($N437^2*$F$32^2+1)+($N437^2*$F$33^2*$E$33)/($N437^2*$F$33^2+1)+($N437^2*$F$34^2*$E$34)/($N437^2*$F$34^2+1)+($N437^2*$F$35^2*$E$35)/($N437^2*$F$35^2+1)+($N437^2*$F$36^2*$E$36)/($N437^2*$F$36^2+1)+($N437^2*$F$37^2*$E$37)/($N437^2*$F$37^2+1)+($N437^2*$F$38^2*$E$38)/($N437^2*$F$38^2+1)+($N437^2*$F$39^2*$E$39)/($N437^2*$F$39^2+1)+($N437^2*$F$40^2*$E$40)/($N437^2*$F$40^2+1)+($N437^2*$F$41^2*$E$41)/($N437^2*$F$41^2+1)+($N437^2*$F$42^2*$E$42)/($N437^2*$F$42^2+1))</f>
        <v>1</v>
      </c>
      <c r="Y437" s="124">
        <f t="shared" ref="Y437:Y500" si="188">IF(OR($E$28="",$E$28=0),0,($N437*$F$29*$E$29)/($N437^2*$F$29^2+1)+($N437*$F$30*$E$30)/($N437^2*$F$30^2+1)+($N437*$F$31*$E$31)/($N437^2*$F$31^2+1)+($N437*$F$32*$E$32)/($N437^2*$F$32^2+1)+($N437*$F$33*$E$33)/($N437^2*$F$33^2+1)+($N437*$F$34*$E$34)/($N437^2*$F$34^2+1)+($N437*$F$35*$E$35)/($N437^2*$F$35^2+1)+($N437*$F$36*$E$36)/($N437^2*$F$36^2+1)+($N437*$F$37*$E$37)/($N437^2*$F$37^2+1)+($N437*$F$38*$E$38)/($N437^2*$F$38^2+1)+($N437*$F$39*$E$39)/($N437^2*$F$39^2+1)+($N437*$F$40*$E$40)/($N437^2*$F$40^2+1)+($N437*$F$41*$E$41)/($N437^2*$F$41^2+1)+($N437*$F$42*$E$42)/($N437^2*$F$42^2+1))</f>
        <v>0</v>
      </c>
      <c r="Z437" s="124">
        <f t="shared" ref="Z437:Z500" si="189">SQRT(X437^2+Y437^2)</f>
        <v>1</v>
      </c>
      <c r="AA437" s="124">
        <f t="shared" si="166"/>
        <v>5.0474664215553028E-4</v>
      </c>
      <c r="AB437" s="124">
        <f t="shared" ref="AB437:AB500" si="190">(LOG10(P437)-LOG10(W437))^2</f>
        <v>0</v>
      </c>
      <c r="AC437" s="124">
        <f t="shared" ref="AC437:AC500" si="191">(LOG10(Q437)-LOG10(Z437))^2</f>
        <v>0</v>
      </c>
    </row>
    <row r="438" spans="2:29" s="114" customFormat="1">
      <c r="B438" s="115">
        <f t="shared" si="167"/>
        <v>0.71999999999993969</v>
      </c>
      <c r="C438" s="124">
        <f t="shared" si="168"/>
        <v>5.248074602496998</v>
      </c>
      <c r="D438" s="124">
        <f t="shared" si="169"/>
        <v>40996.35238894308</v>
      </c>
      <c r="E438" s="124">
        <f t="shared" si="170"/>
        <v>1</v>
      </c>
      <c r="F438" s="124">
        <f t="shared" si="171"/>
        <v>1</v>
      </c>
      <c r="G438" s="124">
        <f t="shared" si="172"/>
        <v>40675.318009660296</v>
      </c>
      <c r="H438" s="124">
        <f t="shared" si="173"/>
        <v>1</v>
      </c>
      <c r="I438" s="124">
        <f t="shared" si="174"/>
        <v>1</v>
      </c>
      <c r="J438" s="124">
        <f t="shared" si="175"/>
        <v>1.1657174495679211E-5</v>
      </c>
      <c r="K438" s="124">
        <f t="shared" si="176"/>
        <v>0</v>
      </c>
      <c r="L438" s="124">
        <f t="shared" si="177"/>
        <v>0</v>
      </c>
      <c r="M438" s="120"/>
      <c r="N438" s="132">
        <f t="shared" si="165"/>
        <v>32.974625233391485</v>
      </c>
      <c r="O438" s="124">
        <f t="shared" si="178"/>
        <v>591418.53242567112</v>
      </c>
      <c r="P438" s="124">
        <f t="shared" si="179"/>
        <v>1</v>
      </c>
      <c r="Q438" s="124">
        <f t="shared" si="180"/>
        <v>1</v>
      </c>
      <c r="R438" s="124">
        <f t="shared" si="181"/>
        <v>490613.24288314953</v>
      </c>
      <c r="S438" s="124">
        <f t="shared" si="182"/>
        <v>270662.10386289319</v>
      </c>
      <c r="T438" s="124">
        <f t="shared" si="183"/>
        <v>560320.73722093122</v>
      </c>
      <c r="U438" s="124">
        <f t="shared" si="184"/>
        <v>1</v>
      </c>
      <c r="V438" s="124">
        <f t="shared" si="185"/>
        <v>0</v>
      </c>
      <c r="W438" s="124">
        <f t="shared" si="186"/>
        <v>1</v>
      </c>
      <c r="X438" s="124">
        <f t="shared" si="187"/>
        <v>1</v>
      </c>
      <c r="Y438" s="124">
        <f t="shared" si="188"/>
        <v>0</v>
      </c>
      <c r="Z438" s="124">
        <f t="shared" si="189"/>
        <v>1</v>
      </c>
      <c r="AA438" s="124">
        <f t="shared" si="166"/>
        <v>5.5028871659088495E-4</v>
      </c>
      <c r="AB438" s="124">
        <f t="shared" si="190"/>
        <v>0</v>
      </c>
      <c r="AC438" s="124">
        <f t="shared" si="191"/>
        <v>0</v>
      </c>
    </row>
    <row r="439" spans="2:29" s="114" customFormat="1">
      <c r="B439" s="115">
        <f t="shared" si="167"/>
        <v>0.73999999999993971</v>
      </c>
      <c r="C439" s="124">
        <f t="shared" si="168"/>
        <v>5.4954087385754828</v>
      </c>
      <c r="D439" s="124">
        <f t="shared" si="169"/>
        <v>40121.407980760458</v>
      </c>
      <c r="E439" s="124">
        <f t="shared" si="170"/>
        <v>1</v>
      </c>
      <c r="F439" s="124">
        <f t="shared" si="171"/>
        <v>1</v>
      </c>
      <c r="G439" s="124">
        <f t="shared" si="172"/>
        <v>39996.597562106799</v>
      </c>
      <c r="H439" s="124">
        <f t="shared" si="173"/>
        <v>1</v>
      </c>
      <c r="I439" s="124">
        <f t="shared" si="174"/>
        <v>1</v>
      </c>
      <c r="J439" s="124">
        <f t="shared" si="175"/>
        <v>1.8309257711258027E-6</v>
      </c>
      <c r="K439" s="124">
        <f t="shared" si="176"/>
        <v>0</v>
      </c>
      <c r="L439" s="124">
        <f t="shared" si="177"/>
        <v>0</v>
      </c>
      <c r="M439" s="120"/>
      <c r="N439" s="132">
        <f t="shared" si="165"/>
        <v>34.52867144316378</v>
      </c>
      <c r="O439" s="124">
        <f t="shared" si="178"/>
        <v>600720.44442322303</v>
      </c>
      <c r="P439" s="124">
        <f t="shared" si="179"/>
        <v>1</v>
      </c>
      <c r="Q439" s="124">
        <f t="shared" si="180"/>
        <v>1</v>
      </c>
      <c r="R439" s="124">
        <f t="shared" si="181"/>
        <v>497267.87743502518</v>
      </c>
      <c r="S439" s="124">
        <f t="shared" si="182"/>
        <v>274594.85742094886</v>
      </c>
      <c r="T439" s="124">
        <f t="shared" si="183"/>
        <v>568047.2494878982</v>
      </c>
      <c r="U439" s="124">
        <f t="shared" si="184"/>
        <v>1</v>
      </c>
      <c r="V439" s="124">
        <f t="shared" si="185"/>
        <v>0</v>
      </c>
      <c r="W439" s="124">
        <f t="shared" si="186"/>
        <v>1</v>
      </c>
      <c r="X439" s="124">
        <f t="shared" si="187"/>
        <v>1</v>
      </c>
      <c r="Y439" s="124">
        <f t="shared" si="188"/>
        <v>0</v>
      </c>
      <c r="Z439" s="124">
        <f t="shared" si="189"/>
        <v>1</v>
      </c>
      <c r="AA439" s="124">
        <f t="shared" si="166"/>
        <v>5.8990457891354648E-4</v>
      </c>
      <c r="AB439" s="124">
        <f t="shared" si="190"/>
        <v>0</v>
      </c>
      <c r="AC439" s="124">
        <f t="shared" si="191"/>
        <v>0</v>
      </c>
    </row>
    <row r="440" spans="2:29" s="114" customFormat="1">
      <c r="B440" s="115">
        <f t="shared" si="167"/>
        <v>0.75999999999993972</v>
      </c>
      <c r="C440" s="124">
        <f t="shared" si="168"/>
        <v>5.754399373370771</v>
      </c>
      <c r="D440" s="124">
        <f t="shared" si="169"/>
        <v>39266.461231751608</v>
      </c>
      <c r="E440" s="124">
        <f t="shared" si="170"/>
        <v>1</v>
      </c>
      <c r="F440" s="124">
        <f t="shared" si="171"/>
        <v>1</v>
      </c>
      <c r="G440" s="124">
        <f t="shared" si="172"/>
        <v>39330.127098139514</v>
      </c>
      <c r="H440" s="124">
        <f t="shared" si="173"/>
        <v>1</v>
      </c>
      <c r="I440" s="124">
        <f t="shared" si="174"/>
        <v>1</v>
      </c>
      <c r="J440" s="124">
        <f t="shared" si="175"/>
        <v>4.9503364994879973E-7</v>
      </c>
      <c r="K440" s="124">
        <f t="shared" si="176"/>
        <v>0</v>
      </c>
      <c r="L440" s="124">
        <f t="shared" si="177"/>
        <v>0</v>
      </c>
      <c r="M440" s="120"/>
      <c r="N440" s="132">
        <f t="shared" si="165"/>
        <v>36.155957594406644</v>
      </c>
      <c r="O440" s="124">
        <f t="shared" si="178"/>
        <v>610111.72630685288</v>
      </c>
      <c r="P440" s="124">
        <f t="shared" si="179"/>
        <v>1</v>
      </c>
      <c r="Q440" s="124">
        <f t="shared" si="180"/>
        <v>1</v>
      </c>
      <c r="R440" s="124">
        <f t="shared" si="181"/>
        <v>504122.12147902598</v>
      </c>
      <c r="S440" s="124">
        <f t="shared" si="182"/>
        <v>278745.05949908518</v>
      </c>
      <c r="T440" s="124">
        <f t="shared" si="183"/>
        <v>576053.7488461145</v>
      </c>
      <c r="U440" s="124">
        <f t="shared" si="184"/>
        <v>1</v>
      </c>
      <c r="V440" s="124">
        <f t="shared" si="185"/>
        <v>0</v>
      </c>
      <c r="W440" s="124">
        <f t="shared" si="186"/>
        <v>1</v>
      </c>
      <c r="X440" s="124">
        <f t="shared" si="187"/>
        <v>1</v>
      </c>
      <c r="Y440" s="124">
        <f t="shared" si="188"/>
        <v>0</v>
      </c>
      <c r="Z440" s="124">
        <f t="shared" si="189"/>
        <v>1</v>
      </c>
      <c r="AA440" s="124">
        <f t="shared" si="166"/>
        <v>6.223211221918994E-4</v>
      </c>
      <c r="AB440" s="124">
        <f t="shared" si="190"/>
        <v>0</v>
      </c>
      <c r="AC440" s="124">
        <f t="shared" si="191"/>
        <v>0</v>
      </c>
    </row>
    <row r="441" spans="2:29" s="114" customFormat="1">
      <c r="B441" s="115">
        <f t="shared" si="167"/>
        <v>0.77999999999993974</v>
      </c>
      <c r="C441" s="124">
        <f t="shared" si="168"/>
        <v>6.025595860742742</v>
      </c>
      <c r="D441" s="124">
        <f t="shared" si="169"/>
        <v>38431.076659566628</v>
      </c>
      <c r="E441" s="124">
        <f t="shared" si="170"/>
        <v>1</v>
      </c>
      <c r="F441" s="124">
        <f t="shared" si="171"/>
        <v>1</v>
      </c>
      <c r="G441" s="124">
        <f t="shared" si="172"/>
        <v>38672.73890203578</v>
      </c>
      <c r="H441" s="124">
        <f t="shared" si="173"/>
        <v>1</v>
      </c>
      <c r="I441" s="124">
        <f t="shared" si="174"/>
        <v>1</v>
      </c>
      <c r="J441" s="124">
        <f t="shared" si="175"/>
        <v>7.411349948437174E-6</v>
      </c>
      <c r="K441" s="124">
        <f t="shared" si="176"/>
        <v>0</v>
      </c>
      <c r="L441" s="124">
        <f t="shared" si="177"/>
        <v>0</v>
      </c>
      <c r="M441" s="120"/>
      <c r="N441" s="132">
        <f t="shared" si="165"/>
        <v>37.859935379220929</v>
      </c>
      <c r="O441" s="124">
        <f t="shared" si="178"/>
        <v>619591.94057482749</v>
      </c>
      <c r="P441" s="124">
        <f t="shared" si="179"/>
        <v>1</v>
      </c>
      <c r="Q441" s="124">
        <f t="shared" si="180"/>
        <v>1</v>
      </c>
      <c r="R441" s="124">
        <f t="shared" si="181"/>
        <v>511202.91769381991</v>
      </c>
      <c r="S441" s="124">
        <f t="shared" si="182"/>
        <v>283101.41576808301</v>
      </c>
      <c r="T441" s="124">
        <f t="shared" si="183"/>
        <v>584358.48130113364</v>
      </c>
      <c r="U441" s="124">
        <f t="shared" si="184"/>
        <v>1</v>
      </c>
      <c r="V441" s="124">
        <f t="shared" si="185"/>
        <v>0</v>
      </c>
      <c r="W441" s="124">
        <f t="shared" si="186"/>
        <v>1</v>
      </c>
      <c r="X441" s="124">
        <f t="shared" si="187"/>
        <v>1</v>
      </c>
      <c r="Y441" s="124">
        <f t="shared" si="188"/>
        <v>0</v>
      </c>
      <c r="Z441" s="124">
        <f t="shared" si="189"/>
        <v>1</v>
      </c>
      <c r="AA441" s="124">
        <f t="shared" si="166"/>
        <v>6.4650223731871109E-4</v>
      </c>
      <c r="AB441" s="124">
        <f t="shared" si="190"/>
        <v>0</v>
      </c>
      <c r="AC441" s="124">
        <f t="shared" si="191"/>
        <v>0</v>
      </c>
    </row>
    <row r="442" spans="2:29" s="114" customFormat="1">
      <c r="B442" s="115">
        <f t="shared" si="167"/>
        <v>0.79999999999993976</v>
      </c>
      <c r="C442" s="124">
        <f t="shared" si="168"/>
        <v>6.3095734448010594</v>
      </c>
      <c r="D442" s="124">
        <f t="shared" si="169"/>
        <v>37614.826657152364</v>
      </c>
      <c r="E442" s="124">
        <f t="shared" si="170"/>
        <v>1</v>
      </c>
      <c r="F442" s="124">
        <f t="shared" si="171"/>
        <v>1</v>
      </c>
      <c r="G442" s="124">
        <f t="shared" si="172"/>
        <v>38021.615561758961</v>
      </c>
      <c r="H442" s="124">
        <f t="shared" si="173"/>
        <v>1</v>
      </c>
      <c r="I442" s="124">
        <f t="shared" si="174"/>
        <v>1</v>
      </c>
      <c r="J442" s="124">
        <f t="shared" si="175"/>
        <v>2.1822927086268538E-5</v>
      </c>
      <c r="K442" s="124">
        <f t="shared" si="176"/>
        <v>0</v>
      </c>
      <c r="L442" s="124">
        <f t="shared" si="177"/>
        <v>0</v>
      </c>
      <c r="M442" s="120"/>
      <c r="N442" s="132">
        <f t="shared" si="165"/>
        <v>39.644219162944502</v>
      </c>
      <c r="O442" s="124">
        <f t="shared" si="178"/>
        <v>629160.62265477132</v>
      </c>
      <c r="P442" s="124">
        <f t="shared" si="179"/>
        <v>1</v>
      </c>
      <c r="Q442" s="124">
        <f t="shared" si="180"/>
        <v>1</v>
      </c>
      <c r="R442" s="124">
        <f t="shared" si="181"/>
        <v>518536.32098237058</v>
      </c>
      <c r="S442" s="124">
        <f t="shared" si="182"/>
        <v>287649.41845859878</v>
      </c>
      <c r="T442" s="124">
        <f t="shared" si="183"/>
        <v>592977.3217564919</v>
      </c>
      <c r="U442" s="124">
        <f t="shared" si="184"/>
        <v>1</v>
      </c>
      <c r="V442" s="124">
        <f t="shared" si="185"/>
        <v>0</v>
      </c>
      <c r="W442" s="124">
        <f t="shared" si="186"/>
        <v>1</v>
      </c>
      <c r="X442" s="124">
        <f t="shared" si="187"/>
        <v>1</v>
      </c>
      <c r="Y442" s="124">
        <f t="shared" si="188"/>
        <v>0</v>
      </c>
      <c r="Z442" s="124">
        <f t="shared" si="189"/>
        <v>1</v>
      </c>
      <c r="AA442" s="124">
        <f t="shared" si="166"/>
        <v>6.6169584637186312E-4</v>
      </c>
      <c r="AB442" s="124">
        <f t="shared" si="190"/>
        <v>0</v>
      </c>
      <c r="AC442" s="124">
        <f t="shared" si="191"/>
        <v>0</v>
      </c>
    </row>
    <row r="443" spans="2:29" s="114" customFormat="1">
      <c r="B443" s="115">
        <f t="shared" si="167"/>
        <v>0.81999999999993978</v>
      </c>
      <c r="C443" s="124">
        <f t="shared" si="168"/>
        <v>6.6069344800750454</v>
      </c>
      <c r="D443" s="124">
        <f t="shared" si="169"/>
        <v>36817.291424139446</v>
      </c>
      <c r="E443" s="124">
        <f t="shared" si="170"/>
        <v>1</v>
      </c>
      <c r="F443" s="124">
        <f t="shared" si="171"/>
        <v>1</v>
      </c>
      <c r="G443" s="124">
        <f t="shared" si="172"/>
        <v>37374.31553667238</v>
      </c>
      <c r="H443" s="124">
        <f t="shared" si="173"/>
        <v>1</v>
      </c>
      <c r="I443" s="124">
        <f t="shared" si="174"/>
        <v>1</v>
      </c>
      <c r="J443" s="124">
        <f t="shared" si="175"/>
        <v>4.2528823609127652E-5</v>
      </c>
      <c r="K443" s="124">
        <f t="shared" si="176"/>
        <v>0</v>
      </c>
      <c r="L443" s="124">
        <f t="shared" si="177"/>
        <v>0</v>
      </c>
      <c r="M443" s="120"/>
      <c r="N443" s="132">
        <f t="shared" si="165"/>
        <v>41.512593650705725</v>
      </c>
      <c r="O443" s="124">
        <f t="shared" si="178"/>
        <v>638817.28100736276</v>
      </c>
      <c r="P443" s="124">
        <f t="shared" si="179"/>
        <v>1</v>
      </c>
      <c r="Q443" s="124">
        <f t="shared" si="180"/>
        <v>1</v>
      </c>
      <c r="R443" s="124">
        <f t="shared" si="181"/>
        <v>526147.13787816325</v>
      </c>
      <c r="S443" s="124">
        <f t="shared" si="182"/>
        <v>292371.35738553957</v>
      </c>
      <c r="T443" s="124">
        <f t="shared" si="183"/>
        <v>601923.43476296542</v>
      </c>
      <c r="U443" s="124">
        <f t="shared" si="184"/>
        <v>1</v>
      </c>
      <c r="V443" s="124">
        <f t="shared" si="185"/>
        <v>0</v>
      </c>
      <c r="W443" s="124">
        <f t="shared" si="186"/>
        <v>1</v>
      </c>
      <c r="X443" s="124">
        <f t="shared" si="187"/>
        <v>1</v>
      </c>
      <c r="Y443" s="124">
        <f t="shared" si="188"/>
        <v>0</v>
      </c>
      <c r="Z443" s="124">
        <f t="shared" si="189"/>
        <v>1</v>
      </c>
      <c r="AA443" s="124">
        <f t="shared" si="166"/>
        <v>6.6746809331552257E-4</v>
      </c>
      <c r="AB443" s="124">
        <f t="shared" si="190"/>
        <v>0</v>
      </c>
      <c r="AC443" s="124">
        <f t="shared" si="191"/>
        <v>0</v>
      </c>
    </row>
    <row r="444" spans="2:29" s="114" customFormat="1">
      <c r="B444" s="115">
        <f t="shared" si="167"/>
        <v>0.83999999999993979</v>
      </c>
      <c r="C444" s="124">
        <f t="shared" si="168"/>
        <v>6.9183097091884074</v>
      </c>
      <c r="D444" s="124">
        <f t="shared" si="169"/>
        <v>36038.058895571194</v>
      </c>
      <c r="E444" s="124">
        <f t="shared" si="170"/>
        <v>1</v>
      </c>
      <c r="F444" s="124">
        <f t="shared" si="171"/>
        <v>1</v>
      </c>
      <c r="G444" s="124">
        <f t="shared" si="172"/>
        <v>36728.787662072391</v>
      </c>
      <c r="H444" s="124">
        <f t="shared" si="173"/>
        <v>1</v>
      </c>
      <c r="I444" s="124">
        <f t="shared" si="174"/>
        <v>1</v>
      </c>
      <c r="J444" s="124">
        <f t="shared" si="175"/>
        <v>6.7983368600987314E-5</v>
      </c>
      <c r="K444" s="124">
        <f t="shared" si="176"/>
        <v>0</v>
      </c>
      <c r="L444" s="124">
        <f t="shared" si="177"/>
        <v>0</v>
      </c>
      <c r="M444" s="120"/>
      <c r="N444" s="132">
        <f t="shared" si="165"/>
        <v>43.469021915290476</v>
      </c>
      <c r="O444" s="124">
        <f t="shared" si="178"/>
        <v>648561.39724824124</v>
      </c>
      <c r="P444" s="124">
        <f t="shared" si="179"/>
        <v>1</v>
      </c>
      <c r="Q444" s="124">
        <f t="shared" si="180"/>
        <v>1</v>
      </c>
      <c r="R444" s="124">
        <f t="shared" si="181"/>
        <v>534058.54549422511</v>
      </c>
      <c r="S444" s="124">
        <f t="shared" si="182"/>
        <v>297246.36613232497</v>
      </c>
      <c r="T444" s="124">
        <f t="shared" si="183"/>
        <v>611206.94710898004</v>
      </c>
      <c r="U444" s="124">
        <f t="shared" si="184"/>
        <v>1</v>
      </c>
      <c r="V444" s="124">
        <f t="shared" si="185"/>
        <v>0</v>
      </c>
      <c r="W444" s="124">
        <f t="shared" si="186"/>
        <v>1</v>
      </c>
      <c r="X444" s="124">
        <f t="shared" si="187"/>
        <v>1</v>
      </c>
      <c r="Y444" s="124">
        <f t="shared" si="188"/>
        <v>0</v>
      </c>
      <c r="Z444" s="124">
        <f t="shared" si="189"/>
        <v>1</v>
      </c>
      <c r="AA444" s="124">
        <f t="shared" si="166"/>
        <v>6.637225731525243E-4</v>
      </c>
      <c r="AB444" s="124">
        <f t="shared" si="190"/>
        <v>0</v>
      </c>
      <c r="AC444" s="124">
        <f t="shared" si="191"/>
        <v>0</v>
      </c>
    </row>
    <row r="445" spans="2:29" s="114" customFormat="1">
      <c r="B445" s="115">
        <f t="shared" si="167"/>
        <v>0.85999999999993981</v>
      </c>
      <c r="C445" s="124">
        <f t="shared" si="168"/>
        <v>7.2443596007488988</v>
      </c>
      <c r="D445" s="124">
        <f t="shared" si="169"/>
        <v>35276.724668140239</v>
      </c>
      <c r="E445" s="124">
        <f t="shared" si="170"/>
        <v>1</v>
      </c>
      <c r="F445" s="124">
        <f t="shared" si="171"/>
        <v>1</v>
      </c>
      <c r="G445" s="124">
        <f t="shared" si="172"/>
        <v>36083.375048800925</v>
      </c>
      <c r="H445" s="124">
        <f t="shared" si="173"/>
        <v>1</v>
      </c>
      <c r="I445" s="124">
        <f t="shared" si="174"/>
        <v>1</v>
      </c>
      <c r="J445" s="124">
        <f t="shared" si="175"/>
        <v>9.6410736715603026E-5</v>
      </c>
      <c r="K445" s="124">
        <f t="shared" si="176"/>
        <v>0</v>
      </c>
      <c r="L445" s="124">
        <f t="shared" si="177"/>
        <v>0</v>
      </c>
      <c r="M445" s="120"/>
      <c r="N445" s="132">
        <f t="shared" si="165"/>
        <v>45.517653803350854</v>
      </c>
      <c r="O445" s="124">
        <f t="shared" si="178"/>
        <v>658392.42628801218</v>
      </c>
      <c r="P445" s="124">
        <f t="shared" si="179"/>
        <v>1</v>
      </c>
      <c r="Q445" s="124">
        <f t="shared" si="180"/>
        <v>1</v>
      </c>
      <c r="R445" s="124">
        <f t="shared" si="181"/>
        <v>542291.69193471572</v>
      </c>
      <c r="S445" s="124">
        <f t="shared" si="182"/>
        <v>302250.51090584346</v>
      </c>
      <c r="T445" s="124">
        <f t="shared" si="183"/>
        <v>620834.64020966168</v>
      </c>
      <c r="U445" s="124">
        <f t="shared" si="184"/>
        <v>1</v>
      </c>
      <c r="V445" s="124">
        <f t="shared" si="185"/>
        <v>0</v>
      </c>
      <c r="W445" s="124">
        <f t="shared" si="186"/>
        <v>1</v>
      </c>
      <c r="X445" s="124">
        <f t="shared" si="187"/>
        <v>1</v>
      </c>
      <c r="Y445" s="124">
        <f t="shared" si="188"/>
        <v>0</v>
      </c>
      <c r="Z445" s="124">
        <f t="shared" si="189"/>
        <v>1</v>
      </c>
      <c r="AA445" s="124">
        <f t="shared" si="166"/>
        <v>6.5070323897935354E-4</v>
      </c>
      <c r="AB445" s="124">
        <f t="shared" si="190"/>
        <v>0</v>
      </c>
      <c r="AC445" s="124">
        <f t="shared" si="191"/>
        <v>0</v>
      </c>
    </row>
    <row r="446" spans="2:29" s="114" customFormat="1">
      <c r="B446" s="115">
        <f t="shared" si="167"/>
        <v>0.87999999999993983</v>
      </c>
      <c r="C446" s="124">
        <f t="shared" si="168"/>
        <v>7.5857757502907868</v>
      </c>
      <c r="D446" s="124">
        <f t="shared" si="169"/>
        <v>34532.891924088719</v>
      </c>
      <c r="E446" s="124">
        <f t="shared" si="170"/>
        <v>1</v>
      </c>
      <c r="F446" s="124">
        <f t="shared" si="171"/>
        <v>1</v>
      </c>
      <c r="G446" s="124">
        <f t="shared" si="172"/>
        <v>35436.809266104952</v>
      </c>
      <c r="H446" s="124">
        <f t="shared" si="173"/>
        <v>1</v>
      </c>
      <c r="I446" s="124">
        <f t="shared" si="174"/>
        <v>1</v>
      </c>
      <c r="J446" s="124">
        <f t="shared" si="175"/>
        <v>1.2592568921689984E-4</v>
      </c>
      <c r="K446" s="124">
        <f t="shared" si="176"/>
        <v>0</v>
      </c>
      <c r="L446" s="124">
        <f t="shared" si="177"/>
        <v>0</v>
      </c>
      <c r="M446" s="120"/>
      <c r="N446" s="132">
        <f t="shared" si="165"/>
        <v>47.662834737786277</v>
      </c>
      <c r="O446" s="124">
        <f t="shared" si="178"/>
        <v>668309.79649021814</v>
      </c>
      <c r="P446" s="124">
        <f t="shared" si="179"/>
        <v>1</v>
      </c>
      <c r="Q446" s="124">
        <f t="shared" si="180"/>
        <v>1</v>
      </c>
      <c r="R446" s="124">
        <f t="shared" si="181"/>
        <v>550865.2821087176</v>
      </c>
      <c r="S446" s="124">
        <f t="shared" si="182"/>
        <v>307356.92999879608</v>
      </c>
      <c r="T446" s="124">
        <f t="shared" si="183"/>
        <v>630809.67133597587</v>
      </c>
      <c r="U446" s="124">
        <f t="shared" si="184"/>
        <v>1</v>
      </c>
      <c r="V446" s="124">
        <f t="shared" si="185"/>
        <v>0</v>
      </c>
      <c r="W446" s="124">
        <f t="shared" si="186"/>
        <v>1</v>
      </c>
      <c r="X446" s="124">
        <f t="shared" si="187"/>
        <v>1</v>
      </c>
      <c r="Y446" s="124">
        <f t="shared" si="188"/>
        <v>0</v>
      </c>
      <c r="Z446" s="124">
        <f t="shared" si="189"/>
        <v>1</v>
      </c>
      <c r="AA446" s="124">
        <f t="shared" si="166"/>
        <v>6.2898052648828267E-4</v>
      </c>
      <c r="AB446" s="124">
        <f t="shared" si="190"/>
        <v>0</v>
      </c>
      <c r="AC446" s="124">
        <f t="shared" si="191"/>
        <v>0</v>
      </c>
    </row>
    <row r="447" spans="2:29" s="114" customFormat="1">
      <c r="B447" s="115">
        <f t="shared" si="167"/>
        <v>0.89999999999993985</v>
      </c>
      <c r="C447" s="124">
        <f t="shared" si="168"/>
        <v>7.9432823472417171</v>
      </c>
      <c r="D447" s="124">
        <f t="shared" si="169"/>
        <v>33806.171352929123</v>
      </c>
      <c r="E447" s="124">
        <f t="shared" si="170"/>
        <v>1</v>
      </c>
      <c r="F447" s="124">
        <f t="shared" si="171"/>
        <v>1</v>
      </c>
      <c r="G447" s="124">
        <f t="shared" si="172"/>
        <v>34788.196049229431</v>
      </c>
      <c r="H447" s="124">
        <f t="shared" si="173"/>
        <v>1</v>
      </c>
      <c r="I447" s="124">
        <f t="shared" si="174"/>
        <v>1</v>
      </c>
      <c r="J447" s="124">
        <f t="shared" si="175"/>
        <v>1.546521172117849E-4</v>
      </c>
      <c r="K447" s="124">
        <f t="shared" si="176"/>
        <v>0</v>
      </c>
      <c r="L447" s="124">
        <f t="shared" si="177"/>
        <v>0</v>
      </c>
      <c r="M447" s="120"/>
      <c r="N447" s="132">
        <f t="shared" si="165"/>
        <v>49.90911493496813</v>
      </c>
      <c r="O447" s="124">
        <f t="shared" si="178"/>
        <v>678312.90984709887</v>
      </c>
      <c r="P447" s="124">
        <f t="shared" si="179"/>
        <v>1</v>
      </c>
      <c r="Q447" s="124">
        <f t="shared" si="180"/>
        <v>1</v>
      </c>
      <c r="R447" s="124">
        <f t="shared" si="181"/>
        <v>559795.15515629633</v>
      </c>
      <c r="S447" s="124">
        <f t="shared" si="182"/>
        <v>312536.03175247519</v>
      </c>
      <c r="T447" s="124">
        <f t="shared" si="183"/>
        <v>641131.33356594422</v>
      </c>
      <c r="U447" s="124">
        <f t="shared" si="184"/>
        <v>1</v>
      </c>
      <c r="V447" s="124">
        <f t="shared" si="185"/>
        <v>0</v>
      </c>
      <c r="W447" s="124">
        <f t="shared" si="186"/>
        <v>1</v>
      </c>
      <c r="X447" s="124">
        <f t="shared" si="187"/>
        <v>1</v>
      </c>
      <c r="Y447" s="124">
        <f t="shared" si="188"/>
        <v>0</v>
      </c>
      <c r="Z447" s="124">
        <f t="shared" si="189"/>
        <v>1</v>
      </c>
      <c r="AA447" s="124">
        <f t="shared" si="166"/>
        <v>5.9942122523274765E-4</v>
      </c>
      <c r="AB447" s="124">
        <f t="shared" si="190"/>
        <v>0</v>
      </c>
      <c r="AC447" s="124">
        <f t="shared" si="191"/>
        <v>0</v>
      </c>
    </row>
    <row r="448" spans="2:29" s="114" customFormat="1">
      <c r="B448" s="115">
        <f t="shared" si="167"/>
        <v>0.91999999999993987</v>
      </c>
      <c r="C448" s="124">
        <f t="shared" si="168"/>
        <v>8.3176377110255579</v>
      </c>
      <c r="D448" s="124">
        <f t="shared" si="169"/>
        <v>33096.181071138795</v>
      </c>
      <c r="E448" s="124">
        <f t="shared" si="170"/>
        <v>1</v>
      </c>
      <c r="F448" s="124">
        <f t="shared" si="171"/>
        <v>1</v>
      </c>
      <c r="G448" s="124">
        <f t="shared" si="172"/>
        <v>34136.994027714405</v>
      </c>
      <c r="H448" s="124">
        <f t="shared" si="173"/>
        <v>1</v>
      </c>
      <c r="I448" s="124">
        <f t="shared" si="174"/>
        <v>1</v>
      </c>
      <c r="J448" s="124">
        <f t="shared" si="175"/>
        <v>1.8083235745523348E-4</v>
      </c>
      <c r="K448" s="124">
        <f t="shared" si="176"/>
        <v>0</v>
      </c>
      <c r="L448" s="124">
        <f t="shared" si="177"/>
        <v>0</v>
      </c>
      <c r="M448" s="120"/>
      <c r="N448" s="132">
        <f t="shared" si="165"/>
        <v>52.261259056358632</v>
      </c>
      <c r="O448" s="124">
        <f t="shared" si="178"/>
        <v>688401.14217299304</v>
      </c>
      <c r="P448" s="124">
        <f t="shared" si="179"/>
        <v>1</v>
      </c>
      <c r="Q448" s="124">
        <f t="shared" si="180"/>
        <v>1</v>
      </c>
      <c r="R448" s="124">
        <f t="shared" si="181"/>
        <v>569093.86212367169</v>
      </c>
      <c r="S448" s="124">
        <f t="shared" si="182"/>
        <v>317755.75830414734</v>
      </c>
      <c r="T448" s="124">
        <f t="shared" si="183"/>
        <v>651794.86484804424</v>
      </c>
      <c r="U448" s="124">
        <f t="shared" si="184"/>
        <v>1</v>
      </c>
      <c r="V448" s="124">
        <f t="shared" si="185"/>
        <v>0</v>
      </c>
      <c r="W448" s="124">
        <f t="shared" si="186"/>
        <v>1</v>
      </c>
      <c r="X448" s="124">
        <f t="shared" si="187"/>
        <v>1</v>
      </c>
      <c r="Y448" s="124">
        <f t="shared" si="188"/>
        <v>0</v>
      </c>
      <c r="Z448" s="124">
        <f t="shared" si="189"/>
        <v>1</v>
      </c>
      <c r="AA448" s="124">
        <f t="shared" si="166"/>
        <v>5.6314363839863593E-4</v>
      </c>
      <c r="AB448" s="124">
        <f t="shared" si="190"/>
        <v>0</v>
      </c>
      <c r="AC448" s="124">
        <f t="shared" si="191"/>
        <v>0</v>
      </c>
    </row>
    <row r="449" spans="2:29" s="114" customFormat="1">
      <c r="B449" s="115">
        <f t="shared" si="167"/>
        <v>0.93999999999993988</v>
      </c>
      <c r="C449" s="124">
        <f t="shared" si="168"/>
        <v>8.7096358995596024</v>
      </c>
      <c r="D449" s="124">
        <f t="shared" si="169"/>
        <v>32402.546539973551</v>
      </c>
      <c r="E449" s="124">
        <f t="shared" si="170"/>
        <v>1</v>
      </c>
      <c r="F449" s="124">
        <f t="shared" si="171"/>
        <v>1</v>
      </c>
      <c r="G449" s="124">
        <f t="shared" si="172"/>
        <v>33482.988112349703</v>
      </c>
      <c r="H449" s="124">
        <f t="shared" si="173"/>
        <v>1</v>
      </c>
      <c r="I449" s="124">
        <f t="shared" si="174"/>
        <v>1</v>
      </c>
      <c r="J449" s="124">
        <f t="shared" si="175"/>
        <v>2.0292189375616595E-4</v>
      </c>
      <c r="K449" s="124">
        <f t="shared" si="176"/>
        <v>0</v>
      </c>
      <c r="L449" s="124">
        <f t="shared" si="177"/>
        <v>0</v>
      </c>
      <c r="M449" s="120"/>
      <c r="N449" s="132">
        <f t="shared" si="165"/>
        <v>54.724256314996751</v>
      </c>
      <c r="O449" s="124">
        <f t="shared" si="178"/>
        <v>698573.8433151315</v>
      </c>
      <c r="P449" s="124">
        <f t="shared" si="179"/>
        <v>1</v>
      </c>
      <c r="Q449" s="124">
        <f t="shared" si="180"/>
        <v>1</v>
      </c>
      <c r="R449" s="124">
        <f t="shared" si="181"/>
        <v>578770.25497886527</v>
      </c>
      <c r="S449" s="124">
        <f t="shared" si="182"/>
        <v>322981.92114737094</v>
      </c>
      <c r="T449" s="124">
        <f t="shared" si="183"/>
        <v>662791.31665732258</v>
      </c>
      <c r="U449" s="124">
        <f t="shared" si="184"/>
        <v>1</v>
      </c>
      <c r="V449" s="124">
        <f t="shared" si="185"/>
        <v>0</v>
      </c>
      <c r="W449" s="124">
        <f t="shared" si="186"/>
        <v>1</v>
      </c>
      <c r="X449" s="124">
        <f t="shared" si="187"/>
        <v>1</v>
      </c>
      <c r="Y449" s="124">
        <f t="shared" si="188"/>
        <v>0</v>
      </c>
      <c r="Z449" s="124">
        <f t="shared" si="189"/>
        <v>1</v>
      </c>
      <c r="AA449" s="124">
        <f t="shared" si="166"/>
        <v>5.214605310877022E-4</v>
      </c>
      <c r="AB449" s="124">
        <f t="shared" si="190"/>
        <v>0</v>
      </c>
      <c r="AC449" s="124">
        <f t="shared" si="191"/>
        <v>0</v>
      </c>
    </row>
    <row r="450" spans="2:29" s="114" customFormat="1">
      <c r="B450" s="115">
        <f t="shared" si="167"/>
        <v>0.9599999999999399</v>
      </c>
      <c r="C450" s="124">
        <f t="shared" si="168"/>
        <v>9.1201083935578389</v>
      </c>
      <c r="D450" s="124">
        <f t="shared" si="169"/>
        <v>31724.900481547651</v>
      </c>
      <c r="E450" s="124">
        <f t="shared" si="170"/>
        <v>1</v>
      </c>
      <c r="F450" s="124">
        <f t="shared" si="171"/>
        <v>1</v>
      </c>
      <c r="G450" s="124">
        <f t="shared" si="172"/>
        <v>32826.259204555972</v>
      </c>
      <c r="H450" s="124">
        <f t="shared" si="173"/>
        <v>1</v>
      </c>
      <c r="I450" s="124">
        <f t="shared" si="174"/>
        <v>1</v>
      </c>
      <c r="J450" s="124">
        <f t="shared" si="175"/>
        <v>2.1966577748037686E-4</v>
      </c>
      <c r="K450" s="124">
        <f t="shared" si="176"/>
        <v>0</v>
      </c>
      <c r="L450" s="124">
        <f t="shared" si="177"/>
        <v>0</v>
      </c>
      <c r="M450" s="120"/>
      <c r="N450" s="132">
        <f t="shared" si="165"/>
        <v>57.303331058287831</v>
      </c>
      <c r="O450" s="124">
        <f t="shared" si="178"/>
        <v>708830.33738166292</v>
      </c>
      <c r="P450" s="124">
        <f t="shared" si="179"/>
        <v>1</v>
      </c>
      <c r="Q450" s="124">
        <f t="shared" si="180"/>
        <v>1</v>
      </c>
      <c r="R450" s="124">
        <f t="shared" si="181"/>
        <v>588829.10037826793</v>
      </c>
      <c r="S450" s="124">
        <f t="shared" si="182"/>
        <v>328178.61257526185</v>
      </c>
      <c r="T450" s="124">
        <f t="shared" si="183"/>
        <v>674107.49232159124</v>
      </c>
      <c r="U450" s="124">
        <f t="shared" si="184"/>
        <v>1</v>
      </c>
      <c r="V450" s="124">
        <f t="shared" si="185"/>
        <v>0</v>
      </c>
      <c r="W450" s="124">
        <f t="shared" si="186"/>
        <v>1</v>
      </c>
      <c r="X450" s="124">
        <f t="shared" si="187"/>
        <v>1</v>
      </c>
      <c r="Y450" s="124">
        <f t="shared" si="188"/>
        <v>0</v>
      </c>
      <c r="Z450" s="124">
        <f t="shared" si="189"/>
        <v>1</v>
      </c>
      <c r="AA450" s="124">
        <f t="shared" si="166"/>
        <v>4.7581319172604694E-4</v>
      </c>
      <c r="AB450" s="124">
        <f t="shared" si="190"/>
        <v>0</v>
      </c>
      <c r="AC450" s="124">
        <f t="shared" si="191"/>
        <v>0</v>
      </c>
    </row>
    <row r="451" spans="2:29" s="114" customFormat="1">
      <c r="B451" s="115">
        <f t="shared" si="167"/>
        <v>0.97999999999993992</v>
      </c>
      <c r="C451" s="124">
        <f t="shared" si="168"/>
        <v>9.5499258602130404</v>
      </c>
      <c r="D451" s="124">
        <f t="shared" si="169"/>
        <v>31062.882793317807</v>
      </c>
      <c r="E451" s="124">
        <f t="shared" si="170"/>
        <v>1</v>
      </c>
      <c r="F451" s="124">
        <f t="shared" si="171"/>
        <v>1</v>
      </c>
      <c r="G451" s="124">
        <f t="shared" si="172"/>
        <v>32167.151808257044</v>
      </c>
      <c r="H451" s="124">
        <f t="shared" si="173"/>
        <v>1</v>
      </c>
      <c r="I451" s="124">
        <f t="shared" si="174"/>
        <v>1</v>
      </c>
      <c r="J451" s="124">
        <f t="shared" si="175"/>
        <v>2.3015470975170469E-4</v>
      </c>
      <c r="K451" s="124">
        <f t="shared" si="176"/>
        <v>0</v>
      </c>
      <c r="L451" s="124">
        <f t="shared" si="177"/>
        <v>0</v>
      </c>
      <c r="M451" s="120"/>
      <c r="N451" s="132">
        <f t="shared" si="165"/>
        <v>60.003953849544949</v>
      </c>
      <c r="O451" s="124">
        <f t="shared" si="178"/>
        <v>719169.92298662663</v>
      </c>
      <c r="P451" s="124">
        <f t="shared" si="179"/>
        <v>1</v>
      </c>
      <c r="Q451" s="124">
        <f t="shared" si="180"/>
        <v>1</v>
      </c>
      <c r="R451" s="124">
        <f t="shared" si="181"/>
        <v>599270.73358459061</v>
      </c>
      <c r="S451" s="124">
        <f t="shared" si="182"/>
        <v>333308.69440047117</v>
      </c>
      <c r="T451" s="124">
        <f t="shared" si="183"/>
        <v>685725.96413870761</v>
      </c>
      <c r="U451" s="124">
        <f t="shared" si="184"/>
        <v>1</v>
      </c>
      <c r="V451" s="124">
        <f t="shared" si="185"/>
        <v>0</v>
      </c>
      <c r="W451" s="124">
        <f t="shared" si="186"/>
        <v>1</v>
      </c>
      <c r="X451" s="124">
        <f t="shared" si="187"/>
        <v>1</v>
      </c>
      <c r="Y451" s="124">
        <f t="shared" si="188"/>
        <v>0</v>
      </c>
      <c r="Z451" s="124">
        <f t="shared" si="189"/>
        <v>1</v>
      </c>
      <c r="AA451" s="124">
        <f t="shared" si="166"/>
        <v>4.2770054821800863E-4</v>
      </c>
      <c r="AB451" s="124">
        <f t="shared" si="190"/>
        <v>0</v>
      </c>
      <c r="AC451" s="124">
        <f t="shared" si="191"/>
        <v>0</v>
      </c>
    </row>
    <row r="452" spans="2:29" s="114" customFormat="1">
      <c r="B452" s="115">
        <f t="shared" si="167"/>
        <v>0.99999999999993994</v>
      </c>
      <c r="C452" s="124">
        <f t="shared" si="168"/>
        <v>9.9999999999986215</v>
      </c>
      <c r="D452" s="124">
        <f t="shared" si="169"/>
        <v>30416.140461108978</v>
      </c>
      <c r="E452" s="124">
        <f t="shared" si="170"/>
        <v>1</v>
      </c>
      <c r="F452" s="124">
        <f t="shared" si="171"/>
        <v>1</v>
      </c>
      <c r="G452" s="124">
        <f t="shared" si="172"/>
        <v>31506.240947191352</v>
      </c>
      <c r="H452" s="124">
        <f t="shared" si="173"/>
        <v>1</v>
      </c>
      <c r="I452" s="124">
        <f t="shared" si="174"/>
        <v>1</v>
      </c>
      <c r="J452" s="124">
        <f t="shared" si="175"/>
        <v>2.3386009459399986E-4</v>
      </c>
      <c r="K452" s="124">
        <f t="shared" si="176"/>
        <v>0</v>
      </c>
      <c r="L452" s="124">
        <f t="shared" si="177"/>
        <v>0</v>
      </c>
      <c r="M452" s="120"/>
      <c r="N452" s="132">
        <f t="shared" si="165"/>
        <v>62.831853071787201</v>
      </c>
      <c r="O452" s="124">
        <f t="shared" si="178"/>
        <v>729591.87351164129</v>
      </c>
      <c r="P452" s="124">
        <f t="shared" si="179"/>
        <v>1</v>
      </c>
      <c r="Q452" s="124">
        <f t="shared" si="180"/>
        <v>1</v>
      </c>
      <c r="R452" s="124">
        <f t="shared" si="181"/>
        <v>610090.76938292012</v>
      </c>
      <c r="S452" s="124">
        <f t="shared" si="182"/>
        <v>338334.3619899968</v>
      </c>
      <c r="T452" s="124">
        <f t="shared" si="183"/>
        <v>697625.17686034064</v>
      </c>
      <c r="U452" s="124">
        <f t="shared" si="184"/>
        <v>1</v>
      </c>
      <c r="V452" s="124">
        <f t="shared" si="185"/>
        <v>0</v>
      </c>
      <c r="W452" s="124">
        <f t="shared" si="186"/>
        <v>1</v>
      </c>
      <c r="X452" s="124">
        <f t="shared" si="187"/>
        <v>1</v>
      </c>
      <c r="Y452" s="124">
        <f t="shared" si="188"/>
        <v>0</v>
      </c>
      <c r="Z452" s="124">
        <f t="shared" si="189"/>
        <v>1</v>
      </c>
      <c r="AA452" s="124">
        <f t="shared" si="166"/>
        <v>3.786076298606564E-4</v>
      </c>
      <c r="AB452" s="124">
        <f t="shared" si="190"/>
        <v>0</v>
      </c>
      <c r="AC452" s="124">
        <f t="shared" si="191"/>
        <v>0</v>
      </c>
    </row>
    <row r="453" spans="2:29" s="114" customFormat="1">
      <c r="B453" s="115">
        <f t="shared" si="167"/>
        <v>1.0199999999999398</v>
      </c>
      <c r="C453" s="124">
        <f t="shared" si="168"/>
        <v>10.47128548050755</v>
      </c>
      <c r="D453" s="124">
        <f t="shared" si="169"/>
        <v>29784.327470815526</v>
      </c>
      <c r="E453" s="124">
        <f t="shared" si="170"/>
        <v>1</v>
      </c>
      <c r="F453" s="124">
        <f t="shared" si="171"/>
        <v>1</v>
      </c>
      <c r="G453" s="124">
        <f t="shared" si="172"/>
        <v>30844.299543665889</v>
      </c>
      <c r="H453" s="124">
        <f t="shared" si="173"/>
        <v>1</v>
      </c>
      <c r="I453" s="124">
        <f t="shared" si="174"/>
        <v>1</v>
      </c>
      <c r="J453" s="124">
        <f t="shared" si="175"/>
        <v>2.3064842933772425E-4</v>
      </c>
      <c r="K453" s="124">
        <f t="shared" si="176"/>
        <v>0</v>
      </c>
      <c r="L453" s="124">
        <f t="shared" si="177"/>
        <v>0</v>
      </c>
      <c r="M453" s="120"/>
      <c r="N453" s="132">
        <f t="shared" si="165"/>
        <v>65.793027078407974</v>
      </c>
      <c r="O453" s="124">
        <f t="shared" si="178"/>
        <v>740095.4373840132</v>
      </c>
      <c r="P453" s="124">
        <f t="shared" si="179"/>
        <v>1</v>
      </c>
      <c r="Q453" s="124">
        <f t="shared" si="180"/>
        <v>1</v>
      </c>
      <c r="R453" s="124">
        <f t="shared" si="181"/>
        <v>621279.88752399338</v>
      </c>
      <c r="S453" s="124">
        <f t="shared" si="182"/>
        <v>343217.77772234665</v>
      </c>
      <c r="T453" s="124">
        <f t="shared" si="183"/>
        <v>709779.64297836274</v>
      </c>
      <c r="U453" s="124">
        <f t="shared" si="184"/>
        <v>1</v>
      </c>
      <c r="V453" s="124">
        <f t="shared" si="185"/>
        <v>0</v>
      </c>
      <c r="W453" s="124">
        <f t="shared" si="186"/>
        <v>1</v>
      </c>
      <c r="X453" s="124">
        <f t="shared" si="187"/>
        <v>1</v>
      </c>
      <c r="Y453" s="124">
        <f t="shared" si="188"/>
        <v>0</v>
      </c>
      <c r="Z453" s="124">
        <f t="shared" si="189"/>
        <v>1</v>
      </c>
      <c r="AA453" s="124">
        <f t="shared" si="166"/>
        <v>3.2993770904311289E-4</v>
      </c>
      <c r="AB453" s="124">
        <f t="shared" si="190"/>
        <v>0</v>
      </c>
      <c r="AC453" s="124">
        <f t="shared" si="191"/>
        <v>0</v>
      </c>
    </row>
    <row r="454" spans="2:29" s="114" customFormat="1">
      <c r="B454" s="115">
        <f t="shared" si="167"/>
        <v>1.0399999999999399</v>
      </c>
      <c r="C454" s="124">
        <f t="shared" si="168"/>
        <v>10.964781961430335</v>
      </c>
      <c r="D454" s="124">
        <f t="shared" si="169"/>
        <v>29167.104718903352</v>
      </c>
      <c r="E454" s="124">
        <f t="shared" si="170"/>
        <v>1</v>
      </c>
      <c r="F454" s="124">
        <f t="shared" si="171"/>
        <v>1</v>
      </c>
      <c r="G454" s="124">
        <f t="shared" si="172"/>
        <v>30182.267126226161</v>
      </c>
      <c r="H454" s="124">
        <f t="shared" si="173"/>
        <v>1</v>
      </c>
      <c r="I454" s="124">
        <f t="shared" si="174"/>
        <v>1</v>
      </c>
      <c r="J454" s="124">
        <f t="shared" si="175"/>
        <v>2.2077613927058891E-4</v>
      </c>
      <c r="K454" s="124">
        <f t="shared" si="176"/>
        <v>0</v>
      </c>
      <c r="L454" s="124">
        <f t="shared" si="177"/>
        <v>0</v>
      </c>
      <c r="M454" s="120"/>
      <c r="N454" s="132">
        <f t="shared" si="165"/>
        <v>68.893756916486851</v>
      </c>
      <c r="O454" s="124">
        <f t="shared" si="178"/>
        <v>750679.83837100619</v>
      </c>
      <c r="P454" s="124">
        <f t="shared" si="179"/>
        <v>1</v>
      </c>
      <c r="Q454" s="124">
        <f t="shared" si="180"/>
        <v>1</v>
      </c>
      <c r="R454" s="124">
        <f t="shared" si="181"/>
        <v>632823.70993795909</v>
      </c>
      <c r="S454" s="124">
        <f t="shared" si="182"/>
        <v>347921.7636466808</v>
      </c>
      <c r="T454" s="124">
        <f t="shared" si="183"/>
        <v>722160.23255137715</v>
      </c>
      <c r="U454" s="124">
        <f t="shared" si="184"/>
        <v>1</v>
      </c>
      <c r="V454" s="124">
        <f t="shared" si="185"/>
        <v>0</v>
      </c>
      <c r="W454" s="124">
        <f t="shared" si="186"/>
        <v>1</v>
      </c>
      <c r="X454" s="124">
        <f t="shared" si="187"/>
        <v>1</v>
      </c>
      <c r="Y454" s="124">
        <f t="shared" si="188"/>
        <v>0</v>
      </c>
      <c r="Z454" s="124">
        <f t="shared" si="189"/>
        <v>1</v>
      </c>
      <c r="AA454" s="124">
        <f t="shared" si="166"/>
        <v>2.8295218113809297E-4</v>
      </c>
      <c r="AB454" s="124">
        <f t="shared" si="190"/>
        <v>0</v>
      </c>
      <c r="AC454" s="124">
        <f t="shared" si="191"/>
        <v>0</v>
      </c>
    </row>
    <row r="455" spans="2:29" s="114" customFormat="1">
      <c r="B455" s="115">
        <f t="shared" si="167"/>
        <v>1.0599999999999399</v>
      </c>
      <c r="C455" s="124">
        <f t="shared" si="168"/>
        <v>11.481536214967242</v>
      </c>
      <c r="D455" s="124">
        <f t="shared" si="169"/>
        <v>28564.1399218406</v>
      </c>
      <c r="E455" s="124">
        <f t="shared" si="170"/>
        <v>1</v>
      </c>
      <c r="F455" s="124">
        <f t="shared" si="171"/>
        <v>1</v>
      </c>
      <c r="G455" s="124">
        <f t="shared" si="172"/>
        <v>29521.220433192015</v>
      </c>
      <c r="H455" s="124">
        <f t="shared" si="173"/>
        <v>1</v>
      </c>
      <c r="I455" s="124">
        <f t="shared" si="174"/>
        <v>1</v>
      </c>
      <c r="J455" s="124">
        <f t="shared" si="175"/>
        <v>2.0486642987267264E-4</v>
      </c>
      <c r="K455" s="124">
        <f t="shared" si="176"/>
        <v>0</v>
      </c>
      <c r="L455" s="124">
        <f t="shared" si="177"/>
        <v>0</v>
      </c>
      <c r="M455" s="120"/>
      <c r="N455" s="132">
        <f t="shared" si="165"/>
        <v>72.1406196497325</v>
      </c>
      <c r="O455" s="124">
        <f t="shared" si="178"/>
        <v>761344.27588992624</v>
      </c>
      <c r="P455" s="124">
        <f t="shared" si="179"/>
        <v>1</v>
      </c>
      <c r="Q455" s="124">
        <f t="shared" si="180"/>
        <v>1</v>
      </c>
      <c r="R455" s="124">
        <f t="shared" si="181"/>
        <v>644702.78554484807</v>
      </c>
      <c r="S455" s="124">
        <f t="shared" si="182"/>
        <v>352410.53864935989</v>
      </c>
      <c r="T455" s="124">
        <f t="shared" si="183"/>
        <v>734734.5571295924</v>
      </c>
      <c r="U455" s="124">
        <f t="shared" si="184"/>
        <v>1</v>
      </c>
      <c r="V455" s="124">
        <f t="shared" si="185"/>
        <v>0</v>
      </c>
      <c r="W455" s="124">
        <f t="shared" si="186"/>
        <v>1</v>
      </c>
      <c r="X455" s="124">
        <f t="shared" si="187"/>
        <v>1</v>
      </c>
      <c r="Y455" s="124">
        <f t="shared" si="188"/>
        <v>0</v>
      </c>
      <c r="Z455" s="124">
        <f t="shared" si="189"/>
        <v>1</v>
      </c>
      <c r="AA455" s="124">
        <f t="shared" si="166"/>
        <v>2.3872166347063686E-4</v>
      </c>
      <c r="AB455" s="124">
        <f t="shared" si="190"/>
        <v>0</v>
      </c>
      <c r="AC455" s="124">
        <f t="shared" si="191"/>
        <v>0</v>
      </c>
    </row>
    <row r="456" spans="2:29" s="114" customFormat="1">
      <c r="B456" s="115">
        <f t="shared" si="167"/>
        <v>1.0799999999999399</v>
      </c>
      <c r="C456" s="124">
        <f t="shared" si="168"/>
        <v>12.022644346172468</v>
      </c>
      <c r="D456" s="124">
        <f t="shared" si="169"/>
        <v>27975.107524575473</v>
      </c>
      <c r="E456" s="124">
        <f t="shared" si="170"/>
        <v>1</v>
      </c>
      <c r="F456" s="124">
        <f t="shared" si="171"/>
        <v>1</v>
      </c>
      <c r="G456" s="124">
        <f t="shared" si="172"/>
        <v>28862.346194116577</v>
      </c>
      <c r="H456" s="124">
        <f t="shared" si="173"/>
        <v>1</v>
      </c>
      <c r="I456" s="124">
        <f t="shared" si="174"/>
        <v>1</v>
      </c>
      <c r="J456" s="124">
        <f t="shared" si="175"/>
        <v>1.83869997131301E-4</v>
      </c>
      <c r="K456" s="124">
        <f t="shared" si="176"/>
        <v>0</v>
      </c>
      <c r="L456" s="124">
        <f t="shared" si="177"/>
        <v>0</v>
      </c>
      <c r="M456" s="120"/>
      <c r="N456" s="132">
        <f t="shared" si="165"/>
        <v>75.540502309316579</v>
      </c>
      <c r="O456" s="124">
        <f t="shared" si="178"/>
        <v>772087.92533371586</v>
      </c>
      <c r="P456" s="124">
        <f t="shared" si="179"/>
        <v>1</v>
      </c>
      <c r="Q456" s="124">
        <f t="shared" si="180"/>
        <v>1</v>
      </c>
      <c r="R456" s="124">
        <f t="shared" si="181"/>
        <v>656892.69584561978</v>
      </c>
      <c r="S456" s="124">
        <f t="shared" si="182"/>
        <v>356650.48112774745</v>
      </c>
      <c r="T456" s="124">
        <f t="shared" si="183"/>
        <v>747467.44380205602</v>
      </c>
      <c r="U456" s="124">
        <f t="shared" si="184"/>
        <v>1</v>
      </c>
      <c r="V456" s="124">
        <f t="shared" si="185"/>
        <v>0</v>
      </c>
      <c r="W456" s="124">
        <f t="shared" si="186"/>
        <v>1</v>
      </c>
      <c r="X456" s="124">
        <f t="shared" si="187"/>
        <v>1</v>
      </c>
      <c r="Y456" s="124">
        <f t="shared" si="188"/>
        <v>0</v>
      </c>
      <c r="Z456" s="124">
        <f t="shared" si="189"/>
        <v>1</v>
      </c>
      <c r="AA456" s="124">
        <f t="shared" si="166"/>
        <v>1.980909597013344E-4</v>
      </c>
      <c r="AB456" s="124">
        <f t="shared" si="190"/>
        <v>0</v>
      </c>
      <c r="AC456" s="124">
        <f t="shared" si="191"/>
        <v>0</v>
      </c>
    </row>
    <row r="457" spans="2:29" s="114" customFormat="1">
      <c r="B457" s="115">
        <f t="shared" si="167"/>
        <v>1.0999999999999399</v>
      </c>
      <c r="C457" s="124">
        <f t="shared" si="168"/>
        <v>12.589254117939936</v>
      </c>
      <c r="D457" s="124">
        <f t="shared" si="169"/>
        <v>27399.68860817908</v>
      </c>
      <c r="E457" s="124">
        <f t="shared" si="170"/>
        <v>1</v>
      </c>
      <c r="F457" s="124">
        <f t="shared" si="171"/>
        <v>1</v>
      </c>
      <c r="G457" s="124">
        <f t="shared" si="172"/>
        <v>28206.916124774216</v>
      </c>
      <c r="H457" s="124">
        <f t="shared" si="173"/>
        <v>1</v>
      </c>
      <c r="I457" s="124">
        <f t="shared" si="174"/>
        <v>1</v>
      </c>
      <c r="J457" s="124">
        <f t="shared" si="175"/>
        <v>1.5901159440343511E-4</v>
      </c>
      <c r="K457" s="124">
        <f t="shared" si="176"/>
        <v>0</v>
      </c>
      <c r="L457" s="124">
        <f t="shared" si="177"/>
        <v>0</v>
      </c>
      <c r="M457" s="120"/>
      <c r="N457" s="132">
        <f t="shared" si="165"/>
        <v>79.100616502190306</v>
      </c>
      <c r="O457" s="124">
        <f t="shared" si="178"/>
        <v>782909.93841170997</v>
      </c>
      <c r="P457" s="124">
        <f t="shared" si="179"/>
        <v>1</v>
      </c>
      <c r="Q457" s="124">
        <f t="shared" si="180"/>
        <v>1</v>
      </c>
      <c r="R457" s="124">
        <f t="shared" si="181"/>
        <v>669364.29061021307</v>
      </c>
      <c r="S457" s="124">
        <f t="shared" si="182"/>
        <v>360610.89439281804</v>
      </c>
      <c r="T457" s="124">
        <f t="shared" si="183"/>
        <v>760321.49167237279</v>
      </c>
      <c r="U457" s="124">
        <f t="shared" si="184"/>
        <v>1</v>
      </c>
      <c r="V457" s="124">
        <f t="shared" si="185"/>
        <v>0</v>
      </c>
      <c r="W457" s="124">
        <f t="shared" si="186"/>
        <v>1</v>
      </c>
      <c r="X457" s="124">
        <f t="shared" si="187"/>
        <v>1</v>
      </c>
      <c r="Y457" s="124">
        <f t="shared" si="188"/>
        <v>0</v>
      </c>
      <c r="Z457" s="124">
        <f t="shared" si="189"/>
        <v>1</v>
      </c>
      <c r="AA457" s="124">
        <f t="shared" si="166"/>
        <v>1.616595133699359E-4</v>
      </c>
      <c r="AB457" s="124">
        <f t="shared" si="190"/>
        <v>0</v>
      </c>
      <c r="AC457" s="124">
        <f t="shared" si="191"/>
        <v>0</v>
      </c>
    </row>
    <row r="458" spans="2:29" s="114" customFormat="1">
      <c r="B458" s="115">
        <f t="shared" si="167"/>
        <v>1.1199999999999399</v>
      </c>
      <c r="C458" s="124">
        <f t="shared" si="168"/>
        <v>13.182567385562249</v>
      </c>
      <c r="D458" s="124">
        <f t="shared" si="169"/>
        <v>26837.570796764448</v>
      </c>
      <c r="E458" s="124">
        <f t="shared" si="170"/>
        <v>1</v>
      </c>
      <c r="F458" s="124">
        <f t="shared" si="171"/>
        <v>1</v>
      </c>
      <c r="G458" s="124">
        <f t="shared" si="172"/>
        <v>27556.263979252319</v>
      </c>
      <c r="H458" s="124">
        <f t="shared" si="173"/>
        <v>1</v>
      </c>
      <c r="I458" s="124">
        <f t="shared" si="174"/>
        <v>1</v>
      </c>
      <c r="J458" s="124">
        <f t="shared" si="175"/>
        <v>1.3172459073345524E-4</v>
      </c>
      <c r="K458" s="124">
        <f t="shared" si="176"/>
        <v>0</v>
      </c>
      <c r="L458" s="124">
        <f t="shared" si="177"/>
        <v>0</v>
      </c>
      <c r="M458" s="120"/>
      <c r="N458" s="132">
        <f t="shared" si="165"/>
        <v>82.828513707869533</v>
      </c>
      <c r="O458" s="124">
        <f t="shared" si="178"/>
        <v>793809.4435051881</v>
      </c>
      <c r="P458" s="124">
        <f t="shared" si="179"/>
        <v>1</v>
      </c>
      <c r="Q458" s="124">
        <f t="shared" si="180"/>
        <v>1</v>
      </c>
      <c r="R458" s="124">
        <f t="shared" si="181"/>
        <v>682084.05800018716</v>
      </c>
      <c r="S458" s="124">
        <f t="shared" si="182"/>
        <v>364264.74914279964</v>
      </c>
      <c r="T458" s="124">
        <f t="shared" si="183"/>
        <v>773257.69937716716</v>
      </c>
      <c r="U458" s="124">
        <f t="shared" si="184"/>
        <v>1</v>
      </c>
      <c r="V458" s="124">
        <f t="shared" si="185"/>
        <v>0</v>
      </c>
      <c r="W458" s="124">
        <f t="shared" si="186"/>
        <v>1</v>
      </c>
      <c r="X458" s="124">
        <f t="shared" si="187"/>
        <v>1</v>
      </c>
      <c r="Y458" s="124">
        <f t="shared" si="188"/>
        <v>0</v>
      </c>
      <c r="Z458" s="124">
        <f t="shared" si="189"/>
        <v>1</v>
      </c>
      <c r="AA458" s="124">
        <f t="shared" si="166"/>
        <v>1.2977785001602865E-4</v>
      </c>
      <c r="AB458" s="124">
        <f t="shared" si="190"/>
        <v>0</v>
      </c>
      <c r="AC458" s="124">
        <f t="shared" si="191"/>
        <v>0</v>
      </c>
    </row>
    <row r="459" spans="2:29" s="114" customFormat="1">
      <c r="B459" s="115">
        <f t="shared" si="167"/>
        <v>1.13999999999994</v>
      </c>
      <c r="C459" s="124">
        <f t="shared" si="168"/>
        <v>13.803842646026945</v>
      </c>
      <c r="D459" s="124">
        <f t="shared" si="169"/>
        <v>26288.448163792076</v>
      </c>
      <c r="E459" s="124">
        <f t="shared" si="170"/>
        <v>1</v>
      </c>
      <c r="F459" s="124">
        <f t="shared" si="171"/>
        <v>1</v>
      </c>
      <c r="G459" s="124">
        <f t="shared" si="172"/>
        <v>26911.764373323505</v>
      </c>
      <c r="H459" s="124">
        <f t="shared" si="173"/>
        <v>1</v>
      </c>
      <c r="I459" s="124">
        <f t="shared" si="174"/>
        <v>1</v>
      </c>
      <c r="J459" s="124">
        <f t="shared" si="175"/>
        <v>1.0357584109644195E-4</v>
      </c>
      <c r="K459" s="124">
        <f t="shared" si="176"/>
        <v>0</v>
      </c>
      <c r="L459" s="124">
        <f t="shared" si="177"/>
        <v>0</v>
      </c>
      <c r="M459" s="120"/>
      <c r="N459" s="132">
        <f t="shared" si="165"/>
        <v>86.732101296135482</v>
      </c>
      <c r="O459" s="124">
        <f t="shared" si="178"/>
        <v>804785.5460373821</v>
      </c>
      <c r="P459" s="124">
        <f t="shared" si="179"/>
        <v>1</v>
      </c>
      <c r="Q459" s="124">
        <f t="shared" si="180"/>
        <v>1</v>
      </c>
      <c r="R459" s="124">
        <f t="shared" si="181"/>
        <v>695014.62760860857</v>
      </c>
      <c r="S459" s="124">
        <f t="shared" si="182"/>
        <v>367589.37571540533</v>
      </c>
      <c r="T459" s="124">
        <f t="shared" si="183"/>
        <v>786236.14883110928</v>
      </c>
      <c r="U459" s="124">
        <f t="shared" si="184"/>
        <v>1</v>
      </c>
      <c r="V459" s="124">
        <f t="shared" si="185"/>
        <v>0</v>
      </c>
      <c r="W459" s="124">
        <f t="shared" si="186"/>
        <v>1</v>
      </c>
      <c r="X459" s="124">
        <f t="shared" si="187"/>
        <v>1</v>
      </c>
      <c r="Y459" s="124">
        <f t="shared" si="188"/>
        <v>0</v>
      </c>
      <c r="Z459" s="124">
        <f t="shared" si="189"/>
        <v>1</v>
      </c>
      <c r="AA459" s="124">
        <f t="shared" si="166"/>
        <v>1.0255937607147506E-4</v>
      </c>
      <c r="AB459" s="124">
        <f t="shared" si="190"/>
        <v>0</v>
      </c>
      <c r="AC459" s="124">
        <f t="shared" si="191"/>
        <v>0</v>
      </c>
    </row>
    <row r="460" spans="2:29" s="114" customFormat="1">
      <c r="B460" s="115">
        <f t="shared" si="167"/>
        <v>1.15999999999994</v>
      </c>
      <c r="C460" s="124">
        <f t="shared" si="168"/>
        <v>14.454397707457279</v>
      </c>
      <c r="D460" s="124">
        <f t="shared" si="169"/>
        <v>25752.021137865635</v>
      </c>
      <c r="E460" s="124">
        <f t="shared" si="170"/>
        <v>1</v>
      </c>
      <c r="F460" s="124">
        <f t="shared" si="171"/>
        <v>1</v>
      </c>
      <c r="G460" s="124">
        <f t="shared" si="172"/>
        <v>26274.813027148197</v>
      </c>
      <c r="H460" s="124">
        <f t="shared" si="173"/>
        <v>1</v>
      </c>
      <c r="I460" s="124">
        <f t="shared" si="174"/>
        <v>1</v>
      </c>
      <c r="J460" s="124">
        <f t="shared" si="175"/>
        <v>7.6183466918313189E-5</v>
      </c>
      <c r="K460" s="124">
        <f t="shared" si="176"/>
        <v>0</v>
      </c>
      <c r="L460" s="124">
        <f t="shared" si="177"/>
        <v>0</v>
      </c>
      <c r="M460" s="120"/>
      <c r="N460" s="132">
        <f t="shared" si="165"/>
        <v>90.819659299625869</v>
      </c>
      <c r="O460" s="124">
        <f t="shared" si="178"/>
        <v>815837.32885751326</v>
      </c>
      <c r="P460" s="124">
        <f t="shared" si="179"/>
        <v>1</v>
      </c>
      <c r="Q460" s="124">
        <f t="shared" si="180"/>
        <v>1</v>
      </c>
      <c r="R460" s="124">
        <f t="shared" si="181"/>
        <v>708115.39851928991</v>
      </c>
      <c r="S460" s="124">
        <f t="shared" si="182"/>
        <v>370567.07871277299</v>
      </c>
      <c r="T460" s="124">
        <f t="shared" si="183"/>
        <v>799216.72745623335</v>
      </c>
      <c r="U460" s="124">
        <f t="shared" si="184"/>
        <v>1</v>
      </c>
      <c r="V460" s="124">
        <f t="shared" si="185"/>
        <v>0</v>
      </c>
      <c r="W460" s="124">
        <f t="shared" si="186"/>
        <v>1</v>
      </c>
      <c r="X460" s="124">
        <f t="shared" si="187"/>
        <v>1</v>
      </c>
      <c r="Y460" s="124">
        <f t="shared" si="188"/>
        <v>0</v>
      </c>
      <c r="Z460" s="124">
        <f t="shared" si="189"/>
        <v>1</v>
      </c>
      <c r="AA460" s="124">
        <f t="shared" si="166"/>
        <v>7.990585833880261E-5</v>
      </c>
      <c r="AB460" s="124">
        <f t="shared" si="190"/>
        <v>0</v>
      </c>
      <c r="AC460" s="124">
        <f t="shared" si="191"/>
        <v>0</v>
      </c>
    </row>
    <row r="461" spans="2:29" s="114" customFormat="1">
      <c r="B461" s="115">
        <f t="shared" si="167"/>
        <v>1.17999999999994</v>
      </c>
      <c r="C461" s="124">
        <f t="shared" si="168"/>
        <v>15.135612484359996</v>
      </c>
      <c r="D461" s="124">
        <f t="shared" si="169"/>
        <v>25227.996408118881</v>
      </c>
      <c r="E461" s="124">
        <f t="shared" si="170"/>
        <v>1</v>
      </c>
      <c r="F461" s="124">
        <f t="shared" si="171"/>
        <v>1</v>
      </c>
      <c r="G461" s="124">
        <f t="shared" si="172"/>
        <v>25646.808066711154</v>
      </c>
      <c r="H461" s="124">
        <f t="shared" si="173"/>
        <v>1</v>
      </c>
      <c r="I461" s="124">
        <f t="shared" si="174"/>
        <v>1</v>
      </c>
      <c r="J461" s="124">
        <f t="shared" si="175"/>
        <v>5.1130525346636941E-5</v>
      </c>
      <c r="K461" s="124">
        <f t="shared" si="176"/>
        <v>0</v>
      </c>
      <c r="L461" s="124">
        <f t="shared" si="177"/>
        <v>0</v>
      </c>
      <c r="M461" s="120"/>
      <c r="N461" s="132">
        <f t="shared" si="165"/>
        <v>95.09985797689464</v>
      </c>
      <c r="O461" s="124">
        <f t="shared" si="178"/>
        <v>826963.85263846722</v>
      </c>
      <c r="P461" s="124">
        <f t="shared" si="179"/>
        <v>1</v>
      </c>
      <c r="Q461" s="124">
        <f t="shared" si="180"/>
        <v>1</v>
      </c>
      <c r="R461" s="124">
        <f t="shared" si="181"/>
        <v>721343.27802403027</v>
      </c>
      <c r="S461" s="124">
        <f t="shared" si="182"/>
        <v>373185.64816734049</v>
      </c>
      <c r="T461" s="124">
        <f t="shared" si="183"/>
        <v>812159.86895963503</v>
      </c>
      <c r="U461" s="124">
        <f t="shared" si="184"/>
        <v>1</v>
      </c>
      <c r="V461" s="124">
        <f t="shared" si="185"/>
        <v>0</v>
      </c>
      <c r="W461" s="124">
        <f t="shared" si="186"/>
        <v>1</v>
      </c>
      <c r="X461" s="124">
        <f t="shared" si="187"/>
        <v>1</v>
      </c>
      <c r="Y461" s="124">
        <f t="shared" si="188"/>
        <v>0</v>
      </c>
      <c r="Z461" s="124">
        <f t="shared" si="189"/>
        <v>1</v>
      </c>
      <c r="AA461" s="124">
        <f t="shared" si="166"/>
        <v>6.1544033541367416E-5</v>
      </c>
      <c r="AB461" s="124">
        <f t="shared" si="190"/>
        <v>0</v>
      </c>
      <c r="AC461" s="124">
        <f t="shared" si="191"/>
        <v>0</v>
      </c>
    </row>
    <row r="462" spans="2:29" s="114" customFormat="1">
      <c r="B462" s="115">
        <f t="shared" si="167"/>
        <v>1.19999999999994</v>
      </c>
      <c r="C462" s="124">
        <f t="shared" si="168"/>
        <v>15.848931924608948</v>
      </c>
      <c r="D462" s="124">
        <f t="shared" si="169"/>
        <v>24716.086829291118</v>
      </c>
      <c r="E462" s="124">
        <f t="shared" si="170"/>
        <v>1</v>
      </c>
      <c r="F462" s="124">
        <f t="shared" si="171"/>
        <v>1</v>
      </c>
      <c r="G462" s="124">
        <f t="shared" si="172"/>
        <v>25029.132061848446</v>
      </c>
      <c r="H462" s="124">
        <f t="shared" si="173"/>
        <v>1</v>
      </c>
      <c r="I462" s="124">
        <f t="shared" si="174"/>
        <v>1</v>
      </c>
      <c r="J462" s="124">
        <f t="shared" si="175"/>
        <v>2.9878003644536585E-5</v>
      </c>
      <c r="K462" s="124">
        <f t="shared" si="176"/>
        <v>0</v>
      </c>
      <c r="L462" s="124">
        <f t="shared" si="177"/>
        <v>0</v>
      </c>
      <c r="M462" s="120"/>
      <c r="N462" s="132">
        <f t="shared" si="165"/>
        <v>99.581776203192419</v>
      </c>
      <c r="O462" s="124">
        <f t="shared" si="178"/>
        <v>838164.15628773591</v>
      </c>
      <c r="P462" s="124">
        <f t="shared" si="179"/>
        <v>1</v>
      </c>
      <c r="Q462" s="124">
        <f t="shared" si="180"/>
        <v>1</v>
      </c>
      <c r="R462" s="124">
        <f t="shared" si="181"/>
        <v>734653.51058640506</v>
      </c>
      <c r="S462" s="124">
        <f t="shared" si="182"/>
        <v>375438.74470207206</v>
      </c>
      <c r="T462" s="124">
        <f t="shared" si="183"/>
        <v>825027.29145186266</v>
      </c>
      <c r="U462" s="124">
        <f t="shared" si="184"/>
        <v>1</v>
      </c>
      <c r="V462" s="124">
        <f t="shared" si="185"/>
        <v>0</v>
      </c>
      <c r="W462" s="124">
        <f t="shared" si="186"/>
        <v>1</v>
      </c>
      <c r="X462" s="124">
        <f t="shared" si="187"/>
        <v>1</v>
      </c>
      <c r="Y462" s="124">
        <f t="shared" si="188"/>
        <v>0</v>
      </c>
      <c r="Z462" s="124">
        <f t="shared" si="189"/>
        <v>1</v>
      </c>
      <c r="AA462" s="124">
        <f t="shared" si="166"/>
        <v>4.707015779709609E-5</v>
      </c>
      <c r="AB462" s="124">
        <f t="shared" si="190"/>
        <v>0</v>
      </c>
      <c r="AC462" s="124">
        <f t="shared" si="191"/>
        <v>0</v>
      </c>
    </row>
    <row r="463" spans="2:29" s="114" customFormat="1">
      <c r="B463" s="115">
        <f t="shared" si="167"/>
        <v>1.21999999999994</v>
      </c>
      <c r="C463" s="124">
        <f t="shared" si="168"/>
        <v>16.595869074373319</v>
      </c>
      <c r="D463" s="124">
        <f t="shared" si="169"/>
        <v>24216.011326583724</v>
      </c>
      <c r="E463" s="124">
        <f t="shared" si="170"/>
        <v>1</v>
      </c>
      <c r="F463" s="124">
        <f t="shared" si="171"/>
        <v>1</v>
      </c>
      <c r="G463" s="124">
        <f t="shared" si="172"/>
        <v>24423.134551403065</v>
      </c>
      <c r="H463" s="124">
        <f t="shared" si="173"/>
        <v>1</v>
      </c>
      <c r="I463" s="124">
        <f t="shared" si="174"/>
        <v>1</v>
      </c>
      <c r="J463" s="124">
        <f t="shared" si="175"/>
        <v>1.36810548103379E-5</v>
      </c>
      <c r="K463" s="124">
        <f t="shared" si="176"/>
        <v>0</v>
      </c>
      <c r="L463" s="124">
        <f t="shared" si="177"/>
        <v>0</v>
      </c>
      <c r="M463" s="120"/>
      <c r="N463" s="132">
        <f t="shared" si="165"/>
        <v>104.27492072797851</v>
      </c>
      <c r="O463" s="124">
        <f t="shared" si="178"/>
        <v>849437.25737113541</v>
      </c>
      <c r="P463" s="124">
        <f t="shared" si="179"/>
        <v>1</v>
      </c>
      <c r="Q463" s="124">
        <f t="shared" si="180"/>
        <v>1</v>
      </c>
      <c r="R463" s="124">
        <f t="shared" si="181"/>
        <v>748000.57150312921</v>
      </c>
      <c r="S463" s="124">
        <f t="shared" si="182"/>
        <v>377326.14099801885</v>
      </c>
      <c r="T463" s="124">
        <f t="shared" si="183"/>
        <v>837782.71147682727</v>
      </c>
      <c r="U463" s="124">
        <f t="shared" si="184"/>
        <v>1</v>
      </c>
      <c r="V463" s="124">
        <f t="shared" si="185"/>
        <v>0</v>
      </c>
      <c r="W463" s="124">
        <f t="shared" si="186"/>
        <v>1</v>
      </c>
      <c r="X463" s="124">
        <f t="shared" si="187"/>
        <v>1</v>
      </c>
      <c r="Y463" s="124">
        <f t="shared" si="188"/>
        <v>0</v>
      </c>
      <c r="Z463" s="124">
        <f t="shared" si="189"/>
        <v>1</v>
      </c>
      <c r="AA463" s="124">
        <f t="shared" si="166"/>
        <v>3.5998941251749695E-5</v>
      </c>
      <c r="AB463" s="124">
        <f t="shared" si="190"/>
        <v>0</v>
      </c>
      <c r="AC463" s="124">
        <f t="shared" si="191"/>
        <v>0</v>
      </c>
    </row>
    <row r="464" spans="2:29" s="114" customFormat="1">
      <c r="B464" s="115">
        <f t="shared" si="167"/>
        <v>1.23999999999994</v>
      </c>
      <c r="C464" s="124">
        <f t="shared" si="168"/>
        <v>17.378008287491358</v>
      </c>
      <c r="D464" s="124">
        <f t="shared" si="169"/>
        <v>23727.494800388034</v>
      </c>
      <c r="E464" s="124">
        <f t="shared" si="170"/>
        <v>1</v>
      </c>
      <c r="F464" s="124">
        <f t="shared" si="171"/>
        <v>1</v>
      </c>
      <c r="G464" s="124">
        <f t="shared" si="172"/>
        <v>23830.114899627992</v>
      </c>
      <c r="H464" s="124">
        <f t="shared" si="173"/>
        <v>1</v>
      </c>
      <c r="I464" s="124">
        <f t="shared" si="174"/>
        <v>1</v>
      </c>
      <c r="J464" s="124">
        <f t="shared" si="175"/>
        <v>3.5128110151852629E-6</v>
      </c>
      <c r="K464" s="124">
        <f t="shared" si="176"/>
        <v>0</v>
      </c>
      <c r="L464" s="124">
        <f t="shared" si="177"/>
        <v>0</v>
      </c>
      <c r="M464" s="120"/>
      <c r="N464" s="132">
        <f t="shared" si="165"/>
        <v>109.18924634001078</v>
      </c>
      <c r="O464" s="124">
        <f t="shared" si="178"/>
        <v>860782.15254893654</v>
      </c>
      <c r="P464" s="124">
        <f t="shared" si="179"/>
        <v>1</v>
      </c>
      <c r="Q464" s="124">
        <f t="shared" si="180"/>
        <v>1</v>
      </c>
      <c r="R464" s="124">
        <f t="shared" si="181"/>
        <v>761339.09593490686</v>
      </c>
      <c r="S464" s="124">
        <f t="shared" si="182"/>
        <v>378853.8080213003</v>
      </c>
      <c r="T464" s="124">
        <f t="shared" si="183"/>
        <v>850392.51340261789</v>
      </c>
      <c r="U464" s="124">
        <f t="shared" si="184"/>
        <v>1</v>
      </c>
      <c r="V464" s="124">
        <f t="shared" si="185"/>
        <v>0</v>
      </c>
      <c r="W464" s="124">
        <f t="shared" si="186"/>
        <v>1</v>
      </c>
      <c r="X464" s="124">
        <f t="shared" si="187"/>
        <v>1</v>
      </c>
      <c r="Y464" s="124">
        <f t="shared" si="188"/>
        <v>0</v>
      </c>
      <c r="Z464" s="124">
        <f t="shared" si="189"/>
        <v>1</v>
      </c>
      <c r="AA464" s="124">
        <f t="shared" si="166"/>
        <v>2.781323668683212E-5</v>
      </c>
      <c r="AB464" s="124">
        <f t="shared" si="190"/>
        <v>0</v>
      </c>
      <c r="AC464" s="124">
        <f t="shared" si="191"/>
        <v>0</v>
      </c>
    </row>
    <row r="465" spans="2:29" s="114" customFormat="1">
      <c r="B465" s="115">
        <f t="shared" si="167"/>
        <v>1.2599999999999401</v>
      </c>
      <c r="C465" s="124">
        <f t="shared" si="168"/>
        <v>18.197008586097329</v>
      </c>
      <c r="D465" s="124">
        <f t="shared" si="169"/>
        <v>23250.268030969277</v>
      </c>
      <c r="E465" s="124">
        <f t="shared" si="170"/>
        <v>1</v>
      </c>
      <c r="F465" s="124">
        <f t="shared" si="171"/>
        <v>1</v>
      </c>
      <c r="G465" s="124">
        <f t="shared" si="172"/>
        <v>23251.305430256078</v>
      </c>
      <c r="H465" s="124">
        <f t="shared" si="173"/>
        <v>1</v>
      </c>
      <c r="I465" s="124">
        <f t="shared" si="174"/>
        <v>1</v>
      </c>
      <c r="J465" s="124">
        <f t="shared" si="175"/>
        <v>3.7547861544423509E-10</v>
      </c>
      <c r="K465" s="124">
        <f t="shared" si="176"/>
        <v>0</v>
      </c>
      <c r="L465" s="124">
        <f t="shared" si="177"/>
        <v>0</v>
      </c>
      <c r="M465" s="120"/>
      <c r="N465" s="132">
        <f t="shared" si="165"/>
        <v>114.33517698278752</v>
      </c>
      <c r="O465" s="124">
        <f t="shared" si="178"/>
        <v>872197.81802388874</v>
      </c>
      <c r="P465" s="124">
        <f t="shared" si="179"/>
        <v>1</v>
      </c>
      <c r="Q465" s="124">
        <f t="shared" si="180"/>
        <v>1</v>
      </c>
      <c r="R465" s="124">
        <f t="shared" si="181"/>
        <v>774624.8118969599</v>
      </c>
      <c r="S465" s="124">
        <f t="shared" si="182"/>
        <v>380033.84145065193</v>
      </c>
      <c r="T465" s="124">
        <f t="shared" si="183"/>
        <v>862826.35556300648</v>
      </c>
      <c r="U465" s="124">
        <f t="shared" si="184"/>
        <v>1</v>
      </c>
      <c r="V465" s="124">
        <f t="shared" si="185"/>
        <v>0</v>
      </c>
      <c r="W465" s="124">
        <f t="shared" si="186"/>
        <v>1</v>
      </c>
      <c r="X465" s="124">
        <f t="shared" si="187"/>
        <v>1</v>
      </c>
      <c r="Y465" s="124">
        <f t="shared" si="188"/>
        <v>0</v>
      </c>
      <c r="Z465" s="124">
        <f t="shared" si="189"/>
        <v>1</v>
      </c>
      <c r="AA465" s="124">
        <f t="shared" si="166"/>
        <v>2.2011048996988138E-5</v>
      </c>
      <c r="AB465" s="124">
        <f t="shared" si="190"/>
        <v>0</v>
      </c>
      <c r="AC465" s="124">
        <f t="shared" si="191"/>
        <v>0</v>
      </c>
    </row>
    <row r="466" spans="2:29" s="114" customFormat="1">
      <c r="B466" s="115">
        <f t="shared" si="167"/>
        <v>1.2799999999999401</v>
      </c>
      <c r="C466" s="124">
        <f t="shared" si="168"/>
        <v>19.054607179629844</v>
      </c>
      <c r="D466" s="124">
        <f t="shared" si="169"/>
        <v>22784.06758318904</v>
      </c>
      <c r="E466" s="124">
        <f t="shared" si="170"/>
        <v>1</v>
      </c>
      <c r="F466" s="124">
        <f t="shared" si="171"/>
        <v>1</v>
      </c>
      <c r="G466" s="124">
        <f t="shared" si="172"/>
        <v>22687.854885694142</v>
      </c>
      <c r="H466" s="124">
        <f t="shared" si="173"/>
        <v>1</v>
      </c>
      <c r="I466" s="124">
        <f t="shared" si="174"/>
        <v>1</v>
      </c>
      <c r="J466" s="124">
        <f t="shared" si="175"/>
        <v>3.3775987923831307E-6</v>
      </c>
      <c r="K466" s="124">
        <f t="shared" si="176"/>
        <v>0</v>
      </c>
      <c r="L466" s="124">
        <f t="shared" si="177"/>
        <v>0</v>
      </c>
      <c r="M466" s="120"/>
      <c r="N466" s="132">
        <f t="shared" si="165"/>
        <v>119.72362786512889</v>
      </c>
      <c r="O466" s="124">
        <f t="shared" si="178"/>
        <v>883683.21000075201</v>
      </c>
      <c r="P466" s="124">
        <f t="shared" si="179"/>
        <v>1</v>
      </c>
      <c r="Q466" s="124">
        <f t="shared" si="180"/>
        <v>1</v>
      </c>
      <c r="R466" s="124">
        <f t="shared" si="181"/>
        <v>787815.44560450735</v>
      </c>
      <c r="S466" s="124">
        <f t="shared" si="182"/>
        <v>380884.23106379336</v>
      </c>
      <c r="T466" s="124">
        <f t="shared" si="183"/>
        <v>875057.69741548214</v>
      </c>
      <c r="U466" s="124">
        <f t="shared" si="184"/>
        <v>1</v>
      </c>
      <c r="V466" s="124">
        <f t="shared" si="185"/>
        <v>0</v>
      </c>
      <c r="W466" s="124">
        <f t="shared" si="186"/>
        <v>1</v>
      </c>
      <c r="X466" s="124">
        <f t="shared" si="187"/>
        <v>1</v>
      </c>
      <c r="Y466" s="124">
        <f t="shared" si="188"/>
        <v>0</v>
      </c>
      <c r="Z466" s="124">
        <f t="shared" si="189"/>
        <v>1</v>
      </c>
      <c r="AA466" s="124">
        <f t="shared" si="166"/>
        <v>1.8146867742047253E-5</v>
      </c>
      <c r="AB466" s="124">
        <f t="shared" si="190"/>
        <v>0</v>
      </c>
      <c r="AC466" s="124">
        <f t="shared" si="191"/>
        <v>0</v>
      </c>
    </row>
    <row r="467" spans="2:29" s="114" customFormat="1">
      <c r="B467" s="115">
        <f t="shared" si="167"/>
        <v>1.2999999999999401</v>
      </c>
      <c r="C467" s="124">
        <f t="shared" si="168"/>
        <v>19.952623149686051</v>
      </c>
      <c r="D467" s="124">
        <f t="shared" si="169"/>
        <v>22328.635711344632</v>
      </c>
      <c r="E467" s="124">
        <f t="shared" si="170"/>
        <v>1</v>
      </c>
      <c r="F467" s="124">
        <f t="shared" si="171"/>
        <v>1</v>
      </c>
      <c r="G467" s="124">
        <f t="shared" si="172"/>
        <v>22140.812351210654</v>
      </c>
      <c r="H467" s="124">
        <f t="shared" si="173"/>
        <v>1</v>
      </c>
      <c r="I467" s="124">
        <f t="shared" si="174"/>
        <v>1</v>
      </c>
      <c r="J467" s="124">
        <f t="shared" si="175"/>
        <v>1.3458898318871467E-5</v>
      </c>
      <c r="K467" s="124">
        <f t="shared" si="176"/>
        <v>0</v>
      </c>
      <c r="L467" s="124">
        <f t="shared" si="177"/>
        <v>0</v>
      </c>
      <c r="M467" s="120"/>
      <c r="N467" s="132">
        <f t="shared" si="165"/>
        <v>125.36602861379868</v>
      </c>
      <c r="O467" s="124">
        <f t="shared" si="178"/>
        <v>895237.26515683706</v>
      </c>
      <c r="P467" s="124">
        <f t="shared" si="179"/>
        <v>1</v>
      </c>
      <c r="Q467" s="124">
        <f t="shared" si="180"/>
        <v>1</v>
      </c>
      <c r="R467" s="124">
        <f t="shared" si="181"/>
        <v>800871.56927591632</v>
      </c>
      <c r="S467" s="124">
        <f t="shared" si="182"/>
        <v>381428.48292794032</v>
      </c>
      <c r="T467" s="124">
        <f t="shared" si="183"/>
        <v>887064.23559017351</v>
      </c>
      <c r="U467" s="124">
        <f t="shared" si="184"/>
        <v>1</v>
      </c>
      <c r="V467" s="124">
        <f t="shared" si="185"/>
        <v>0</v>
      </c>
      <c r="W467" s="124">
        <f t="shared" si="186"/>
        <v>1</v>
      </c>
      <c r="X467" s="124">
        <f t="shared" si="187"/>
        <v>1</v>
      </c>
      <c r="Y467" s="124">
        <f t="shared" si="188"/>
        <v>0</v>
      </c>
      <c r="Z467" s="124">
        <f t="shared" si="189"/>
        <v>1</v>
      </c>
      <c r="AA467" s="124">
        <f t="shared" si="166"/>
        <v>1.5864942294016374E-5</v>
      </c>
      <c r="AB467" s="124">
        <f t="shared" si="190"/>
        <v>0</v>
      </c>
      <c r="AC467" s="124">
        <f t="shared" si="191"/>
        <v>0</v>
      </c>
    </row>
    <row r="468" spans="2:29" s="114" customFormat="1">
      <c r="B468" s="115">
        <f t="shared" si="167"/>
        <v>1.3199999999999401</v>
      </c>
      <c r="C468" s="124">
        <f t="shared" si="168"/>
        <v>20.892961308537526</v>
      </c>
      <c r="D468" s="124">
        <f t="shared" si="169"/>
        <v>21883.720264199725</v>
      </c>
      <c r="E468" s="124">
        <f t="shared" si="170"/>
        <v>1</v>
      </c>
      <c r="F468" s="124">
        <f t="shared" si="171"/>
        <v>1</v>
      </c>
      <c r="G468" s="124">
        <f t="shared" si="172"/>
        <v>21611.111862933576</v>
      </c>
      <c r="H468" s="124">
        <f t="shared" si="173"/>
        <v>1</v>
      </c>
      <c r="I468" s="124">
        <f t="shared" si="174"/>
        <v>1</v>
      </c>
      <c r="J468" s="124">
        <f t="shared" si="175"/>
        <v>2.9637607440735865E-5</v>
      </c>
      <c r="K468" s="124">
        <f t="shared" si="176"/>
        <v>0</v>
      </c>
      <c r="L468" s="124">
        <f t="shared" si="177"/>
        <v>0</v>
      </c>
      <c r="M468" s="120"/>
      <c r="N468" s="132">
        <f t="shared" si="165"/>
        <v>131.27434751727458</v>
      </c>
      <c r="O468" s="124">
        <f t="shared" si="178"/>
        <v>906858.90112304478</v>
      </c>
      <c r="P468" s="124">
        <f t="shared" si="179"/>
        <v>1</v>
      </c>
      <c r="Q468" s="124">
        <f t="shared" si="180"/>
        <v>1</v>
      </c>
      <c r="R468" s="124">
        <f t="shared" si="181"/>
        <v>813757.36494555674</v>
      </c>
      <c r="S468" s="124">
        <f t="shared" si="182"/>
        <v>381695.11056411912</v>
      </c>
      <c r="T468" s="124">
        <f t="shared" si="183"/>
        <v>898828.24078446219</v>
      </c>
      <c r="U468" s="124">
        <f t="shared" si="184"/>
        <v>1</v>
      </c>
      <c r="V468" s="124">
        <f t="shared" si="185"/>
        <v>0</v>
      </c>
      <c r="W468" s="124">
        <f t="shared" si="186"/>
        <v>1</v>
      </c>
      <c r="X468" s="124">
        <f t="shared" si="187"/>
        <v>1</v>
      </c>
      <c r="Y468" s="124">
        <f t="shared" si="188"/>
        <v>0</v>
      </c>
      <c r="Z468" s="124">
        <f t="shared" si="189"/>
        <v>1</v>
      </c>
      <c r="AA468" s="124">
        <f t="shared" si="166"/>
        <v>1.4922852449205693E-5</v>
      </c>
      <c r="AB468" s="124">
        <f t="shared" si="190"/>
        <v>0</v>
      </c>
      <c r="AC468" s="124">
        <f t="shared" si="191"/>
        <v>0</v>
      </c>
    </row>
    <row r="469" spans="2:29" s="114" customFormat="1">
      <c r="B469" s="115">
        <f t="shared" si="167"/>
        <v>1.3399999999999401</v>
      </c>
      <c r="C469" s="124">
        <f t="shared" si="168"/>
        <v>21.877616239492514</v>
      </c>
      <c r="D469" s="124">
        <f t="shared" si="169"/>
        <v>21449.074590278313</v>
      </c>
      <c r="E469" s="124">
        <f t="shared" si="170"/>
        <v>1</v>
      </c>
      <c r="F469" s="124">
        <f t="shared" si="171"/>
        <v>1</v>
      </c>
      <c r="G469" s="124">
        <f t="shared" si="172"/>
        <v>21099.557981184531</v>
      </c>
      <c r="H469" s="124">
        <f t="shared" si="173"/>
        <v>1</v>
      </c>
      <c r="I469" s="124">
        <f t="shared" si="174"/>
        <v>1</v>
      </c>
      <c r="J469" s="124">
        <f t="shared" si="175"/>
        <v>5.0911110894768772E-5</v>
      </c>
      <c r="K469" s="124">
        <f t="shared" si="176"/>
        <v>0</v>
      </c>
      <c r="L469" s="124">
        <f t="shared" si="177"/>
        <v>0</v>
      </c>
      <c r="M469" s="120"/>
      <c r="N469" s="132">
        <f t="shared" si="165"/>
        <v>137.46111691209288</v>
      </c>
      <c r="O469" s="124">
        <f t="shared" si="178"/>
        <v>918547.01697503624</v>
      </c>
      <c r="P469" s="124">
        <f t="shared" si="179"/>
        <v>1</v>
      </c>
      <c r="Q469" s="124">
        <f t="shared" si="180"/>
        <v>1</v>
      </c>
      <c r="R469" s="124">
        <f t="shared" si="181"/>
        <v>826441.28271366027</v>
      </c>
      <c r="S469" s="124">
        <f t="shared" si="182"/>
        <v>381717.01636688592</v>
      </c>
      <c r="T469" s="124">
        <f t="shared" si="183"/>
        <v>910336.79171910742</v>
      </c>
      <c r="U469" s="124">
        <f t="shared" si="184"/>
        <v>1</v>
      </c>
      <c r="V469" s="124">
        <f t="shared" si="185"/>
        <v>0</v>
      </c>
      <c r="W469" s="124">
        <f t="shared" si="186"/>
        <v>1</v>
      </c>
      <c r="X469" s="124">
        <f t="shared" si="187"/>
        <v>1</v>
      </c>
      <c r="Y469" s="124">
        <f t="shared" si="188"/>
        <v>0</v>
      </c>
      <c r="Z469" s="124">
        <f t="shared" si="189"/>
        <v>1</v>
      </c>
      <c r="AA469" s="124">
        <f t="shared" si="166"/>
        <v>1.5204507735420851E-5</v>
      </c>
      <c r="AB469" s="124">
        <f t="shared" si="190"/>
        <v>0</v>
      </c>
      <c r="AC469" s="124">
        <f t="shared" si="191"/>
        <v>0</v>
      </c>
    </row>
    <row r="470" spans="2:29" s="114" customFormat="1">
      <c r="B470" s="115">
        <f t="shared" si="167"/>
        <v>1.3599999999999401</v>
      </c>
      <c r="C470" s="124">
        <f t="shared" si="168"/>
        <v>22.908676527674583</v>
      </c>
      <c r="D470" s="124">
        <f t="shared" si="169"/>
        <v>21024.457443488398</v>
      </c>
      <c r="E470" s="124">
        <f t="shared" si="170"/>
        <v>1</v>
      </c>
      <c r="F470" s="124">
        <f t="shared" si="171"/>
        <v>1</v>
      </c>
      <c r="G470" s="124">
        <f t="shared" si="172"/>
        <v>20606.812655835223</v>
      </c>
      <c r="H470" s="124">
        <f t="shared" si="173"/>
        <v>1</v>
      </c>
      <c r="I470" s="124">
        <f t="shared" si="174"/>
        <v>1</v>
      </c>
      <c r="J470" s="124">
        <f t="shared" si="175"/>
        <v>7.5933350579903222E-5</v>
      </c>
      <c r="K470" s="124">
        <f t="shared" si="176"/>
        <v>0</v>
      </c>
      <c r="L470" s="124">
        <f t="shared" si="177"/>
        <v>0</v>
      </c>
      <c r="M470" s="120"/>
      <c r="N470" s="132">
        <f t="shared" si="165"/>
        <v>143.9394597656148</v>
      </c>
      <c r="O470" s="124">
        <f t="shared" si="178"/>
        <v>930300.49373390584</v>
      </c>
      <c r="P470" s="124">
        <f t="shared" si="179"/>
        <v>1</v>
      </c>
      <c r="Q470" s="124">
        <f t="shared" si="180"/>
        <v>1</v>
      </c>
      <c r="R470" s="124">
        <f t="shared" si="181"/>
        <v>838896.57773000514</v>
      </c>
      <c r="S470" s="124">
        <f t="shared" si="182"/>
        <v>381530.78813964018</v>
      </c>
      <c r="T470" s="124">
        <f t="shared" si="183"/>
        <v>921581.90652028832</v>
      </c>
      <c r="U470" s="124">
        <f t="shared" si="184"/>
        <v>1</v>
      </c>
      <c r="V470" s="124">
        <f t="shared" si="185"/>
        <v>0</v>
      </c>
      <c r="W470" s="124">
        <f t="shared" si="186"/>
        <v>1</v>
      </c>
      <c r="X470" s="124">
        <f t="shared" si="187"/>
        <v>1</v>
      </c>
      <c r="Y470" s="124">
        <f t="shared" si="188"/>
        <v>0</v>
      </c>
      <c r="Z470" s="124">
        <f t="shared" si="189"/>
        <v>1</v>
      </c>
      <c r="AA470" s="124">
        <f t="shared" si="166"/>
        <v>1.6722471145505365E-5</v>
      </c>
      <c r="AB470" s="124">
        <f t="shared" si="190"/>
        <v>0</v>
      </c>
      <c r="AC470" s="124">
        <f t="shared" si="191"/>
        <v>0</v>
      </c>
    </row>
    <row r="471" spans="2:29" s="114" customFormat="1">
      <c r="B471" s="115">
        <f t="shared" si="167"/>
        <v>1.3799999999999402</v>
      </c>
      <c r="C471" s="124">
        <f t="shared" si="168"/>
        <v>23.988329190191607</v>
      </c>
      <c r="D471" s="124">
        <f t="shared" si="169"/>
        <v>20609.632889141954</v>
      </c>
      <c r="E471" s="124">
        <f t="shared" si="170"/>
        <v>1</v>
      </c>
      <c r="F471" s="124">
        <f t="shared" si="171"/>
        <v>1</v>
      </c>
      <c r="G471" s="124">
        <f t="shared" si="172"/>
        <v>20133.383737525513</v>
      </c>
      <c r="H471" s="124">
        <f t="shared" si="173"/>
        <v>1</v>
      </c>
      <c r="I471" s="124">
        <f t="shared" si="174"/>
        <v>1</v>
      </c>
      <c r="J471" s="124">
        <f t="shared" si="175"/>
        <v>1.030932530863743E-4</v>
      </c>
      <c r="K471" s="124">
        <f t="shared" si="176"/>
        <v>0</v>
      </c>
      <c r="L471" s="124">
        <f t="shared" si="177"/>
        <v>0</v>
      </c>
      <c r="M471" s="120"/>
      <c r="N471" s="132">
        <f t="shared" si="165"/>
        <v>150.7231175115991</v>
      </c>
      <c r="O471" s="124">
        <f t="shared" si="178"/>
        <v>942118.1948759919</v>
      </c>
      <c r="P471" s="124">
        <f t="shared" si="179"/>
        <v>1</v>
      </c>
      <c r="Q471" s="124">
        <f t="shared" si="180"/>
        <v>1</v>
      </c>
      <c r="R471" s="124">
        <f t="shared" si="181"/>
        <v>851101.71657684143</v>
      </c>
      <c r="S471" s="124">
        <f t="shared" si="182"/>
        <v>381175.9374856464</v>
      </c>
      <c r="T471" s="124">
        <f t="shared" si="183"/>
        <v>932560.57566149964</v>
      </c>
      <c r="U471" s="124">
        <f t="shared" si="184"/>
        <v>1</v>
      </c>
      <c r="V471" s="124">
        <f t="shared" si="185"/>
        <v>0</v>
      </c>
      <c r="W471" s="124">
        <f t="shared" si="186"/>
        <v>1</v>
      </c>
      <c r="X471" s="124">
        <f t="shared" si="187"/>
        <v>1</v>
      </c>
      <c r="Y471" s="124">
        <f t="shared" si="188"/>
        <v>0</v>
      </c>
      <c r="Z471" s="124">
        <f t="shared" si="189"/>
        <v>1</v>
      </c>
      <c r="AA471" s="124">
        <f t="shared" si="166"/>
        <v>1.9610192844450329E-5</v>
      </c>
      <c r="AB471" s="124">
        <f t="shared" si="190"/>
        <v>0</v>
      </c>
      <c r="AC471" s="124">
        <f t="shared" si="191"/>
        <v>0</v>
      </c>
    </row>
    <row r="472" spans="2:29" s="114" customFormat="1">
      <c r="B472" s="115">
        <f t="shared" si="167"/>
        <v>1.3999999999999402</v>
      </c>
      <c r="C472" s="124">
        <f t="shared" si="168"/>
        <v>25.118864315092353</v>
      </c>
      <c r="D472" s="124">
        <f t="shared" si="169"/>
        <v>20204.370210430006</v>
      </c>
      <c r="E472" s="124">
        <f t="shared" si="170"/>
        <v>1</v>
      </c>
      <c r="F472" s="124">
        <f t="shared" si="171"/>
        <v>1</v>
      </c>
      <c r="G472" s="124">
        <f t="shared" si="172"/>
        <v>19679.615497671566</v>
      </c>
      <c r="H472" s="124">
        <f t="shared" si="173"/>
        <v>1</v>
      </c>
      <c r="I472" s="124">
        <f t="shared" si="174"/>
        <v>1</v>
      </c>
      <c r="J472" s="124">
        <f t="shared" si="175"/>
        <v>1.306153831491105E-4</v>
      </c>
      <c r="K472" s="124">
        <f t="shared" si="176"/>
        <v>0</v>
      </c>
      <c r="L472" s="124">
        <f t="shared" si="177"/>
        <v>0</v>
      </c>
      <c r="M472" s="120"/>
      <c r="N472" s="132">
        <f t="shared" si="165"/>
        <v>157.8264791976259</v>
      </c>
      <c r="O472" s="124">
        <f t="shared" si="178"/>
        <v>953998.96685121884</v>
      </c>
      <c r="P472" s="124">
        <f t="shared" si="179"/>
        <v>1</v>
      </c>
      <c r="Q472" s="124">
        <f t="shared" si="180"/>
        <v>1</v>
      </c>
      <c r="R472" s="124">
        <f t="shared" si="181"/>
        <v>863040.65008183604</v>
      </c>
      <c r="S472" s="124">
        <f t="shared" si="182"/>
        <v>380694.10697259638</v>
      </c>
      <c r="T472" s="124">
        <f t="shared" si="183"/>
        <v>943274.70377262891</v>
      </c>
      <c r="U472" s="124">
        <f t="shared" si="184"/>
        <v>1</v>
      </c>
      <c r="V472" s="124">
        <f t="shared" si="185"/>
        <v>0</v>
      </c>
      <c r="W472" s="124">
        <f t="shared" si="186"/>
        <v>1</v>
      </c>
      <c r="X472" s="124">
        <f t="shared" si="187"/>
        <v>1</v>
      </c>
      <c r="Y472" s="124">
        <f t="shared" si="188"/>
        <v>0</v>
      </c>
      <c r="Z472" s="124">
        <f t="shared" si="189"/>
        <v>1</v>
      </c>
      <c r="AA472" s="124">
        <f t="shared" si="166"/>
        <v>2.4105315679153601E-5</v>
      </c>
      <c r="AB472" s="124">
        <f t="shared" si="190"/>
        <v>0</v>
      </c>
      <c r="AC472" s="124">
        <f t="shared" si="191"/>
        <v>0</v>
      </c>
    </row>
    <row r="473" spans="2:29" s="114" customFormat="1">
      <c r="B473" s="115">
        <f t="shared" si="167"/>
        <v>1.4199999999999402</v>
      </c>
      <c r="C473" s="124">
        <f t="shared" si="168"/>
        <v>26.302679918950204</v>
      </c>
      <c r="D473" s="124">
        <f t="shared" si="169"/>
        <v>19808.443815412851</v>
      </c>
      <c r="E473" s="124">
        <f t="shared" si="170"/>
        <v>1</v>
      </c>
      <c r="F473" s="124">
        <f t="shared" si="171"/>
        <v>1</v>
      </c>
      <c r="G473" s="124">
        <f t="shared" si="172"/>
        <v>19245.681511287527</v>
      </c>
      <c r="H473" s="124">
        <f t="shared" si="173"/>
        <v>1</v>
      </c>
      <c r="I473" s="124">
        <f t="shared" si="174"/>
        <v>1</v>
      </c>
      <c r="J473" s="124">
        <f t="shared" si="175"/>
        <v>1.5667687653738346E-4</v>
      </c>
      <c r="K473" s="124">
        <f t="shared" si="176"/>
        <v>0</v>
      </c>
      <c r="L473" s="124">
        <f t="shared" si="177"/>
        <v>0</v>
      </c>
      <c r="M473" s="120"/>
      <c r="N473" s="132">
        <f t="shared" si="165"/>
        <v>165.26461200619548</v>
      </c>
      <c r="O473" s="124">
        <f t="shared" si="178"/>
        <v>965941.63960956805</v>
      </c>
      <c r="P473" s="124">
        <f t="shared" si="179"/>
        <v>1</v>
      </c>
      <c r="Q473" s="124">
        <f t="shared" si="180"/>
        <v>1</v>
      </c>
      <c r="R473" s="124">
        <f t="shared" si="181"/>
        <v>874702.95549679734</v>
      </c>
      <c r="S473" s="124">
        <f t="shared" si="182"/>
        <v>380128.27160812344</v>
      </c>
      <c r="T473" s="124">
        <f t="shared" si="183"/>
        <v>953730.97004900267</v>
      </c>
      <c r="U473" s="124">
        <f t="shared" si="184"/>
        <v>1</v>
      </c>
      <c r="V473" s="124">
        <f t="shared" si="185"/>
        <v>0</v>
      </c>
      <c r="W473" s="124">
        <f t="shared" si="186"/>
        <v>1</v>
      </c>
      <c r="X473" s="124">
        <f t="shared" si="187"/>
        <v>1</v>
      </c>
      <c r="Y473" s="124">
        <f t="shared" si="188"/>
        <v>0</v>
      </c>
      <c r="Z473" s="124">
        <f t="shared" si="189"/>
        <v>1</v>
      </c>
      <c r="AA473" s="124">
        <f t="shared" si="166"/>
        <v>3.0525652031008176E-5</v>
      </c>
      <c r="AB473" s="124">
        <f t="shared" si="190"/>
        <v>0</v>
      </c>
      <c r="AC473" s="124">
        <f t="shared" si="191"/>
        <v>0</v>
      </c>
    </row>
    <row r="474" spans="2:29" s="114" customFormat="1">
      <c r="B474" s="115">
        <f t="shared" si="167"/>
        <v>1.4399999999999402</v>
      </c>
      <c r="C474" s="124">
        <f t="shared" si="168"/>
        <v>27.542287033377885</v>
      </c>
      <c r="D474" s="124">
        <f t="shared" si="169"/>
        <v>19421.633144578471</v>
      </c>
      <c r="E474" s="124">
        <f t="shared" si="170"/>
        <v>1</v>
      </c>
      <c r="F474" s="124">
        <f t="shared" si="171"/>
        <v>1</v>
      </c>
      <c r="G474" s="124">
        <f t="shared" si="172"/>
        <v>18831.580229863121</v>
      </c>
      <c r="H474" s="124">
        <f t="shared" si="173"/>
        <v>1</v>
      </c>
      <c r="I474" s="124">
        <f t="shared" si="174"/>
        <v>1</v>
      </c>
      <c r="J474" s="124">
        <f t="shared" si="175"/>
        <v>1.7953270833111505E-4</v>
      </c>
      <c r="K474" s="124">
        <f t="shared" si="176"/>
        <v>0</v>
      </c>
      <c r="L474" s="124">
        <f t="shared" si="177"/>
        <v>0</v>
      </c>
      <c r="M474" s="120"/>
      <c r="N474" s="132">
        <f t="shared" si="165"/>
        <v>173.05329321424276</v>
      </c>
      <c r="O474" s="124">
        <f t="shared" si="178"/>
        <v>977945.02713509707</v>
      </c>
      <c r="P474" s="124">
        <f t="shared" si="179"/>
        <v>1</v>
      </c>
      <c r="Q474" s="124">
        <f t="shared" si="180"/>
        <v>1</v>
      </c>
      <c r="R474" s="124">
        <f t="shared" si="181"/>
        <v>886083.85605177702</v>
      </c>
      <c r="S474" s="124">
        <f t="shared" si="182"/>
        <v>379521.95748663513</v>
      </c>
      <c r="T474" s="124">
        <f t="shared" si="183"/>
        <v>963940.61859124585</v>
      </c>
      <c r="U474" s="124">
        <f t="shared" si="184"/>
        <v>1</v>
      </c>
      <c r="V474" s="124">
        <f t="shared" si="185"/>
        <v>0</v>
      </c>
      <c r="W474" s="124">
        <f t="shared" si="186"/>
        <v>1</v>
      </c>
      <c r="X474" s="124">
        <f t="shared" si="187"/>
        <v>1</v>
      </c>
      <c r="Y474" s="124">
        <f t="shared" si="188"/>
        <v>0</v>
      </c>
      <c r="Z474" s="124">
        <f t="shared" si="189"/>
        <v>1</v>
      </c>
      <c r="AA474" s="124">
        <f t="shared" si="166"/>
        <v>3.9239721203345018E-5</v>
      </c>
      <c r="AB474" s="124">
        <f t="shared" si="190"/>
        <v>0</v>
      </c>
      <c r="AC474" s="124">
        <f t="shared" si="191"/>
        <v>0</v>
      </c>
    </row>
    <row r="475" spans="2:29" s="114" customFormat="1">
      <c r="B475" s="115">
        <f t="shared" si="167"/>
        <v>1.4599999999999402</v>
      </c>
      <c r="C475" s="124">
        <f t="shared" si="168"/>
        <v>28.840315031262097</v>
      </c>
      <c r="D475" s="124">
        <f t="shared" si="169"/>
        <v>19043.72257902244</v>
      </c>
      <c r="E475" s="124">
        <f t="shared" si="170"/>
        <v>1</v>
      </c>
      <c r="F475" s="124">
        <f t="shared" si="171"/>
        <v>1</v>
      </c>
      <c r="G475" s="124">
        <f t="shared" si="172"/>
        <v>18437.133527129306</v>
      </c>
      <c r="H475" s="124">
        <f t="shared" si="173"/>
        <v>1</v>
      </c>
      <c r="I475" s="124">
        <f t="shared" si="174"/>
        <v>1</v>
      </c>
      <c r="J475" s="124">
        <f t="shared" si="175"/>
        <v>1.9763988267513169E-4</v>
      </c>
      <c r="K475" s="124">
        <f t="shared" si="176"/>
        <v>0</v>
      </c>
      <c r="L475" s="124">
        <f t="shared" si="177"/>
        <v>0</v>
      </c>
      <c r="M475" s="120"/>
      <c r="N475" s="132">
        <f t="shared" si="165"/>
        <v>181.20904365885659</v>
      </c>
      <c r="O475" s="124">
        <f t="shared" si="178"/>
        <v>990007.92798701045</v>
      </c>
      <c r="P475" s="124">
        <f t="shared" si="179"/>
        <v>1</v>
      </c>
      <c r="Q475" s="124">
        <f t="shared" si="180"/>
        <v>1</v>
      </c>
      <c r="R475" s="124">
        <f t="shared" si="181"/>
        <v>897184.12987853237</v>
      </c>
      <c r="S475" s="124">
        <f t="shared" si="182"/>
        <v>378918.49683309114</v>
      </c>
      <c r="T475" s="124">
        <f t="shared" si="183"/>
        <v>973919.19076900242</v>
      </c>
      <c r="U475" s="124">
        <f t="shared" si="184"/>
        <v>1</v>
      </c>
      <c r="V475" s="124">
        <f t="shared" si="185"/>
        <v>0</v>
      </c>
      <c r="W475" s="124">
        <f t="shared" si="186"/>
        <v>1</v>
      </c>
      <c r="X475" s="124">
        <f t="shared" si="187"/>
        <v>1</v>
      </c>
      <c r="Y475" s="124">
        <f t="shared" si="188"/>
        <v>0</v>
      </c>
      <c r="Z475" s="124">
        <f t="shared" si="189"/>
        <v>1</v>
      </c>
      <c r="AA475" s="124">
        <f t="shared" si="166"/>
        <v>5.0633882267274179E-5</v>
      </c>
      <c r="AB475" s="124">
        <f t="shared" si="190"/>
        <v>0</v>
      </c>
      <c r="AC475" s="124">
        <f t="shared" si="191"/>
        <v>0</v>
      </c>
    </row>
    <row r="476" spans="2:29" s="114" customFormat="1">
      <c r="B476" s="115">
        <f t="shared" si="167"/>
        <v>1.4799999999999403</v>
      </c>
      <c r="C476" s="124">
        <f t="shared" si="168"/>
        <v>30.199517204016018</v>
      </c>
      <c r="D476" s="124">
        <f t="shared" si="169"/>
        <v>18674.501349296519</v>
      </c>
      <c r="E476" s="124">
        <f t="shared" si="170"/>
        <v>1</v>
      </c>
      <c r="F476" s="124">
        <f t="shared" si="171"/>
        <v>1</v>
      </c>
      <c r="G476" s="124">
        <f t="shared" si="172"/>
        <v>18061.988439048804</v>
      </c>
      <c r="H476" s="124">
        <f t="shared" si="173"/>
        <v>1</v>
      </c>
      <c r="I476" s="124">
        <f t="shared" si="174"/>
        <v>1</v>
      </c>
      <c r="J476" s="124">
        <f t="shared" si="175"/>
        <v>2.0977044126306243E-4</v>
      </c>
      <c r="K476" s="124">
        <f t="shared" si="176"/>
        <v>0</v>
      </c>
      <c r="L476" s="124">
        <f t="shared" si="177"/>
        <v>0</v>
      </c>
      <c r="M476" s="120"/>
      <c r="N476" s="132">
        <f t="shared" si="165"/>
        <v>189.74916278019057</v>
      </c>
      <c r="O476" s="124">
        <f t="shared" si="178"/>
        <v>1002129.1258473375</v>
      </c>
      <c r="P476" s="124">
        <f t="shared" si="179"/>
        <v>1</v>
      </c>
      <c r="Q476" s="124">
        <f t="shared" si="180"/>
        <v>1</v>
      </c>
      <c r="R476" s="124">
        <f t="shared" si="181"/>
        <v>908009.92305577523</v>
      </c>
      <c r="S476" s="124">
        <f t="shared" si="182"/>
        <v>378360.33445010503</v>
      </c>
      <c r="T476" s="124">
        <f t="shared" si="183"/>
        <v>983686.21168183011</v>
      </c>
      <c r="U476" s="124">
        <f t="shared" si="184"/>
        <v>1</v>
      </c>
      <c r="V476" s="124">
        <f t="shared" si="185"/>
        <v>0</v>
      </c>
      <c r="W476" s="124">
        <f t="shared" si="186"/>
        <v>1</v>
      </c>
      <c r="X476" s="124">
        <f t="shared" si="187"/>
        <v>1</v>
      </c>
      <c r="Y476" s="124">
        <f t="shared" si="188"/>
        <v>0</v>
      </c>
      <c r="Z476" s="124">
        <f t="shared" si="189"/>
        <v>1</v>
      </c>
      <c r="AA476" s="124">
        <f t="shared" si="166"/>
        <v>6.5078113767307006E-5</v>
      </c>
      <c r="AB476" s="124">
        <f t="shared" si="190"/>
        <v>0</v>
      </c>
      <c r="AC476" s="124">
        <f t="shared" si="191"/>
        <v>0</v>
      </c>
    </row>
    <row r="477" spans="2:29" s="114" customFormat="1">
      <c r="B477" s="115">
        <f t="shared" si="167"/>
        <v>1.4999999999999403</v>
      </c>
      <c r="C477" s="124">
        <f t="shared" si="168"/>
        <v>31.622776601679451</v>
      </c>
      <c r="D477" s="124">
        <f t="shared" si="169"/>
        <v>18313.76344497293</v>
      </c>
      <c r="E477" s="124">
        <f t="shared" si="170"/>
        <v>1</v>
      </c>
      <c r="F477" s="124">
        <f t="shared" si="171"/>
        <v>1</v>
      </c>
      <c r="G477" s="124">
        <f t="shared" si="172"/>
        <v>17705.622241844092</v>
      </c>
      <c r="H477" s="124">
        <f t="shared" si="173"/>
        <v>1</v>
      </c>
      <c r="I477" s="124">
        <f t="shared" si="174"/>
        <v>1</v>
      </c>
      <c r="J477" s="124">
        <f t="shared" si="175"/>
        <v>2.151034679033496E-4</v>
      </c>
      <c r="K477" s="124">
        <f t="shared" si="176"/>
        <v>0</v>
      </c>
      <c r="L477" s="124">
        <f t="shared" si="177"/>
        <v>0</v>
      </c>
      <c r="M477" s="120"/>
      <c r="N477" s="132">
        <f t="shared" si="165"/>
        <v>198.69176531589474</v>
      </c>
      <c r="O477" s="124">
        <f t="shared" si="178"/>
        <v>1014307.3900745936</v>
      </c>
      <c r="P477" s="124">
        <f t="shared" si="179"/>
        <v>1</v>
      </c>
      <c r="Q477" s="124">
        <f t="shared" si="180"/>
        <v>1</v>
      </c>
      <c r="R477" s="124">
        <f t="shared" si="181"/>
        <v>918572.48304102209</v>
      </c>
      <c r="S477" s="124">
        <f t="shared" si="182"/>
        <v>377888.39613829611</v>
      </c>
      <c r="T477" s="124">
        <f t="shared" si="183"/>
        <v>993264.84209203871</v>
      </c>
      <c r="U477" s="124">
        <f t="shared" si="184"/>
        <v>1</v>
      </c>
      <c r="V477" s="124">
        <f t="shared" si="185"/>
        <v>0</v>
      </c>
      <c r="W477" s="124">
        <f t="shared" si="186"/>
        <v>1</v>
      </c>
      <c r="X477" s="124">
        <f t="shared" si="187"/>
        <v>1</v>
      </c>
      <c r="Y477" s="124">
        <f t="shared" si="188"/>
        <v>0</v>
      </c>
      <c r="Z477" s="124">
        <f t="shared" si="189"/>
        <v>1</v>
      </c>
      <c r="AA477" s="124">
        <f t="shared" si="166"/>
        <v>8.289240044916003E-5</v>
      </c>
      <c r="AB477" s="124">
        <f t="shared" si="190"/>
        <v>0</v>
      </c>
      <c r="AC477" s="124">
        <f t="shared" si="191"/>
        <v>0</v>
      </c>
    </row>
    <row r="478" spans="2:29" s="114" customFormat="1">
      <c r="B478" s="115">
        <f t="shared" si="167"/>
        <v>1.5199999999999403</v>
      </c>
      <c r="C478" s="124">
        <f t="shared" si="168"/>
        <v>33.113112148254572</v>
      </c>
      <c r="D478" s="124">
        <f t="shared" si="169"/>
        <v>17961.307524966644</v>
      </c>
      <c r="E478" s="124">
        <f t="shared" si="170"/>
        <v>1</v>
      </c>
      <c r="F478" s="124">
        <f t="shared" si="171"/>
        <v>1</v>
      </c>
      <c r="G478" s="124">
        <f t="shared" si="172"/>
        <v>17367.350920088662</v>
      </c>
      <c r="H478" s="124">
        <f t="shared" si="173"/>
        <v>1</v>
      </c>
      <c r="I478" s="124">
        <f t="shared" si="174"/>
        <v>1</v>
      </c>
      <c r="J478" s="124">
        <f t="shared" si="175"/>
        <v>2.132875967598919E-4</v>
      </c>
      <c r="K478" s="124">
        <f t="shared" si="176"/>
        <v>0</v>
      </c>
      <c r="L478" s="124">
        <f t="shared" si="177"/>
        <v>0</v>
      </c>
      <c r="M478" s="120"/>
      <c r="N478" s="132">
        <f t="shared" si="165"/>
        <v>208.05581972490299</v>
      </c>
      <c r="O478" s="124">
        <f t="shared" si="178"/>
        <v>1026541.4762630111</v>
      </c>
      <c r="P478" s="124">
        <f t="shared" si="179"/>
        <v>1</v>
      </c>
      <c r="Q478" s="124">
        <f t="shared" si="180"/>
        <v>1</v>
      </c>
      <c r="R478" s="124">
        <f t="shared" si="181"/>
        <v>928887.82909899938</v>
      </c>
      <c r="S478" s="124">
        <f t="shared" si="182"/>
        <v>377541.52533524128</v>
      </c>
      <c r="T478" s="124">
        <f t="shared" si="183"/>
        <v>1002681.5059632408</v>
      </c>
      <c r="U478" s="124">
        <f t="shared" si="184"/>
        <v>1</v>
      </c>
      <c r="V478" s="124">
        <f t="shared" si="185"/>
        <v>0</v>
      </c>
      <c r="W478" s="124">
        <f t="shared" si="186"/>
        <v>1</v>
      </c>
      <c r="X478" s="124">
        <f t="shared" si="187"/>
        <v>1</v>
      </c>
      <c r="Y478" s="124">
        <f t="shared" si="188"/>
        <v>0</v>
      </c>
      <c r="Z478" s="124">
        <f t="shared" si="189"/>
        <v>1</v>
      </c>
      <c r="AA478" s="124">
        <f t="shared" si="166"/>
        <v>1.0431551296279489E-4</v>
      </c>
      <c r="AB478" s="124">
        <f t="shared" si="190"/>
        <v>0</v>
      </c>
      <c r="AC478" s="124">
        <f t="shared" si="191"/>
        <v>0</v>
      </c>
    </row>
    <row r="479" spans="2:29" s="114" customFormat="1">
      <c r="B479" s="115">
        <f t="shared" si="167"/>
        <v>1.5399999999999403</v>
      </c>
      <c r="C479" s="124">
        <f t="shared" si="168"/>
        <v>34.673685045248405</v>
      </c>
      <c r="D479" s="124">
        <f t="shared" si="169"/>
        <v>17616.936828656151</v>
      </c>
      <c r="E479" s="124">
        <f t="shared" si="170"/>
        <v>1</v>
      </c>
      <c r="F479" s="124">
        <f t="shared" si="171"/>
        <v>1</v>
      </c>
      <c r="G479" s="124">
        <f t="shared" si="172"/>
        <v>17046.340973470138</v>
      </c>
      <c r="H479" s="124">
        <f t="shared" si="173"/>
        <v>1</v>
      </c>
      <c r="I479" s="124">
        <f t="shared" si="174"/>
        <v>1</v>
      </c>
      <c r="J479" s="124">
        <f t="shared" si="175"/>
        <v>2.0446785743548376E-4</v>
      </c>
      <c r="K479" s="124">
        <f t="shared" si="176"/>
        <v>0</v>
      </c>
      <c r="L479" s="124">
        <f t="shared" si="177"/>
        <v>0</v>
      </c>
      <c r="M479" s="120"/>
      <c r="N479" s="132">
        <f t="shared" si="165"/>
        <v>217.86118842207733</v>
      </c>
      <c r="O479" s="124">
        <f t="shared" si="178"/>
        <v>1038830.1268067601</v>
      </c>
      <c r="P479" s="124">
        <f t="shared" si="179"/>
        <v>1</v>
      </c>
      <c r="Q479" s="124">
        <f t="shared" si="180"/>
        <v>1</v>
      </c>
      <c r="R479" s="124">
        <f t="shared" si="181"/>
        <v>938976.37566781498</v>
      </c>
      <c r="S479" s="124">
        <f t="shared" si="182"/>
        <v>377355.99027427362</v>
      </c>
      <c r="T479" s="124">
        <f t="shared" si="183"/>
        <v>1011965.5021087148</v>
      </c>
      <c r="U479" s="124">
        <f t="shared" si="184"/>
        <v>1</v>
      </c>
      <c r="V479" s="124">
        <f t="shared" si="185"/>
        <v>0</v>
      </c>
      <c r="W479" s="124">
        <f t="shared" si="186"/>
        <v>1</v>
      </c>
      <c r="X479" s="124">
        <f t="shared" si="187"/>
        <v>1</v>
      </c>
      <c r="Y479" s="124">
        <f t="shared" si="188"/>
        <v>0</v>
      </c>
      <c r="Z479" s="124">
        <f t="shared" si="189"/>
        <v>1</v>
      </c>
      <c r="AA479" s="124">
        <f t="shared" si="166"/>
        <v>1.29477734019428E-4</v>
      </c>
      <c r="AB479" s="124">
        <f t="shared" si="190"/>
        <v>0</v>
      </c>
      <c r="AC479" s="124">
        <f t="shared" si="191"/>
        <v>0</v>
      </c>
    </row>
    <row r="480" spans="2:29" s="114" customFormat="1">
      <c r="B480" s="115">
        <f t="shared" si="167"/>
        <v>1.5599999999999403</v>
      </c>
      <c r="C480" s="124">
        <f t="shared" si="168"/>
        <v>36.307805477005161</v>
      </c>
      <c r="D480" s="124">
        <f t="shared" si="169"/>
        <v>17280.459087839714</v>
      </c>
      <c r="E480" s="124">
        <f t="shared" si="170"/>
        <v>1</v>
      </c>
      <c r="F480" s="124">
        <f t="shared" si="171"/>
        <v>1</v>
      </c>
      <c r="G480" s="124">
        <f t="shared" si="172"/>
        <v>16741.62439936147</v>
      </c>
      <c r="H480" s="124">
        <f t="shared" si="173"/>
        <v>1</v>
      </c>
      <c r="I480" s="124">
        <f t="shared" si="174"/>
        <v>1</v>
      </c>
      <c r="J480" s="124">
        <f t="shared" si="175"/>
        <v>1.8927381122313468E-4</v>
      </c>
      <c r="K480" s="124">
        <f t="shared" si="176"/>
        <v>0</v>
      </c>
      <c r="L480" s="124">
        <f t="shared" si="177"/>
        <v>0</v>
      </c>
      <c r="M480" s="120"/>
      <c r="N480" s="132">
        <f t="shared" si="165"/>
        <v>228.12866990905334</v>
      </c>
      <c r="O480" s="124">
        <f t="shared" si="178"/>
        <v>1051172.0714686979</v>
      </c>
      <c r="P480" s="124">
        <f t="shared" si="179"/>
        <v>1</v>
      </c>
      <c r="Q480" s="124">
        <f t="shared" si="180"/>
        <v>1</v>
      </c>
      <c r="R480" s="124">
        <f t="shared" si="181"/>
        <v>948862.52312225581</v>
      </c>
      <c r="S480" s="124">
        <f t="shared" si="182"/>
        <v>377365.06059759634</v>
      </c>
      <c r="T480" s="124">
        <f t="shared" si="183"/>
        <v>1021148.6065924788</v>
      </c>
      <c r="U480" s="124">
        <f t="shared" si="184"/>
        <v>1</v>
      </c>
      <c r="V480" s="124">
        <f t="shared" si="185"/>
        <v>0</v>
      </c>
      <c r="W480" s="124">
        <f t="shared" si="186"/>
        <v>1</v>
      </c>
      <c r="X480" s="124">
        <f t="shared" si="187"/>
        <v>1</v>
      </c>
      <c r="Y480" s="124">
        <f t="shared" si="188"/>
        <v>0</v>
      </c>
      <c r="Z480" s="124">
        <f t="shared" si="189"/>
        <v>1</v>
      </c>
      <c r="AA480" s="124">
        <f t="shared" si="166"/>
        <v>1.5837881590356336E-4</v>
      </c>
      <c r="AB480" s="124">
        <f t="shared" si="190"/>
        <v>0</v>
      </c>
      <c r="AC480" s="124">
        <f t="shared" si="191"/>
        <v>0</v>
      </c>
    </row>
    <row r="481" spans="2:29" s="114" customFormat="1">
      <c r="B481" s="115">
        <f t="shared" si="167"/>
        <v>1.5799999999999403</v>
      </c>
      <c r="C481" s="124">
        <f t="shared" si="168"/>
        <v>38.018939632050902</v>
      </c>
      <c r="D481" s="124">
        <f t="shared" si="169"/>
        <v>16951.686439563113</v>
      </c>
      <c r="E481" s="124">
        <f t="shared" si="170"/>
        <v>1</v>
      </c>
      <c r="F481" s="124">
        <f t="shared" si="171"/>
        <v>1</v>
      </c>
      <c r="G481" s="124">
        <f t="shared" si="172"/>
        <v>16452.11657332</v>
      </c>
      <c r="H481" s="124">
        <f t="shared" si="173"/>
        <v>1</v>
      </c>
      <c r="I481" s="124">
        <f t="shared" si="174"/>
        <v>1</v>
      </c>
      <c r="J481" s="124">
        <f t="shared" si="175"/>
        <v>1.6876952132410174E-4</v>
      </c>
      <c r="K481" s="124">
        <f t="shared" si="176"/>
        <v>0</v>
      </c>
      <c r="L481" s="124">
        <f t="shared" si="177"/>
        <v>0</v>
      </c>
      <c r="M481" s="120"/>
      <c r="N481" s="132">
        <f t="shared" si="165"/>
        <v>238.88004289064989</v>
      </c>
      <c r="O481" s="124">
        <f t="shared" si="178"/>
        <v>1063566.027953085</v>
      </c>
      <c r="P481" s="124">
        <f t="shared" si="179"/>
        <v>1</v>
      </c>
      <c r="Q481" s="124">
        <f t="shared" si="180"/>
        <v>1</v>
      </c>
      <c r="R481" s="124">
        <f t="shared" si="181"/>
        <v>958574.22832077299</v>
      </c>
      <c r="S481" s="124">
        <f t="shared" si="182"/>
        <v>377598.64969226118</v>
      </c>
      <c r="T481" s="124">
        <f t="shared" si="183"/>
        <v>1030264.6705823627</v>
      </c>
      <c r="U481" s="124">
        <f t="shared" si="184"/>
        <v>1</v>
      </c>
      <c r="V481" s="124">
        <f t="shared" si="185"/>
        <v>0</v>
      </c>
      <c r="W481" s="124">
        <f t="shared" si="186"/>
        <v>1</v>
      </c>
      <c r="X481" s="124">
        <f t="shared" si="187"/>
        <v>1</v>
      </c>
      <c r="Y481" s="124">
        <f t="shared" si="188"/>
        <v>0</v>
      </c>
      <c r="Z481" s="124">
        <f t="shared" si="189"/>
        <v>1</v>
      </c>
      <c r="AA481" s="124">
        <f t="shared" si="166"/>
        <v>1.9087216752635623E-4</v>
      </c>
      <c r="AB481" s="124">
        <f t="shared" si="190"/>
        <v>0</v>
      </c>
      <c r="AC481" s="124">
        <f t="shared" si="191"/>
        <v>0</v>
      </c>
    </row>
    <row r="482" spans="2:29" s="114" customFormat="1">
      <c r="B482" s="115">
        <f t="shared" si="167"/>
        <v>1.5999999999999404</v>
      </c>
      <c r="C482" s="124">
        <f t="shared" si="168"/>
        <v>39.81071705534427</v>
      </c>
      <c r="D482" s="124">
        <f t="shared" si="169"/>
        <v>16630.43533984977</v>
      </c>
      <c r="E482" s="124">
        <f t="shared" si="170"/>
        <v>1</v>
      </c>
      <c r="F482" s="124">
        <f t="shared" si="171"/>
        <v>1</v>
      </c>
      <c r="G482" s="124">
        <f t="shared" si="172"/>
        <v>16176.63663640917</v>
      </c>
      <c r="H482" s="124">
        <f t="shared" si="173"/>
        <v>1</v>
      </c>
      <c r="I482" s="124">
        <f t="shared" si="174"/>
        <v>1</v>
      </c>
      <c r="J482" s="124">
        <f t="shared" si="175"/>
        <v>1.4436954039475543E-4</v>
      </c>
      <c r="K482" s="124">
        <f t="shared" si="176"/>
        <v>0</v>
      </c>
      <c r="L482" s="124">
        <f t="shared" si="177"/>
        <v>0</v>
      </c>
      <c r="M482" s="120"/>
      <c r="N482" s="132">
        <f t="shared" si="165"/>
        <v>250.13811247042287</v>
      </c>
      <c r="O482" s="124">
        <f t="shared" si="178"/>
        <v>1076010.7024818012</v>
      </c>
      <c r="P482" s="124">
        <f t="shared" si="179"/>
        <v>1</v>
      </c>
      <c r="Q482" s="124">
        <f t="shared" si="180"/>
        <v>1</v>
      </c>
      <c r="R482" s="124">
        <f t="shared" si="181"/>
        <v>968142.56488086225</v>
      </c>
      <c r="S482" s="124">
        <f t="shared" si="182"/>
        <v>378083.0171087042</v>
      </c>
      <c r="T482" s="124">
        <f t="shared" si="183"/>
        <v>1039349.2164619721</v>
      </c>
      <c r="U482" s="124">
        <f t="shared" si="184"/>
        <v>1</v>
      </c>
      <c r="V482" s="124">
        <f t="shared" si="185"/>
        <v>0</v>
      </c>
      <c r="W482" s="124">
        <f t="shared" si="186"/>
        <v>1</v>
      </c>
      <c r="X482" s="124">
        <f t="shared" si="187"/>
        <v>1</v>
      </c>
      <c r="Y482" s="124">
        <f t="shared" si="188"/>
        <v>0</v>
      </c>
      <c r="Z482" s="124">
        <f t="shared" si="189"/>
        <v>1</v>
      </c>
      <c r="AA482" s="124">
        <f t="shared" si="166"/>
        <v>2.2665597736179615E-4</v>
      </c>
      <c r="AB482" s="124">
        <f t="shared" si="190"/>
        <v>0</v>
      </c>
      <c r="AC482" s="124">
        <f t="shared" si="191"/>
        <v>0</v>
      </c>
    </row>
    <row r="483" spans="2:29" s="114" customFormat="1">
      <c r="B483" s="115">
        <f t="shared" si="167"/>
        <v>1.6199999999999404</v>
      </c>
      <c r="C483" s="124">
        <f t="shared" si="168"/>
        <v>41.686938347027819</v>
      </c>
      <c r="D483" s="124">
        <f t="shared" si="169"/>
        <v>16316.526478364793</v>
      </c>
      <c r="E483" s="124">
        <f t="shared" si="170"/>
        <v>1</v>
      </c>
      <c r="F483" s="124">
        <f t="shared" si="171"/>
        <v>1</v>
      </c>
      <c r="G483" s="124">
        <f t="shared" si="172"/>
        <v>15913.929892752632</v>
      </c>
      <c r="H483" s="124">
        <f t="shared" si="173"/>
        <v>1</v>
      </c>
      <c r="I483" s="124">
        <f t="shared" si="174"/>
        <v>1</v>
      </c>
      <c r="J483" s="124">
        <f t="shared" si="175"/>
        <v>1.1772834989789573E-4</v>
      </c>
      <c r="K483" s="124">
        <f t="shared" si="176"/>
        <v>0</v>
      </c>
      <c r="L483" s="124">
        <f t="shared" si="177"/>
        <v>0</v>
      </c>
      <c r="M483" s="120"/>
      <c r="N483" s="132">
        <f t="shared" si="165"/>
        <v>261.92675852334645</v>
      </c>
      <c r="O483" s="124">
        <f t="shared" si="178"/>
        <v>1088504.7903735144</v>
      </c>
      <c r="P483" s="124">
        <f t="shared" si="179"/>
        <v>1</v>
      </c>
      <c r="Q483" s="124">
        <f t="shared" si="180"/>
        <v>1</v>
      </c>
      <c r="R483" s="124">
        <f t="shared" si="181"/>
        <v>977601.28052181716</v>
      </c>
      <c r="S483" s="124">
        <f t="shared" si="182"/>
        <v>378840.52426971827</v>
      </c>
      <c r="T483" s="124">
        <f t="shared" si="183"/>
        <v>1048439.0332808349</v>
      </c>
      <c r="U483" s="124">
        <f t="shared" si="184"/>
        <v>1</v>
      </c>
      <c r="V483" s="124">
        <f t="shared" si="185"/>
        <v>0</v>
      </c>
      <c r="W483" s="124">
        <f t="shared" si="186"/>
        <v>1</v>
      </c>
      <c r="X483" s="124">
        <f t="shared" si="187"/>
        <v>1</v>
      </c>
      <c r="Y483" s="124">
        <f t="shared" si="188"/>
        <v>0</v>
      </c>
      <c r="Z483" s="124">
        <f t="shared" si="189"/>
        <v>1</v>
      </c>
      <c r="AA483" s="124">
        <f t="shared" si="166"/>
        <v>2.6527168970189686E-4</v>
      </c>
      <c r="AB483" s="124">
        <f t="shared" si="190"/>
        <v>0</v>
      </c>
      <c r="AC483" s="124">
        <f t="shared" si="191"/>
        <v>0</v>
      </c>
    </row>
    <row r="484" spans="2:29" s="114" customFormat="1">
      <c r="B484" s="115">
        <f t="shared" si="167"/>
        <v>1.6399999999999404</v>
      </c>
      <c r="C484" s="124">
        <f t="shared" si="168"/>
        <v>43.651583224010622</v>
      </c>
      <c r="D484" s="124">
        <f t="shared" si="169"/>
        <v>16009.784694038954</v>
      </c>
      <c r="E484" s="124">
        <f t="shared" si="170"/>
        <v>1</v>
      </c>
      <c r="F484" s="124">
        <f t="shared" si="171"/>
        <v>1</v>
      </c>
      <c r="G484" s="124">
        <f t="shared" si="172"/>
        <v>15662.691629234096</v>
      </c>
      <c r="H484" s="124">
        <f t="shared" si="173"/>
        <v>1</v>
      </c>
      <c r="I484" s="124">
        <f t="shared" si="174"/>
        <v>1</v>
      </c>
      <c r="J484" s="124">
        <f t="shared" si="175"/>
        <v>9.0613148125280197E-5</v>
      </c>
      <c r="K484" s="124">
        <f t="shared" si="176"/>
        <v>0</v>
      </c>
      <c r="L484" s="124">
        <f t="shared" si="177"/>
        <v>0</v>
      </c>
      <c r="M484" s="120"/>
      <c r="N484" s="132">
        <f t="shared" si="165"/>
        <v>274.27098634823045</v>
      </c>
      <c r="O484" s="124">
        <f t="shared" si="178"/>
        <v>1101046.9766253596</v>
      </c>
      <c r="P484" s="124">
        <f t="shared" si="179"/>
        <v>1</v>
      </c>
      <c r="Q484" s="124">
        <f t="shared" si="180"/>
        <v>1</v>
      </c>
      <c r="R484" s="124">
        <f t="shared" si="181"/>
        <v>986986.35622260778</v>
      </c>
      <c r="S484" s="124">
        <f t="shared" si="182"/>
        <v>379889.43623995042</v>
      </c>
      <c r="T484" s="124">
        <f t="shared" si="183"/>
        <v>1057571.7711513899</v>
      </c>
      <c r="U484" s="124">
        <f t="shared" si="184"/>
        <v>1</v>
      </c>
      <c r="V484" s="124">
        <f t="shared" si="185"/>
        <v>0</v>
      </c>
      <c r="W484" s="124">
        <f t="shared" si="186"/>
        <v>1</v>
      </c>
      <c r="X484" s="124">
        <f t="shared" si="187"/>
        <v>1</v>
      </c>
      <c r="Y484" s="124">
        <f t="shared" si="188"/>
        <v>0</v>
      </c>
      <c r="Z484" s="124">
        <f t="shared" si="189"/>
        <v>1</v>
      </c>
      <c r="AA484" s="124">
        <f t="shared" si="166"/>
        <v>3.0610996952141161E-4</v>
      </c>
      <c r="AB484" s="124">
        <f t="shared" si="190"/>
        <v>0</v>
      </c>
      <c r="AC484" s="124">
        <f t="shared" si="191"/>
        <v>0</v>
      </c>
    </row>
    <row r="485" spans="2:29" s="114" customFormat="1">
      <c r="B485" s="115">
        <f t="shared" si="167"/>
        <v>1.6599999999999404</v>
      </c>
      <c r="C485" s="124">
        <f t="shared" si="168"/>
        <v>45.708818961481256</v>
      </c>
      <c r="D485" s="124">
        <f t="shared" si="169"/>
        <v>15710.038891679516</v>
      </c>
      <c r="E485" s="124">
        <f t="shared" si="170"/>
        <v>1</v>
      </c>
      <c r="F485" s="124">
        <f t="shared" si="171"/>
        <v>1</v>
      </c>
      <c r="G485" s="124">
        <f t="shared" si="172"/>
        <v>15421.591697897515</v>
      </c>
      <c r="H485" s="124">
        <f t="shared" si="173"/>
        <v>1</v>
      </c>
      <c r="I485" s="124">
        <f t="shared" si="174"/>
        <v>1</v>
      </c>
      <c r="J485" s="124">
        <f t="shared" si="175"/>
        <v>6.4771263629863552E-5</v>
      </c>
      <c r="K485" s="124">
        <f t="shared" si="176"/>
        <v>0</v>
      </c>
      <c r="L485" s="124">
        <f t="shared" si="177"/>
        <v>0</v>
      </c>
      <c r="M485" s="120"/>
      <c r="N485" s="132">
        <f t="shared" si="165"/>
        <v>287.19697970731073</v>
      </c>
      <c r="O485" s="124">
        <f t="shared" si="178"/>
        <v>1113635.9364965404</v>
      </c>
      <c r="P485" s="124">
        <f t="shared" si="179"/>
        <v>1</v>
      </c>
      <c r="Q485" s="124">
        <f t="shared" si="180"/>
        <v>1</v>
      </c>
      <c r="R485" s="124">
        <f t="shared" si="181"/>
        <v>996335.56951276609</v>
      </c>
      <c r="S485" s="124">
        <f t="shared" si="182"/>
        <v>381243.76252976019</v>
      </c>
      <c r="T485" s="124">
        <f t="shared" si="183"/>
        <v>1066785.5330590943</v>
      </c>
      <c r="U485" s="124">
        <f t="shared" si="184"/>
        <v>1</v>
      </c>
      <c r="V485" s="124">
        <f t="shared" si="185"/>
        <v>0</v>
      </c>
      <c r="W485" s="124">
        <f t="shared" si="186"/>
        <v>1</v>
      </c>
      <c r="X485" s="124">
        <f t="shared" si="187"/>
        <v>1</v>
      </c>
      <c r="Y485" s="124">
        <f t="shared" si="188"/>
        <v>0</v>
      </c>
      <c r="Z485" s="124">
        <f t="shared" si="189"/>
        <v>1</v>
      </c>
      <c r="AA485" s="124">
        <f t="shared" si="166"/>
        <v>3.4842401656593407E-4</v>
      </c>
      <c r="AB485" s="124">
        <f t="shared" si="190"/>
        <v>0</v>
      </c>
      <c r="AC485" s="124">
        <f t="shared" si="191"/>
        <v>0</v>
      </c>
    </row>
    <row r="486" spans="2:29" s="114" customFormat="1">
      <c r="B486" s="115">
        <f t="shared" si="167"/>
        <v>1.6799999999999404</v>
      </c>
      <c r="C486" s="124">
        <f t="shared" si="168"/>
        <v>47.863009232257284</v>
      </c>
      <c r="D486" s="124">
        <f t="shared" si="169"/>
        <v>15417.121959589647</v>
      </c>
      <c r="E486" s="124">
        <f t="shared" si="170"/>
        <v>1</v>
      </c>
      <c r="F486" s="124">
        <f t="shared" si="171"/>
        <v>1</v>
      </c>
      <c r="G486" s="124">
        <f t="shared" si="172"/>
        <v>15189.299155962153</v>
      </c>
      <c r="H486" s="124">
        <f t="shared" si="173"/>
        <v>1</v>
      </c>
      <c r="I486" s="124">
        <f t="shared" si="174"/>
        <v>1</v>
      </c>
      <c r="J486" s="124">
        <f t="shared" si="175"/>
        <v>4.1803624851578261E-5</v>
      </c>
      <c r="K486" s="124">
        <f t="shared" si="176"/>
        <v>0</v>
      </c>
      <c r="L486" s="124">
        <f t="shared" si="177"/>
        <v>0</v>
      </c>
      <c r="M486" s="120"/>
      <c r="N486" s="132">
        <f t="shared" si="165"/>
        <v>300.73215636551987</v>
      </c>
      <c r="O486" s="124">
        <f t="shared" si="178"/>
        <v>1126270.3360934388</v>
      </c>
      <c r="P486" s="124">
        <f t="shared" si="179"/>
        <v>1</v>
      </c>
      <c r="Q486" s="124">
        <f t="shared" si="180"/>
        <v>1</v>
      </c>
      <c r="R486" s="124">
        <f t="shared" si="181"/>
        <v>1005688.062060841</v>
      </c>
      <c r="S486" s="124">
        <f t="shared" si="182"/>
        <v>382913.13066243526</v>
      </c>
      <c r="T486" s="124">
        <f t="shared" si="183"/>
        <v>1076118.4617900564</v>
      </c>
      <c r="U486" s="124">
        <f t="shared" si="184"/>
        <v>1</v>
      </c>
      <c r="V486" s="124">
        <f t="shared" si="185"/>
        <v>0</v>
      </c>
      <c r="W486" s="124">
        <f t="shared" si="186"/>
        <v>1</v>
      </c>
      <c r="X486" s="124">
        <f t="shared" si="187"/>
        <v>1</v>
      </c>
      <c r="Y486" s="124">
        <f t="shared" si="188"/>
        <v>0</v>
      </c>
      <c r="Z486" s="124">
        <f t="shared" si="189"/>
        <v>1</v>
      </c>
      <c r="AA486" s="124">
        <f t="shared" si="166"/>
        <v>3.9134982113675124E-4</v>
      </c>
      <c r="AB486" s="124">
        <f t="shared" si="190"/>
        <v>0</v>
      </c>
      <c r="AC486" s="124">
        <f t="shared" si="191"/>
        <v>0</v>
      </c>
    </row>
    <row r="487" spans="2:29" s="114" customFormat="1">
      <c r="B487" s="115">
        <f t="shared" si="167"/>
        <v>1.6999999999999404</v>
      </c>
      <c r="C487" s="124">
        <f t="shared" si="168"/>
        <v>50.118723362720381</v>
      </c>
      <c r="D487" s="124">
        <f t="shared" si="169"/>
        <v>15130.870688218361</v>
      </c>
      <c r="E487" s="124">
        <f t="shared" si="170"/>
        <v>1</v>
      </c>
      <c r="F487" s="124">
        <f t="shared" si="171"/>
        <v>1</v>
      </c>
      <c r="G487" s="124">
        <f t="shared" si="172"/>
        <v>14964.506242962578</v>
      </c>
      <c r="H487" s="124">
        <f t="shared" si="173"/>
        <v>1</v>
      </c>
      <c r="I487" s="124">
        <f t="shared" si="174"/>
        <v>1</v>
      </c>
      <c r="J487" s="124">
        <f t="shared" si="175"/>
        <v>2.3054670505930482E-5</v>
      </c>
      <c r="K487" s="124">
        <f t="shared" si="176"/>
        <v>0</v>
      </c>
      <c r="L487" s="124">
        <f t="shared" si="177"/>
        <v>0</v>
      </c>
      <c r="M487" s="120"/>
      <c r="N487" s="132">
        <f t="shared" si="165"/>
        <v>314.90522624724298</v>
      </c>
      <c r="O487" s="124">
        <f t="shared" si="178"/>
        <v>1138948.8329557136</v>
      </c>
      <c r="P487" s="124">
        <f t="shared" si="179"/>
        <v>1</v>
      </c>
      <c r="Q487" s="124">
        <f t="shared" si="180"/>
        <v>1</v>
      </c>
      <c r="R487" s="124">
        <f t="shared" si="181"/>
        <v>1015083.9099347082</v>
      </c>
      <c r="S487" s="124">
        <f t="shared" si="182"/>
        <v>384902.68744189769</v>
      </c>
      <c r="T487" s="124">
        <f t="shared" si="183"/>
        <v>1085608.319334524</v>
      </c>
      <c r="U487" s="124">
        <f t="shared" si="184"/>
        <v>1</v>
      </c>
      <c r="V487" s="124">
        <f t="shared" si="185"/>
        <v>0</v>
      </c>
      <c r="W487" s="124">
        <f t="shared" si="186"/>
        <v>1</v>
      </c>
      <c r="X487" s="124">
        <f t="shared" si="187"/>
        <v>1</v>
      </c>
      <c r="Y487" s="124">
        <f t="shared" si="188"/>
        <v>0</v>
      </c>
      <c r="Z487" s="124">
        <f t="shared" si="189"/>
        <v>1</v>
      </c>
      <c r="AA487" s="124">
        <f t="shared" si="166"/>
        <v>4.3393269142930231E-4</v>
      </c>
      <c r="AB487" s="124">
        <f t="shared" si="190"/>
        <v>0</v>
      </c>
      <c r="AC487" s="124">
        <f t="shared" si="191"/>
        <v>0</v>
      </c>
    </row>
    <row r="488" spans="2:29" s="114" customFormat="1">
      <c r="B488" s="115">
        <f t="shared" si="167"/>
        <v>1.7199999999999405</v>
      </c>
      <c r="C488" s="124">
        <f t="shared" si="168"/>
        <v>52.480746024970081</v>
      </c>
      <c r="D488" s="124">
        <f t="shared" si="169"/>
        <v>14851.125689859344</v>
      </c>
      <c r="E488" s="124">
        <f t="shared" si="170"/>
        <v>1</v>
      </c>
      <c r="F488" s="124">
        <f t="shared" si="171"/>
        <v>1</v>
      </c>
      <c r="G488" s="124">
        <f t="shared" si="172"/>
        <v>14745.950992314889</v>
      </c>
      <c r="H488" s="124">
        <f t="shared" si="173"/>
        <v>1</v>
      </c>
      <c r="I488" s="124">
        <f t="shared" si="174"/>
        <v>1</v>
      </c>
      <c r="J488" s="124">
        <f t="shared" si="175"/>
        <v>9.5270222214333222E-6</v>
      </c>
      <c r="K488" s="124">
        <f t="shared" si="176"/>
        <v>0</v>
      </c>
      <c r="L488" s="124">
        <f t="shared" si="177"/>
        <v>0</v>
      </c>
      <c r="M488" s="120"/>
      <c r="N488" s="132">
        <f t="shared" si="165"/>
        <v>329.74625233391549</v>
      </c>
      <c r="O488" s="124">
        <f t="shared" si="178"/>
        <v>1151670.0766428695</v>
      </c>
      <c r="P488" s="124">
        <f t="shared" si="179"/>
        <v>1</v>
      </c>
      <c r="Q488" s="124">
        <f t="shared" si="180"/>
        <v>1</v>
      </c>
      <c r="R488" s="124">
        <f t="shared" si="181"/>
        <v>1024563.6935433588</v>
      </c>
      <c r="S488" s="124">
        <f t="shared" si="182"/>
        <v>387213.0244186463</v>
      </c>
      <c r="T488" s="124">
        <f t="shared" si="183"/>
        <v>1095292.0562145263</v>
      </c>
      <c r="U488" s="124">
        <f t="shared" si="184"/>
        <v>1</v>
      </c>
      <c r="V488" s="124">
        <f t="shared" si="185"/>
        <v>0</v>
      </c>
      <c r="W488" s="124">
        <f t="shared" si="186"/>
        <v>1</v>
      </c>
      <c r="X488" s="124">
        <f t="shared" si="187"/>
        <v>1</v>
      </c>
      <c r="Y488" s="124">
        <f t="shared" si="188"/>
        <v>0</v>
      </c>
      <c r="Z488" s="124">
        <f t="shared" si="189"/>
        <v>1</v>
      </c>
      <c r="AA488" s="124">
        <f t="shared" si="166"/>
        <v>4.7515912565066165E-4</v>
      </c>
      <c r="AB488" s="124">
        <f t="shared" si="190"/>
        <v>0</v>
      </c>
      <c r="AC488" s="124">
        <f t="shared" si="191"/>
        <v>0</v>
      </c>
    </row>
    <row r="489" spans="2:29" s="114" customFormat="1">
      <c r="B489" s="115">
        <f t="shared" si="167"/>
        <v>1.7399999999999405</v>
      </c>
      <c r="C489" s="124">
        <f t="shared" si="168"/>
        <v>54.954087385754953</v>
      </c>
      <c r="D489" s="124">
        <f t="shared" si="169"/>
        <v>14577.731319416032</v>
      </c>
      <c r="E489" s="124">
        <f t="shared" si="170"/>
        <v>1</v>
      </c>
      <c r="F489" s="124">
        <f t="shared" si="171"/>
        <v>1</v>
      </c>
      <c r="G489" s="124">
        <f t="shared" si="172"/>
        <v>14532.437826577589</v>
      </c>
      <c r="H489" s="124">
        <f t="shared" si="173"/>
        <v>1</v>
      </c>
      <c r="I489" s="124">
        <f t="shared" si="174"/>
        <v>1</v>
      </c>
      <c r="J489" s="124">
        <f t="shared" si="175"/>
        <v>1.8264655399779601E-6</v>
      </c>
      <c r="K489" s="124">
        <f t="shared" si="176"/>
        <v>0</v>
      </c>
      <c r="L489" s="124">
        <f t="shared" si="177"/>
        <v>0</v>
      </c>
      <c r="M489" s="120"/>
      <c r="N489" s="132">
        <f t="shared" si="165"/>
        <v>345.28671443163859</v>
      </c>
      <c r="O489" s="124">
        <f t="shared" si="178"/>
        <v>1164432.7093208884</v>
      </c>
      <c r="P489" s="124">
        <f t="shared" si="179"/>
        <v>1</v>
      </c>
      <c r="Q489" s="124">
        <f t="shared" si="180"/>
        <v>1</v>
      </c>
      <c r="R489" s="124">
        <f t="shared" si="181"/>
        <v>1034168.0633746656</v>
      </c>
      <c r="S489" s="124">
        <f t="shared" si="182"/>
        <v>389840.12586551398</v>
      </c>
      <c r="T489" s="124">
        <f t="shared" si="183"/>
        <v>1105205.3687161251</v>
      </c>
      <c r="U489" s="124">
        <f t="shared" si="184"/>
        <v>1</v>
      </c>
      <c r="V489" s="124">
        <f t="shared" si="185"/>
        <v>0</v>
      </c>
      <c r="W489" s="124">
        <f t="shared" si="186"/>
        <v>1</v>
      </c>
      <c r="X489" s="124">
        <f t="shared" si="187"/>
        <v>1</v>
      </c>
      <c r="Y489" s="124">
        <f t="shared" si="188"/>
        <v>0</v>
      </c>
      <c r="Z489" s="124">
        <f t="shared" si="189"/>
        <v>1</v>
      </c>
      <c r="AA489" s="124">
        <f t="shared" si="166"/>
        <v>5.1399285475715558E-4</v>
      </c>
      <c r="AB489" s="124">
        <f t="shared" si="190"/>
        <v>0</v>
      </c>
      <c r="AC489" s="124">
        <f t="shared" si="191"/>
        <v>0</v>
      </c>
    </row>
    <row r="490" spans="2:29" s="114" customFormat="1">
      <c r="B490" s="115">
        <f t="shared" si="167"/>
        <v>1.7599999999999405</v>
      </c>
      <c r="C490" s="124">
        <f t="shared" si="168"/>
        <v>57.543993733707829</v>
      </c>
      <c r="D490" s="124">
        <f t="shared" si="169"/>
        <v>14310.535596248075</v>
      </c>
      <c r="E490" s="124">
        <f t="shared" si="170"/>
        <v>1</v>
      </c>
      <c r="F490" s="124">
        <f t="shared" si="171"/>
        <v>1</v>
      </c>
      <c r="G490" s="124">
        <f t="shared" si="172"/>
        <v>14322.855570508767</v>
      </c>
      <c r="H490" s="124">
        <f t="shared" si="173"/>
        <v>1</v>
      </c>
      <c r="I490" s="124">
        <f t="shared" si="174"/>
        <v>1</v>
      </c>
      <c r="J490" s="124">
        <f t="shared" si="175"/>
        <v>1.3966985938387284E-7</v>
      </c>
      <c r="K490" s="124">
        <f t="shared" si="176"/>
        <v>0</v>
      </c>
      <c r="L490" s="124">
        <f t="shared" si="177"/>
        <v>0</v>
      </c>
      <c r="M490" s="120"/>
      <c r="N490" s="132">
        <f t="shared" si="165"/>
        <v>361.55957594406721</v>
      </c>
      <c r="O490" s="124">
        <f t="shared" si="178"/>
        <v>1177235.3663483658</v>
      </c>
      <c r="P490" s="124">
        <f t="shared" si="179"/>
        <v>1</v>
      </c>
      <c r="Q490" s="124">
        <f t="shared" si="180"/>
        <v>1</v>
      </c>
      <c r="R490" s="124">
        <f t="shared" si="181"/>
        <v>1043937.297247844</v>
      </c>
      <c r="S490" s="124">
        <f t="shared" si="182"/>
        <v>392775.33954447921</v>
      </c>
      <c r="T490" s="124">
        <f t="shared" si="183"/>
        <v>1115382.2429729705</v>
      </c>
      <c r="U490" s="124">
        <f t="shared" si="184"/>
        <v>1</v>
      </c>
      <c r="V490" s="124">
        <f t="shared" si="185"/>
        <v>0</v>
      </c>
      <c r="W490" s="124">
        <f t="shared" si="186"/>
        <v>1</v>
      </c>
      <c r="X490" s="124">
        <f t="shared" si="187"/>
        <v>1</v>
      </c>
      <c r="Y490" s="124">
        <f t="shared" si="188"/>
        <v>0</v>
      </c>
      <c r="Z490" s="124">
        <f t="shared" si="189"/>
        <v>1</v>
      </c>
      <c r="AA490" s="124">
        <f t="shared" si="166"/>
        <v>5.4941365055644824E-4</v>
      </c>
      <c r="AB490" s="124">
        <f t="shared" si="190"/>
        <v>0</v>
      </c>
      <c r="AC490" s="124">
        <f t="shared" si="191"/>
        <v>0</v>
      </c>
    </row>
    <row r="491" spans="2:29" s="114" customFormat="1">
      <c r="B491" s="115">
        <f t="shared" si="167"/>
        <v>1.7799999999999405</v>
      </c>
      <c r="C491" s="124">
        <f t="shared" si="168"/>
        <v>60.255958607427523</v>
      </c>
      <c r="D491" s="124">
        <f t="shared" si="169"/>
        <v>14049.390127111858</v>
      </c>
      <c r="E491" s="124">
        <f t="shared" si="170"/>
        <v>1</v>
      </c>
      <c r="F491" s="124">
        <f t="shared" si="171"/>
        <v>1</v>
      </c>
      <c r="G491" s="124">
        <f t="shared" si="172"/>
        <v>14116.192429981507</v>
      </c>
      <c r="H491" s="124">
        <f t="shared" si="173"/>
        <v>1</v>
      </c>
      <c r="I491" s="124">
        <f t="shared" si="174"/>
        <v>1</v>
      </c>
      <c r="J491" s="124">
        <f t="shared" si="175"/>
        <v>4.2440025313543515E-6</v>
      </c>
      <c r="K491" s="124">
        <f t="shared" si="176"/>
        <v>0</v>
      </c>
      <c r="L491" s="124">
        <f t="shared" si="177"/>
        <v>0</v>
      </c>
      <c r="M491" s="120"/>
      <c r="N491" s="132">
        <f t="shared" si="165"/>
        <v>378.59935379220991</v>
      </c>
      <c r="O491" s="124">
        <f t="shared" si="178"/>
        <v>1190076.6768617854</v>
      </c>
      <c r="P491" s="124">
        <f t="shared" si="179"/>
        <v>1</v>
      </c>
      <c r="Q491" s="124">
        <f t="shared" si="180"/>
        <v>1</v>
      </c>
      <c r="R491" s="124">
        <f t="shared" si="181"/>
        <v>1053910.8449221218</v>
      </c>
      <c r="S491" s="124">
        <f t="shared" si="182"/>
        <v>396005.37257445802</v>
      </c>
      <c r="T491" s="124">
        <f t="shared" si="183"/>
        <v>1125854.4862247056</v>
      </c>
      <c r="U491" s="124">
        <f t="shared" si="184"/>
        <v>1</v>
      </c>
      <c r="V491" s="124">
        <f t="shared" si="185"/>
        <v>0</v>
      </c>
      <c r="W491" s="124">
        <f t="shared" si="186"/>
        <v>1</v>
      </c>
      <c r="X491" s="124">
        <f t="shared" si="187"/>
        <v>1</v>
      </c>
      <c r="Y491" s="124">
        <f t="shared" si="188"/>
        <v>0</v>
      </c>
      <c r="Z491" s="124">
        <f t="shared" si="189"/>
        <v>1</v>
      </c>
      <c r="AA491" s="124">
        <f t="shared" si="166"/>
        <v>5.8045729041201978E-4</v>
      </c>
      <c r="AB491" s="124">
        <f t="shared" si="190"/>
        <v>0</v>
      </c>
      <c r="AC491" s="124">
        <f t="shared" si="191"/>
        <v>0</v>
      </c>
    </row>
    <row r="492" spans="2:29" s="114" customFormat="1">
      <c r="B492" s="115">
        <f t="shared" si="167"/>
        <v>1.7999999999999405</v>
      </c>
      <c r="C492" s="124">
        <f t="shared" si="168"/>
        <v>63.095734448010731</v>
      </c>
      <c r="D492" s="124">
        <f t="shared" si="169"/>
        <v>13794.150030207707</v>
      </c>
      <c r="E492" s="124">
        <f t="shared" si="170"/>
        <v>1</v>
      </c>
      <c r="F492" s="124">
        <f t="shared" si="171"/>
        <v>1</v>
      </c>
      <c r="G492" s="124">
        <f t="shared" si="172"/>
        <v>13911.547621816024</v>
      </c>
      <c r="H492" s="124">
        <f t="shared" si="173"/>
        <v>1</v>
      </c>
      <c r="I492" s="124">
        <f t="shared" si="174"/>
        <v>1</v>
      </c>
      <c r="J492" s="124">
        <f t="shared" si="175"/>
        <v>1.3546091549970056E-5</v>
      </c>
      <c r="K492" s="124">
        <f t="shared" si="176"/>
        <v>0</v>
      </c>
      <c r="L492" s="124">
        <f t="shared" si="177"/>
        <v>0</v>
      </c>
      <c r="M492" s="120"/>
      <c r="N492" s="132">
        <f t="shared" si="165"/>
        <v>396.44219162944592</v>
      </c>
      <c r="O492" s="124">
        <f t="shared" si="178"/>
        <v>1202955.2643593764</v>
      </c>
      <c r="P492" s="124">
        <f t="shared" si="179"/>
        <v>1</v>
      </c>
      <c r="Q492" s="124">
        <f t="shared" si="180"/>
        <v>1</v>
      </c>
      <c r="R492" s="124">
        <f t="shared" si="181"/>
        <v>1064126.8565542111</v>
      </c>
      <c r="S492" s="124">
        <f t="shared" si="182"/>
        <v>399512.31669892312</v>
      </c>
      <c r="T492" s="124">
        <f t="shared" si="183"/>
        <v>1136651.2473199891</v>
      </c>
      <c r="U492" s="124">
        <f t="shared" si="184"/>
        <v>1</v>
      </c>
      <c r="V492" s="124">
        <f t="shared" si="185"/>
        <v>0</v>
      </c>
      <c r="W492" s="124">
        <f t="shared" si="186"/>
        <v>1</v>
      </c>
      <c r="X492" s="124">
        <f t="shared" si="187"/>
        <v>1</v>
      </c>
      <c r="Y492" s="124">
        <f t="shared" si="188"/>
        <v>0</v>
      </c>
      <c r="Z492" s="124">
        <f t="shared" si="189"/>
        <v>1</v>
      </c>
      <c r="AA492" s="124">
        <f t="shared" si="166"/>
        <v>6.0625490920407908E-4</v>
      </c>
      <c r="AB492" s="124">
        <f t="shared" si="190"/>
        <v>0</v>
      </c>
      <c r="AC492" s="124">
        <f t="shared" si="191"/>
        <v>0</v>
      </c>
    </row>
    <row r="493" spans="2:29" s="114" customFormat="1">
      <c r="B493" s="115">
        <f t="shared" si="167"/>
        <v>1.8199999999999406</v>
      </c>
      <c r="C493" s="124">
        <f t="shared" si="168"/>
        <v>66.069344800750585</v>
      </c>
      <c r="D493" s="124">
        <f t="shared" si="169"/>
        <v>13544.673860342544</v>
      </c>
      <c r="E493" s="124">
        <f t="shared" si="170"/>
        <v>1</v>
      </c>
      <c r="F493" s="124">
        <f t="shared" si="171"/>
        <v>1</v>
      </c>
      <c r="G493" s="124">
        <f t="shared" si="172"/>
        <v>13708.139491486025</v>
      </c>
      <c r="H493" s="124">
        <f t="shared" si="173"/>
        <v>1</v>
      </c>
      <c r="I493" s="124">
        <f t="shared" si="174"/>
        <v>1</v>
      </c>
      <c r="J493" s="124">
        <f t="shared" si="175"/>
        <v>2.7143713217303248E-5</v>
      </c>
      <c r="K493" s="124">
        <f t="shared" si="176"/>
        <v>0</v>
      </c>
      <c r="L493" s="124">
        <f t="shared" si="177"/>
        <v>0</v>
      </c>
      <c r="M493" s="120"/>
      <c r="N493" s="132">
        <f t="shared" si="165"/>
        <v>415.12593650705804</v>
      </c>
      <c r="O493" s="124">
        <f t="shared" si="178"/>
        <v>1215869.7472831768</v>
      </c>
      <c r="P493" s="124">
        <f t="shared" si="179"/>
        <v>1</v>
      </c>
      <c r="Q493" s="124">
        <f t="shared" si="180"/>
        <v>1</v>
      </c>
      <c r="R493" s="124">
        <f t="shared" si="181"/>
        <v>1074621.6926762587</v>
      </c>
      <c r="S493" s="124">
        <f t="shared" si="182"/>
        <v>403273.70909773005</v>
      </c>
      <c r="T493" s="124">
        <f t="shared" si="183"/>
        <v>1147798.5305879375</v>
      </c>
      <c r="U493" s="124">
        <f t="shared" si="184"/>
        <v>1</v>
      </c>
      <c r="V493" s="124">
        <f t="shared" si="185"/>
        <v>0</v>
      </c>
      <c r="W493" s="124">
        <f t="shared" si="186"/>
        <v>1</v>
      </c>
      <c r="X493" s="124">
        <f t="shared" si="187"/>
        <v>1</v>
      </c>
      <c r="Y493" s="124">
        <f t="shared" si="188"/>
        <v>0</v>
      </c>
      <c r="Z493" s="124">
        <f t="shared" si="189"/>
        <v>1</v>
      </c>
      <c r="AA493" s="124">
        <f t="shared" si="166"/>
        <v>6.2606987001221324E-4</v>
      </c>
      <c r="AB493" s="124">
        <f t="shared" si="190"/>
        <v>0</v>
      </c>
      <c r="AC493" s="124">
        <f t="shared" si="191"/>
        <v>0</v>
      </c>
    </row>
    <row r="494" spans="2:29" s="114" customFormat="1">
      <c r="B494" s="115">
        <f t="shared" si="167"/>
        <v>1.8399999999999406</v>
      </c>
      <c r="C494" s="124">
        <f t="shared" si="168"/>
        <v>69.183097091884193</v>
      </c>
      <c r="D494" s="124">
        <f t="shared" si="169"/>
        <v>13300.823535217029</v>
      </c>
      <c r="E494" s="124">
        <f t="shared" si="170"/>
        <v>1</v>
      </c>
      <c r="F494" s="124">
        <f t="shared" si="171"/>
        <v>1</v>
      </c>
      <c r="G494" s="124">
        <f t="shared" si="172"/>
        <v>13505.310112834806</v>
      </c>
      <c r="H494" s="124">
        <f t="shared" si="173"/>
        <v>1</v>
      </c>
      <c r="I494" s="124">
        <f t="shared" si="174"/>
        <v>1</v>
      </c>
      <c r="J494" s="124">
        <f t="shared" si="175"/>
        <v>4.390426574335624E-5</v>
      </c>
      <c r="K494" s="124">
        <f t="shared" si="176"/>
        <v>0</v>
      </c>
      <c r="L494" s="124">
        <f t="shared" si="177"/>
        <v>0</v>
      </c>
      <c r="M494" s="120"/>
      <c r="N494" s="132">
        <f t="shared" si="165"/>
        <v>434.69021915290551</v>
      </c>
      <c r="O494" s="124">
        <f t="shared" si="178"/>
        <v>1228818.7395988312</v>
      </c>
      <c r="P494" s="124">
        <f t="shared" si="179"/>
        <v>1</v>
      </c>
      <c r="Q494" s="124">
        <f t="shared" si="180"/>
        <v>1</v>
      </c>
      <c r="R494" s="124">
        <f t="shared" si="181"/>
        <v>1085429.4150593302</v>
      </c>
      <c r="S494" s="124">
        <f t="shared" si="182"/>
        <v>407262.63647889247</v>
      </c>
      <c r="T494" s="124">
        <f t="shared" si="183"/>
        <v>1159318.709478881</v>
      </c>
      <c r="U494" s="124">
        <f t="shared" si="184"/>
        <v>1</v>
      </c>
      <c r="V494" s="124">
        <f t="shared" si="185"/>
        <v>0</v>
      </c>
      <c r="W494" s="124">
        <f t="shared" si="186"/>
        <v>1</v>
      </c>
      <c r="X494" s="124">
        <f t="shared" si="187"/>
        <v>1</v>
      </c>
      <c r="Y494" s="124">
        <f t="shared" si="188"/>
        <v>0</v>
      </c>
      <c r="Z494" s="124">
        <f t="shared" si="189"/>
        <v>1</v>
      </c>
      <c r="AA494" s="124">
        <f t="shared" si="166"/>
        <v>6.39330266990515E-4</v>
      </c>
      <c r="AB494" s="124">
        <f t="shared" si="190"/>
        <v>0</v>
      </c>
      <c r="AC494" s="124">
        <f t="shared" si="191"/>
        <v>0</v>
      </c>
    </row>
    <row r="495" spans="2:29" s="114" customFormat="1">
      <c r="B495" s="115">
        <f t="shared" si="167"/>
        <v>1.8599999999999406</v>
      </c>
      <c r="C495" s="124">
        <f t="shared" si="168"/>
        <v>72.443596007489091</v>
      </c>
      <c r="D495" s="124">
        <f t="shared" si="169"/>
        <v>13062.464262843809</v>
      </c>
      <c r="E495" s="124">
        <f t="shared" si="170"/>
        <v>1</v>
      </c>
      <c r="F495" s="124">
        <f t="shared" si="171"/>
        <v>1</v>
      </c>
      <c r="G495" s="124">
        <f t="shared" si="172"/>
        <v>13302.52651603085</v>
      </c>
      <c r="H495" s="124">
        <f t="shared" si="173"/>
        <v>1</v>
      </c>
      <c r="I495" s="124">
        <f t="shared" si="174"/>
        <v>1</v>
      </c>
      <c r="J495" s="124">
        <f t="shared" si="175"/>
        <v>6.2552565647283089E-5</v>
      </c>
      <c r="K495" s="124">
        <f t="shared" si="176"/>
        <v>0</v>
      </c>
      <c r="L495" s="124">
        <f t="shared" si="177"/>
        <v>0</v>
      </c>
      <c r="M495" s="120"/>
      <c r="N495" s="132">
        <f t="shared" si="165"/>
        <v>455.17653803350919</v>
      </c>
      <c r="O495" s="124">
        <f t="shared" si="178"/>
        <v>1241800.8513726876</v>
      </c>
      <c r="P495" s="124">
        <f t="shared" si="179"/>
        <v>1</v>
      </c>
      <c r="Q495" s="124">
        <f t="shared" si="180"/>
        <v>1</v>
      </c>
      <c r="R495" s="124">
        <f t="shared" si="181"/>
        <v>1096581.2600033218</v>
      </c>
      <c r="S495" s="124">
        <f t="shared" si="182"/>
        <v>411447.89140452258</v>
      </c>
      <c r="T495" s="124">
        <f t="shared" si="183"/>
        <v>1171230.0487656987</v>
      </c>
      <c r="U495" s="124">
        <f t="shared" si="184"/>
        <v>1</v>
      </c>
      <c r="V495" s="124">
        <f t="shared" si="185"/>
        <v>0</v>
      </c>
      <c r="W495" s="124">
        <f t="shared" si="186"/>
        <v>1</v>
      </c>
      <c r="X495" s="124">
        <f t="shared" si="187"/>
        <v>1</v>
      </c>
      <c r="Y495" s="124">
        <f t="shared" si="188"/>
        <v>0</v>
      </c>
      <c r="Z495" s="124">
        <f t="shared" si="189"/>
        <v>1</v>
      </c>
      <c r="AA495" s="124">
        <f t="shared" si="166"/>
        <v>6.4565525579913022E-4</v>
      </c>
      <c r="AB495" s="124">
        <f t="shared" si="190"/>
        <v>0</v>
      </c>
      <c r="AC495" s="124">
        <f t="shared" si="191"/>
        <v>0</v>
      </c>
    </row>
    <row r="496" spans="2:29" s="114" customFormat="1">
      <c r="B496" s="115">
        <f t="shared" si="167"/>
        <v>1.8799999999999406</v>
      </c>
      <c r="C496" s="124">
        <f t="shared" si="168"/>
        <v>75.857757502908058</v>
      </c>
      <c r="D496" s="124">
        <f t="shared" si="169"/>
        <v>12829.464470101833</v>
      </c>
      <c r="E496" s="124">
        <f t="shared" si="170"/>
        <v>1</v>
      </c>
      <c r="F496" s="124">
        <f t="shared" si="171"/>
        <v>1</v>
      </c>
      <c r="G496" s="124">
        <f t="shared" si="172"/>
        <v>13099.378826804183</v>
      </c>
      <c r="H496" s="124">
        <f t="shared" si="173"/>
        <v>1</v>
      </c>
      <c r="I496" s="124">
        <f t="shared" si="174"/>
        <v>1</v>
      </c>
      <c r="J496" s="124">
        <f t="shared" si="175"/>
        <v>8.1760902075447871E-5</v>
      </c>
      <c r="K496" s="124">
        <f t="shared" si="176"/>
        <v>0</v>
      </c>
      <c r="L496" s="124">
        <f t="shared" si="177"/>
        <v>0</v>
      </c>
      <c r="M496" s="120"/>
      <c r="N496" s="132">
        <f t="shared" si="165"/>
        <v>476.62834737786392</v>
      </c>
      <c r="O496" s="124">
        <f t="shared" si="178"/>
        <v>1254814.6893458022</v>
      </c>
      <c r="P496" s="124">
        <f t="shared" si="179"/>
        <v>1</v>
      </c>
      <c r="Q496" s="124">
        <f t="shared" si="180"/>
        <v>1</v>
      </c>
      <c r="R496" s="124">
        <f t="shared" si="181"/>
        <v>1108105.0981959014</v>
      </c>
      <c r="S496" s="124">
        <f t="shared" si="182"/>
        <v>415794.19052560936</v>
      </c>
      <c r="T496" s="124">
        <f t="shared" si="183"/>
        <v>1183546.2464655088</v>
      </c>
      <c r="U496" s="124">
        <f t="shared" si="184"/>
        <v>1</v>
      </c>
      <c r="V496" s="124">
        <f t="shared" si="185"/>
        <v>0</v>
      </c>
      <c r="W496" s="124">
        <f t="shared" si="186"/>
        <v>1</v>
      </c>
      <c r="X496" s="124">
        <f t="shared" si="187"/>
        <v>1</v>
      </c>
      <c r="Y496" s="124">
        <f t="shared" si="188"/>
        <v>0</v>
      </c>
      <c r="Z496" s="124">
        <f t="shared" si="189"/>
        <v>1</v>
      </c>
      <c r="AA496" s="124">
        <f t="shared" si="166"/>
        <v>6.4487360323884214E-4</v>
      </c>
      <c r="AB496" s="124">
        <f t="shared" si="190"/>
        <v>0</v>
      </c>
      <c r="AC496" s="124">
        <f t="shared" si="191"/>
        <v>0</v>
      </c>
    </row>
    <row r="497" spans="2:29" s="114" customFormat="1">
      <c r="B497" s="115">
        <f t="shared" si="167"/>
        <v>1.8999999999999406</v>
      </c>
      <c r="C497" s="124">
        <f t="shared" si="168"/>
        <v>79.432823472417326</v>
      </c>
      <c r="D497" s="124">
        <f t="shared" si="169"/>
        <v>12601.69573243117</v>
      </c>
      <c r="E497" s="124">
        <f t="shared" si="170"/>
        <v>1</v>
      </c>
      <c r="F497" s="124">
        <f t="shared" si="171"/>
        <v>1</v>
      </c>
      <c r="G497" s="124">
        <f t="shared" si="172"/>
        <v>12895.575712445119</v>
      </c>
      <c r="H497" s="124">
        <f t="shared" si="173"/>
        <v>1</v>
      </c>
      <c r="I497" s="124">
        <f t="shared" si="174"/>
        <v>1</v>
      </c>
      <c r="J497" s="124">
        <f t="shared" si="175"/>
        <v>1.0023506299148008E-4</v>
      </c>
      <c r="K497" s="124">
        <f t="shared" si="176"/>
        <v>0</v>
      </c>
      <c r="L497" s="124">
        <f t="shared" si="177"/>
        <v>0</v>
      </c>
      <c r="M497" s="120"/>
      <c r="N497" s="132">
        <f t="shared" si="165"/>
        <v>499.09114934968233</v>
      </c>
      <c r="O497" s="124">
        <f t="shared" si="178"/>
        <v>1267858.8575044039</v>
      </c>
      <c r="P497" s="124">
        <f t="shared" si="179"/>
        <v>1</v>
      </c>
      <c r="Q497" s="124">
        <f t="shared" si="180"/>
        <v>1</v>
      </c>
      <c r="R497" s="124">
        <f t="shared" si="181"/>
        <v>1120024.8882221866</v>
      </c>
      <c r="S497" s="124">
        <f t="shared" si="182"/>
        <v>420262.46449589101</v>
      </c>
      <c r="T497" s="124">
        <f t="shared" si="183"/>
        <v>1196276.0088296018</v>
      </c>
      <c r="U497" s="124">
        <f t="shared" si="184"/>
        <v>1</v>
      </c>
      <c r="V497" s="124">
        <f t="shared" si="185"/>
        <v>0</v>
      </c>
      <c r="W497" s="124">
        <f t="shared" si="186"/>
        <v>1</v>
      </c>
      <c r="X497" s="124">
        <f t="shared" si="187"/>
        <v>1</v>
      </c>
      <c r="Y497" s="124">
        <f t="shared" si="188"/>
        <v>0</v>
      </c>
      <c r="Z497" s="124">
        <f t="shared" si="189"/>
        <v>1</v>
      </c>
      <c r="AA497" s="124">
        <f t="shared" si="166"/>
        <v>6.3703316550521843E-4</v>
      </c>
      <c r="AB497" s="124">
        <f t="shared" si="190"/>
        <v>0</v>
      </c>
      <c r="AC497" s="124">
        <f t="shared" si="191"/>
        <v>0</v>
      </c>
    </row>
    <row r="498" spans="2:29" s="114" customFormat="1">
      <c r="B498" s="115">
        <f t="shared" si="167"/>
        <v>1.9199999999999406</v>
      </c>
      <c r="C498" s="124">
        <f t="shared" si="168"/>
        <v>83.176377110255743</v>
      </c>
      <c r="D498" s="124">
        <f t="shared" si="169"/>
        <v>12379.032704670615</v>
      </c>
      <c r="E498" s="124">
        <f t="shared" si="170"/>
        <v>1</v>
      </c>
      <c r="F498" s="124">
        <f t="shared" si="171"/>
        <v>1</v>
      </c>
      <c r="G498" s="124">
        <f t="shared" si="172"/>
        <v>12690.937611036505</v>
      </c>
      <c r="H498" s="124">
        <f t="shared" si="173"/>
        <v>1</v>
      </c>
      <c r="I498" s="124">
        <f t="shared" si="174"/>
        <v>1</v>
      </c>
      <c r="J498" s="124">
        <f t="shared" si="175"/>
        <v>1.167912229184871E-4</v>
      </c>
      <c r="K498" s="124">
        <f t="shared" si="176"/>
        <v>0</v>
      </c>
      <c r="L498" s="124">
        <f t="shared" si="177"/>
        <v>0</v>
      </c>
      <c r="M498" s="120"/>
      <c r="N498" s="132">
        <f t="shared" si="165"/>
        <v>522.61259056358733</v>
      </c>
      <c r="O498" s="124">
        <f t="shared" si="178"/>
        <v>1280931.9576464156</v>
      </c>
      <c r="P498" s="124">
        <f t="shared" si="179"/>
        <v>1</v>
      </c>
      <c r="Q498" s="124">
        <f t="shared" si="180"/>
        <v>1</v>
      </c>
      <c r="R498" s="124">
        <f t="shared" si="181"/>
        <v>1132360.1339570007</v>
      </c>
      <c r="S498" s="124">
        <f t="shared" si="182"/>
        <v>424810.22868546983</v>
      </c>
      <c r="T498" s="124">
        <f t="shared" si="183"/>
        <v>1209422.6735806295</v>
      </c>
      <c r="U498" s="124">
        <f t="shared" si="184"/>
        <v>1</v>
      </c>
      <c r="V498" s="124">
        <f t="shared" si="185"/>
        <v>0</v>
      </c>
      <c r="W498" s="124">
        <f t="shared" si="186"/>
        <v>1</v>
      </c>
      <c r="X498" s="124">
        <f t="shared" si="187"/>
        <v>1</v>
      </c>
      <c r="Y498" s="124">
        <f t="shared" si="188"/>
        <v>0</v>
      </c>
      <c r="Z498" s="124">
        <f t="shared" si="189"/>
        <v>1</v>
      </c>
      <c r="AA498" s="124">
        <f t="shared" si="166"/>
        <v>6.2240044036527555E-4</v>
      </c>
      <c r="AB498" s="124">
        <f t="shared" si="190"/>
        <v>0</v>
      </c>
      <c r="AC498" s="124">
        <f t="shared" si="191"/>
        <v>0</v>
      </c>
    </row>
    <row r="499" spans="2:29" s="114" customFormat="1">
      <c r="B499" s="115">
        <f t="shared" si="167"/>
        <v>1.9399999999999407</v>
      </c>
      <c r="C499" s="124">
        <f t="shared" si="168"/>
        <v>87.096358995596233</v>
      </c>
      <c r="D499" s="124">
        <f t="shared" si="169"/>
        <v>12161.353053039396</v>
      </c>
      <c r="E499" s="124">
        <f t="shared" si="170"/>
        <v>1</v>
      </c>
      <c r="F499" s="124">
        <f t="shared" si="171"/>
        <v>1</v>
      </c>
      <c r="G499" s="124">
        <f t="shared" si="172"/>
        <v>12485.388265580181</v>
      </c>
      <c r="H499" s="124">
        <f t="shared" si="173"/>
        <v>1</v>
      </c>
      <c r="I499" s="124">
        <f t="shared" si="174"/>
        <v>1</v>
      </c>
      <c r="J499" s="124">
        <f t="shared" si="175"/>
        <v>1.3041995999495744E-4</v>
      </c>
      <c r="K499" s="124">
        <f t="shared" si="176"/>
        <v>0</v>
      </c>
      <c r="L499" s="124">
        <f t="shared" si="177"/>
        <v>0</v>
      </c>
      <c r="M499" s="120"/>
      <c r="N499" s="132">
        <f t="shared" si="165"/>
        <v>547.24256314996887</v>
      </c>
      <c r="O499" s="124">
        <f t="shared" si="178"/>
        <v>1294032.5899436902</v>
      </c>
      <c r="P499" s="124">
        <f t="shared" si="179"/>
        <v>1</v>
      </c>
      <c r="Q499" s="124">
        <f t="shared" si="180"/>
        <v>1</v>
      </c>
      <c r="R499" s="124">
        <f t="shared" si="181"/>
        <v>1145125.3592636536</v>
      </c>
      <c r="S499" s="124">
        <f t="shared" si="182"/>
        <v>429392.04231821513</v>
      </c>
      <c r="T499" s="124">
        <f t="shared" si="183"/>
        <v>1222983.8978641215</v>
      </c>
      <c r="U499" s="124">
        <f t="shared" si="184"/>
        <v>1</v>
      </c>
      <c r="V499" s="124">
        <f t="shared" si="185"/>
        <v>0</v>
      </c>
      <c r="W499" s="124">
        <f t="shared" si="186"/>
        <v>1</v>
      </c>
      <c r="X499" s="124">
        <f t="shared" si="187"/>
        <v>1</v>
      </c>
      <c r="Y499" s="124">
        <f t="shared" si="188"/>
        <v>0</v>
      </c>
      <c r="Z499" s="124">
        <f t="shared" si="189"/>
        <v>1</v>
      </c>
      <c r="AA499" s="124">
        <f t="shared" si="166"/>
        <v>6.0144987655987492E-4</v>
      </c>
      <c r="AB499" s="124">
        <f t="shared" si="190"/>
        <v>0</v>
      </c>
      <c r="AC499" s="124">
        <f t="shared" si="191"/>
        <v>0</v>
      </c>
    </row>
    <row r="500" spans="2:29" s="114" customFormat="1">
      <c r="B500" s="115">
        <f t="shared" si="167"/>
        <v>1.9599999999999407</v>
      </c>
      <c r="C500" s="124">
        <f t="shared" si="168"/>
        <v>91.201083935578581</v>
      </c>
      <c r="D500" s="124">
        <f t="shared" si="169"/>
        <v>11948.537388263454</v>
      </c>
      <c r="E500" s="124">
        <f t="shared" si="170"/>
        <v>1</v>
      </c>
      <c r="F500" s="124">
        <f t="shared" si="171"/>
        <v>1</v>
      </c>
      <c r="G500" s="124">
        <f t="shared" si="172"/>
        <v>12278.945092898915</v>
      </c>
      <c r="H500" s="124">
        <f t="shared" si="173"/>
        <v>1</v>
      </c>
      <c r="I500" s="124">
        <f t="shared" si="174"/>
        <v>1</v>
      </c>
      <c r="J500" s="124">
        <f t="shared" si="175"/>
        <v>1.4033507224124966E-4</v>
      </c>
      <c r="K500" s="124">
        <f t="shared" si="176"/>
        <v>0</v>
      </c>
      <c r="L500" s="124">
        <f t="shared" si="177"/>
        <v>0</v>
      </c>
      <c r="M500" s="120"/>
      <c r="N500" s="132">
        <f t="shared" ref="N500:N563" si="192">2*PI()*C500</f>
        <v>573.03331058287949</v>
      </c>
      <c r="O500" s="124">
        <f t="shared" si="178"/>
        <v>1307159.3534995308</v>
      </c>
      <c r="P500" s="124">
        <f t="shared" si="179"/>
        <v>1</v>
      </c>
      <c r="Q500" s="124">
        <f t="shared" si="180"/>
        <v>1</v>
      </c>
      <c r="R500" s="124">
        <f t="shared" si="181"/>
        <v>1158329.6164456136</v>
      </c>
      <c r="S500" s="124">
        <f t="shared" si="182"/>
        <v>433960.06124538614</v>
      </c>
      <c r="T500" s="124">
        <f t="shared" si="183"/>
        <v>1236951.4279433698</v>
      </c>
      <c r="U500" s="124">
        <f t="shared" si="184"/>
        <v>1</v>
      </c>
      <c r="V500" s="124">
        <f t="shared" si="185"/>
        <v>0</v>
      </c>
      <c r="W500" s="124">
        <f t="shared" si="186"/>
        <v>1</v>
      </c>
      <c r="X500" s="124">
        <f t="shared" si="187"/>
        <v>1</v>
      </c>
      <c r="Y500" s="124">
        <f t="shared" si="188"/>
        <v>0</v>
      </c>
      <c r="Z500" s="124">
        <f t="shared" si="189"/>
        <v>1</v>
      </c>
      <c r="AA500" s="124">
        <f t="shared" ref="AA500:AA563" si="193">(LOG10(O500)-LOG10(T500))^2</f>
        <v>5.7484323430159853E-4</v>
      </c>
      <c r="AB500" s="124">
        <f t="shared" si="190"/>
        <v>0</v>
      </c>
      <c r="AC500" s="124">
        <f t="shared" si="191"/>
        <v>0</v>
      </c>
    </row>
    <row r="501" spans="2:29" s="114" customFormat="1">
      <c r="B501" s="115">
        <f t="shared" ref="B501:B564" si="194">B500+0.02</f>
        <v>1.9799999999999407</v>
      </c>
      <c r="C501" s="124">
        <f t="shared" ref="C501:C564" si="195">10^B501</f>
        <v>95.499258602130595</v>
      </c>
      <c r="D501" s="124">
        <f t="shared" ref="D501:D564" si="196">IF(AND($D$12&lt;&gt;"",$E$12&lt;&gt;"",$F$12&lt;&gt;"",$G$12&lt;&gt;""),10^($D$12+$E$12/(1+EXP($F$12+$G$12*LOG10($C501)))),1)</f>
        <v>11740.469199844852</v>
      </c>
      <c r="E501" s="124">
        <f t="shared" ref="E501:E564" si="197">IF(AND($D$13&lt;&gt;"",$E$13&lt;&gt;"",$F$13&lt;&gt;"",$G$13&lt;&gt;""),10^($D$13+$E$13/(1+EXP($F$13+$G$13*LOG10($C501)))),1)</f>
        <v>1</v>
      </c>
      <c r="F501" s="124">
        <f t="shared" ref="F501:F564" si="198">IF(AND($D$14&lt;&gt;"",$E$14&lt;&gt;"",$F$14&lt;&gt;"",$G$14&lt;&gt;""),10^($D$14+$E$14/(1+EXP($F$14+$G$14*LOG10($C501)))),1)</f>
        <v>1</v>
      </c>
      <c r="G501" s="124">
        <f t="shared" ref="G501:G564" si="199">IF(OR($C$28="",$C$28=0),1,$C$28+$C$29*EXP(-C501/$F$29)+$C$30*EXP(-C501/$F$30)+$C$31*EXP(-C501/$F$31)+$C$32*EXP(-C501/$F$32)+$C$33*EXP(-C501/$F$33)+$C$34*EXP(-C501/$F$34)+$C$35*EXP(-C501/$F$35)+$C$36*EXP(-C501/$F$36)+$C$37*EXP(-C501/$F$37)+$C$38*EXP(-C501/$F$38)+$C$39*EXP(-C501/$F$39)+$C$40*EXP(-C501/$F$40)+$C$41*EXP(-C501/$F$41)+$C$42*EXP(-C501/$F$42))</f>
        <v>12071.708890561196</v>
      </c>
      <c r="H501" s="124">
        <f t="shared" ref="H501:H564" si="200">IF(OR($D$28="",$D$28=0),1,$D$28+$D$29*EXP(-C501/$F$29)+$D$30*EXP(-C501/$F$30)+$D$31*EXP(-C501/$F$31)+$D$32*EXP(-C501/$F$32)+$D$33*EXP(-C501/$F$33)+$D$34*EXP(-C501/$F$34)+$D$35*EXP(-C501/$F$35)+$D$36*EXP(-C501/$F$36)+$D$37*EXP(-C501/$F$37)+$D$38*EXP(-C501/$F$38)+$D$39*EXP(-C501/$F$39)+$D$40*EXP(-C501/$F$40)+$D$41*EXP(-C501/$F$41)+$D$42*EXP(-C501/$F$42))</f>
        <v>1</v>
      </c>
      <c r="I501" s="124">
        <f t="shared" ref="I501:I564" si="201">IF(OR($E$28="",$E$28=0),1,$E$28+$E$29*EXP(-C501/$F$29)+$E$30*EXP(-C501/$F$30)+$E$31*EXP(-C501/$F$31)+$E$32*EXP(-C501/$F$32)+$E$33*EXP(-C501/$F$33)+$E$34*EXP(-C501/$F$34)+$E$35*EXP(-C501/$F$35)+$E$36*EXP(-C501/$F$36)+$E$37*EXP(-C501/$F$37)+$E$38*EXP(-C501/$F$38)+$E$39*EXP(-C501/$F$39)+$E$40*EXP(-C501/$F$40)+$E$41*EXP(-C501/$F$41)+$E$42*EXP(-C501/$F$42))</f>
        <v>1</v>
      </c>
      <c r="J501" s="124">
        <f t="shared" ref="J501:J564" si="202">(LOG10(D501)-LOG10(G501))^2</f>
        <v>1.4600614697930856E-4</v>
      </c>
      <c r="K501" s="124">
        <f t="shared" ref="K501:K564" si="203">(LOG10(E501)-LOG10(H501))^2</f>
        <v>0</v>
      </c>
      <c r="L501" s="124">
        <f t="shared" ref="L501:L564" si="204">(LOG10(F501)-LOG10(I501))^2</f>
        <v>0</v>
      </c>
      <c r="M501" s="120"/>
      <c r="N501" s="132">
        <f t="shared" si="192"/>
        <v>600.03953849545064</v>
      </c>
      <c r="O501" s="124">
        <f t="shared" ref="O501:O564" si="205">IF(AND($L$12&lt;&gt;"",$M$12&lt;&gt;"",$N$12&lt;&gt;"",$O$12&lt;&gt;""),10^($L$12+$M$12/(1+EXP($N$12+$O$12*LOG10($C501)))),1)</f>
        <v>1320310.8469011192</v>
      </c>
      <c r="P501" s="124">
        <f t="shared" ref="P501:P564" si="206">IF(AND($L$13&lt;&gt;"",$M$13&lt;&gt;"",$N$13&lt;&gt;"",$O$13&lt;&gt;""),10^($L$13+$M$13/(1+EXP($N$13+$O$13*LOG10($C501)))),1)</f>
        <v>1</v>
      </c>
      <c r="Q501" s="124">
        <f t="shared" ref="Q501:Q564" si="207">IF(AND($L$14&lt;&gt;"",$M$14&lt;&gt;"",$N$14&lt;&gt;"",$O$14&lt;&gt;""),10^($L$14+$M$14/(1+EXP($N$14+$O$14*LOG10($C501)))),1)</f>
        <v>1</v>
      </c>
      <c r="R501" s="124">
        <f t="shared" ref="R501:R564" si="208">IF(OR($C$28="",$C$28=0),1,$C$28+($N501^2*$F$29^2*$C$29)/($N501^2*$F$29^2+1)+($N501^2*$F$30^2*$C$30)/($N501^2*$F$30^2+1)+($N501^2*$F$31^2*$C$31)/($N501^2*$F$31^2+1)+($N501^2*$F$32^2*$C$32)/($N501^2*$F$32^2+1)+($N501^2*$F$33^2*$C$33)/($N501^2*$F$33^2+1)+($N501^2*$F$34^2*$C$34)/($N501^2*$F$34^2+1)+($N501^2*$F$35^2*$C$35)/($N501^2*$F$35^2+1)+($N501^2*$F$36^2*$C$36)/($N501^2*$F$36^2+1)+($N501^2*$F$37^2*$C$37)/($N501^2*$F$37^2+1)+($N501^2*$F$38^2*$C$38)/($N501^2*$F$38^2+1)+($N501^2*$F$39^2*$C$39)/($N501^2*$F$39^2+1)+($N501^2*$F$40^2*$C$40)/($N501^2*$F$40^2+1)+($N501^2*$F$41^2*$C$41)/($N501^2*$F$41^2+1)+($N501^2*$F$42^2*$C$42)/($N501^2*$F$42^2+1))</f>
        <v>1171976.0475005691</v>
      </c>
      <c r="S501" s="124">
        <f t="shared" ref="S501:S564" si="209">IF(OR($C$28="",$C$28=0),0,($N501*$F$29*$C$29)/($N501^2*$F$29^2+1)+($N501*$F$30*$C$30)/($N501^2*$F$30^2+1)+($N501*$F$31*$C$31)/($N501^2*$F$31^2+1)+($N501*$F$32*$C$32)/($N501^2*$F$32^2+1)+($N501*$F$33*$C$33)/($N501^2*$F$33^2+1)+($N501*$F$34*$C$34)/($N501^2*$F$34^2+1)+($N501*$F$35*$C$35)/($N501^2*$F$35^2+1)+($N501*$F$36*$C$36)/($N501^2*$F$36^2+1)+($N501*$F$37*$C$37)/($N501^2*$F$37^2+1)+($N501*$F$38*$C$38)/($N501^2*$F$38^2+1)+($N501*$F$39*$C$39)/($N501^2*$F$39^2+1)+($N501*$F$40*$C$40)/($N501^2*$F$40^2+1)+($N501*$F$41*$C$41)/($N501^2*$F$41^2+1)+($N501*$F$42*$C$42)/($N501^2*$F$42^2+1))</f>
        <v>438464.68622439861</v>
      </c>
      <c r="T501" s="124">
        <f t="shared" ref="T501:T564" si="210">SQRT(R501^2+S501^2)</f>
        <v>1251310.9673382218</v>
      </c>
      <c r="U501" s="124">
        <f t="shared" ref="U501:U564" si="211">IF(OR($D$28="",$D$28=0),1,$D$28+($N501^2*$F$29^2*$D$29)/($N501^2*$F$29^2+1)+($N501^2*$F$30^2*$D$30)/($N501^2*$F$30^2+1)+($N501^2*$F$31^2*$D$31)/($N501^2*$F$31^2+1)+($N501^2*$F$32^2*$D$32)/($N501^2*$F$32^2+1)+($N501^2*$F$33^2*$D$33)/($N501^2*$F$33^2+1)+($N501^2*$F$34^2*$D$34)/($N501^2*$F$34^2+1)+($N501^2*$F$35^2*$D$35)/($N501^2*$F$35^2+1)+($N501^2*$F$36^2*$D$36)/($N501^2*$F$36^2+1)+($N501^2*$F$37^2*$D$37)/($N501^2*$F$37^2+1)+($N501^2*$F$38^2*$D$38)/($N501^2*$F$38^2+1)+($N501^2*$F$39^2*$D$39)/($N501^2*$F$39^2+1)+($N501^2*$F$40^2*$D$40)/($N501^2*$F$40^2+1)+($N501^2*$F$41^2*$D$41)/($N501^2*$F$41^2+1)+($N501^2*$F$42^2*$D$42)/($N501^2*$F$42^2+1))</f>
        <v>1</v>
      </c>
      <c r="V501" s="124">
        <f t="shared" ref="V501:V564" si="212">IF(OR($D$28="",$D$28=0),0,($N501*$F$29*$D$29)/($N501^2*$F$29^2+1)+($N501*$F$30*$D$30)/($N501^2*$F$30^2+1)+($N501*$F$31*$D$31)/($N501^2*$F$31^2+1)+($N501*$F$32*$D$32)/($N501^2*$F$32^2+1)+($N501*$F$33*$D$33)/($N501^2*$F$33^2+1)+($N501*$F$34*$D$34)/($N501^2*$F$34^2+1)+($N501*$F$35*$D$35)/($N501^2*$F$35^2+1)+($N501*$F$36*$D$36)/($N501^2*$F$36^2+1)+($N501*$F$37*$D$37)/($N501^2*$F$37^2+1)+($N501*$F$38*$D$38)/($N501^2*$F$38^2+1)+($N501*$F$39*$D$39)/($N501^2*$F$39^2+1)+($N501*$F$40*$D$40)/($N501^2*$F$40^2+1)+($N501*$F$41*$D$41)/($N501^2*$F$41^2+1)+($N501*$F$42*$D$42)/($N501^2*$F$42^2+1))</f>
        <v>0</v>
      </c>
      <c r="W501" s="124">
        <f t="shared" ref="W501:W564" si="213">SQRT(U501^2+V501^2)</f>
        <v>1</v>
      </c>
      <c r="X501" s="124">
        <f t="shared" ref="X501:X564" si="214">IF(OR($E$28="",$E$28=0),1,$E$28+($N501^2*$F$29^2*$E$29)/($N501^2*$F$29^2+1)+($N501^2*$F$30^2*$E$30)/($N501^2*$F$30^2+1)+($N501^2*$F$31^2*$E$31)/($N501^2*$F$31^2+1)+($N501^2*$F$32^2*$E$32)/($N501^2*$F$32^2+1)+($N501^2*$F$33^2*$E$33)/($N501^2*$F$33^2+1)+($N501^2*$F$34^2*$E$34)/($N501^2*$F$34^2+1)+($N501^2*$F$35^2*$E$35)/($N501^2*$F$35^2+1)+($N501^2*$F$36^2*$E$36)/($N501^2*$F$36^2+1)+($N501^2*$F$37^2*$E$37)/($N501^2*$F$37^2+1)+($N501^2*$F$38^2*$E$38)/($N501^2*$F$38^2+1)+($N501^2*$F$39^2*$E$39)/($N501^2*$F$39^2+1)+($N501^2*$F$40^2*$E$40)/($N501^2*$F$40^2+1)+($N501^2*$F$41^2*$E$41)/($N501^2*$F$41^2+1)+($N501^2*$F$42^2*$E$42)/($N501^2*$F$42^2+1))</f>
        <v>1</v>
      </c>
      <c r="Y501" s="124">
        <f t="shared" ref="Y501:Y564" si="215">IF(OR($E$28="",$E$28=0),0,($N501*$F$29*$E$29)/($N501^2*$F$29^2+1)+($N501*$F$30*$E$30)/($N501^2*$F$30^2+1)+($N501*$F$31*$E$31)/($N501^2*$F$31^2+1)+($N501*$F$32*$E$32)/($N501^2*$F$32^2+1)+($N501*$F$33*$E$33)/($N501^2*$F$33^2+1)+($N501*$F$34*$E$34)/($N501^2*$F$34^2+1)+($N501*$F$35*$E$35)/($N501^2*$F$35^2+1)+($N501*$F$36*$E$36)/($N501^2*$F$36^2+1)+($N501*$F$37*$E$37)/($N501^2*$F$37^2+1)+($N501*$F$38*$E$38)/($N501^2*$F$38^2+1)+($N501*$F$39*$E$39)/($N501^2*$F$39^2+1)+($N501*$F$40*$E$40)/($N501^2*$F$40^2+1)+($N501*$F$41*$E$41)/($N501^2*$F$41^2+1)+($N501*$F$42*$E$42)/($N501^2*$F$42^2+1))</f>
        <v>0</v>
      </c>
      <c r="Z501" s="124">
        <f t="shared" ref="Z501:Z564" si="216">SQRT(X501^2+Y501^2)</f>
        <v>1</v>
      </c>
      <c r="AA501" s="124">
        <f t="shared" si="193"/>
        <v>5.4339993174369117E-4</v>
      </c>
      <c r="AB501" s="124">
        <f t="shared" ref="AB501:AB564" si="217">(LOG10(P501)-LOG10(W501))^2</f>
        <v>0</v>
      </c>
      <c r="AC501" s="124">
        <f t="shared" ref="AC501:AC564" si="218">(LOG10(Q501)-LOG10(Z501))^2</f>
        <v>0</v>
      </c>
    </row>
    <row r="502" spans="2:29" s="114" customFormat="1">
      <c r="B502" s="115">
        <f t="shared" si="194"/>
        <v>1.9999999999999407</v>
      </c>
      <c r="C502" s="124">
        <f t="shared" si="195"/>
        <v>99.999999999986372</v>
      </c>
      <c r="D502" s="124">
        <f t="shared" si="196"/>
        <v>11537.034791472808</v>
      </c>
      <c r="E502" s="124">
        <f t="shared" si="197"/>
        <v>1</v>
      </c>
      <c r="F502" s="124">
        <f t="shared" si="198"/>
        <v>1</v>
      </c>
      <c r="G502" s="124">
        <f t="shared" si="199"/>
        <v>11863.853328709551</v>
      </c>
      <c r="H502" s="124">
        <f t="shared" si="200"/>
        <v>1</v>
      </c>
      <c r="I502" s="124">
        <f t="shared" si="201"/>
        <v>1</v>
      </c>
      <c r="J502" s="124">
        <f t="shared" si="202"/>
        <v>1.4717490869161414E-4</v>
      </c>
      <c r="K502" s="124">
        <f t="shared" si="203"/>
        <v>0</v>
      </c>
      <c r="L502" s="124">
        <f t="shared" si="204"/>
        <v>0</v>
      </c>
      <c r="M502" s="120"/>
      <c r="N502" s="132">
        <f t="shared" si="192"/>
        <v>628.31853071787305</v>
      </c>
      <c r="O502" s="124">
        <f t="shared" si="205"/>
        <v>1333485.6687665565</v>
      </c>
      <c r="P502" s="124">
        <f t="shared" si="206"/>
        <v>1</v>
      </c>
      <c r="Q502" s="124">
        <f t="shared" si="207"/>
        <v>1</v>
      </c>
      <c r="R502" s="124">
        <f t="shared" si="208"/>
        <v>1186061.5191348174</v>
      </c>
      <c r="S502" s="124">
        <f t="shared" si="209"/>
        <v>442855.30434809945</v>
      </c>
      <c r="T502" s="124">
        <f t="shared" si="210"/>
        <v>1266042.158761563</v>
      </c>
      <c r="U502" s="124">
        <f t="shared" si="211"/>
        <v>1</v>
      </c>
      <c r="V502" s="124">
        <f t="shared" si="212"/>
        <v>0</v>
      </c>
      <c r="W502" s="124">
        <f t="shared" si="213"/>
        <v>1</v>
      </c>
      <c r="X502" s="124">
        <f t="shared" si="214"/>
        <v>1</v>
      </c>
      <c r="Y502" s="124">
        <f t="shared" si="215"/>
        <v>0</v>
      </c>
      <c r="Z502" s="124">
        <f t="shared" si="216"/>
        <v>1</v>
      </c>
      <c r="AA502" s="124">
        <f t="shared" si="193"/>
        <v>5.0805993198535873E-4</v>
      </c>
      <c r="AB502" s="124">
        <f t="shared" si="217"/>
        <v>0</v>
      </c>
      <c r="AC502" s="124">
        <f t="shared" si="218"/>
        <v>0</v>
      </c>
    </row>
    <row r="503" spans="2:29" s="114" customFormat="1">
      <c r="B503" s="115">
        <f t="shared" si="194"/>
        <v>2.0199999999999405</v>
      </c>
      <c r="C503" s="124">
        <f t="shared" si="195"/>
        <v>104.71285480507565</v>
      </c>
      <c r="D503" s="124">
        <f t="shared" si="196"/>
        <v>11338.123217572622</v>
      </c>
      <c r="E503" s="124">
        <f t="shared" si="197"/>
        <v>1</v>
      </c>
      <c r="F503" s="124">
        <f t="shared" si="198"/>
        <v>1</v>
      </c>
      <c r="G503" s="124">
        <f t="shared" si="199"/>
        <v>11655.614595076009</v>
      </c>
      <c r="H503" s="124">
        <f t="shared" si="200"/>
        <v>1</v>
      </c>
      <c r="I503" s="124">
        <f t="shared" si="201"/>
        <v>1</v>
      </c>
      <c r="J503" s="124">
        <f t="shared" si="202"/>
        <v>1.4385618492751242E-4</v>
      </c>
      <c r="K503" s="124">
        <f t="shared" si="203"/>
        <v>0</v>
      </c>
      <c r="L503" s="124">
        <f t="shared" si="204"/>
        <v>0</v>
      </c>
      <c r="M503" s="120"/>
      <c r="N503" s="132">
        <f t="shared" si="192"/>
        <v>657.93027078408068</v>
      </c>
      <c r="O503" s="124">
        <f t="shared" si="205"/>
        <v>1346682.4182860893</v>
      </c>
      <c r="P503" s="124">
        <f t="shared" si="206"/>
        <v>1</v>
      </c>
      <c r="Q503" s="124">
        <f t="shared" si="207"/>
        <v>1</v>
      </c>
      <c r="R503" s="124">
        <f t="shared" si="208"/>
        <v>1200576.3534280928</v>
      </c>
      <c r="S503" s="124">
        <f t="shared" si="209"/>
        <v>447081.1163018556</v>
      </c>
      <c r="T503" s="124">
        <f t="shared" si="210"/>
        <v>1281118.6927698816</v>
      </c>
      <c r="U503" s="124">
        <f t="shared" si="211"/>
        <v>1</v>
      </c>
      <c r="V503" s="124">
        <f t="shared" si="212"/>
        <v>0</v>
      </c>
      <c r="W503" s="124">
        <f t="shared" si="213"/>
        <v>1</v>
      </c>
      <c r="X503" s="124">
        <f t="shared" si="214"/>
        <v>1</v>
      </c>
      <c r="Y503" s="124">
        <f t="shared" si="215"/>
        <v>0</v>
      </c>
      <c r="Z503" s="124">
        <f t="shared" si="216"/>
        <v>1</v>
      </c>
      <c r="AA503" s="124">
        <f t="shared" si="193"/>
        <v>4.6984126703989262E-4</v>
      </c>
      <c r="AB503" s="124">
        <f t="shared" si="217"/>
        <v>0</v>
      </c>
      <c r="AC503" s="124">
        <f t="shared" si="218"/>
        <v>0</v>
      </c>
    </row>
    <row r="504" spans="2:29" s="114" customFormat="1">
      <c r="B504" s="115">
        <f t="shared" si="194"/>
        <v>2.0399999999999405</v>
      </c>
      <c r="C504" s="124">
        <f t="shared" si="195"/>
        <v>109.64781961430351</v>
      </c>
      <c r="D504" s="124">
        <f t="shared" si="196"/>
        <v>11143.626220989079</v>
      </c>
      <c r="E504" s="124">
        <f t="shared" si="197"/>
        <v>1</v>
      </c>
      <c r="F504" s="124">
        <f t="shared" si="198"/>
        <v>1</v>
      </c>
      <c r="G504" s="124">
        <f t="shared" si="199"/>
        <v>11447.281469624992</v>
      </c>
      <c r="H504" s="124">
        <f t="shared" si="200"/>
        <v>1</v>
      </c>
      <c r="I504" s="124">
        <f t="shared" si="201"/>
        <v>1</v>
      </c>
      <c r="J504" s="124">
        <f t="shared" si="202"/>
        <v>1.36324888398959E-4</v>
      </c>
      <c r="K504" s="124">
        <f t="shared" si="203"/>
        <v>0</v>
      </c>
      <c r="L504" s="124">
        <f t="shared" si="204"/>
        <v>0</v>
      </c>
      <c r="M504" s="120"/>
      <c r="N504" s="132">
        <f t="shared" si="192"/>
        <v>688.9375691648695</v>
      </c>
      <c r="O504" s="124">
        <f t="shared" si="205"/>
        <v>1359899.695757251</v>
      </c>
      <c r="P504" s="124">
        <f t="shared" si="206"/>
        <v>1</v>
      </c>
      <c r="Q504" s="124">
        <f t="shared" si="207"/>
        <v>1</v>
      </c>
      <c r="R504" s="124">
        <f t="shared" si="208"/>
        <v>1215504.1757337544</v>
      </c>
      <c r="S504" s="124">
        <f t="shared" si="209"/>
        <v>451092.03664178029</v>
      </c>
      <c r="T504" s="124">
        <f t="shared" si="210"/>
        <v>1296508.552516266</v>
      </c>
      <c r="U504" s="124">
        <f t="shared" si="211"/>
        <v>1</v>
      </c>
      <c r="V504" s="124">
        <f t="shared" si="212"/>
        <v>0</v>
      </c>
      <c r="W504" s="124">
        <f t="shared" si="213"/>
        <v>1</v>
      </c>
      <c r="X504" s="124">
        <f t="shared" si="214"/>
        <v>1</v>
      </c>
      <c r="Y504" s="124">
        <f t="shared" si="215"/>
        <v>0</v>
      </c>
      <c r="Z504" s="124">
        <f t="shared" si="216"/>
        <v>1</v>
      </c>
      <c r="AA504" s="124">
        <f t="shared" si="193"/>
        <v>4.2979470436474513E-4</v>
      </c>
      <c r="AB504" s="124">
        <f t="shared" si="217"/>
        <v>0</v>
      </c>
      <c r="AC504" s="124">
        <f t="shared" si="218"/>
        <v>0</v>
      </c>
    </row>
    <row r="505" spans="2:29" s="114" customFormat="1">
      <c r="B505" s="115">
        <f t="shared" si="194"/>
        <v>2.0599999999999405</v>
      </c>
      <c r="C505" s="124">
        <f t="shared" si="195"/>
        <v>114.81536214967265</v>
      </c>
      <c r="D505" s="124">
        <f t="shared" si="196"/>
        <v>10953.438171799118</v>
      </c>
      <c r="E505" s="124">
        <f t="shared" si="197"/>
        <v>1</v>
      </c>
      <c r="F505" s="124">
        <f t="shared" si="198"/>
        <v>1</v>
      </c>
      <c r="G505" s="124">
        <f t="shared" si="199"/>
        <v>11239.186009586529</v>
      </c>
      <c r="H505" s="124">
        <f t="shared" si="200"/>
        <v>1</v>
      </c>
      <c r="I505" s="124">
        <f t="shared" si="201"/>
        <v>1</v>
      </c>
      <c r="J505" s="124">
        <f t="shared" si="202"/>
        <v>1.2509075267366616E-4</v>
      </c>
      <c r="K505" s="124">
        <f t="shared" si="203"/>
        <v>0</v>
      </c>
      <c r="L505" s="124">
        <f t="shared" si="204"/>
        <v>0</v>
      </c>
      <c r="M505" s="120"/>
      <c r="N505" s="132">
        <f t="shared" si="192"/>
        <v>721.40619649732639</v>
      </c>
      <c r="O505" s="124">
        <f t="shared" si="205"/>
        <v>1373136.1031135367</v>
      </c>
      <c r="P505" s="124">
        <f t="shared" si="206"/>
        <v>1</v>
      </c>
      <c r="Q505" s="124">
        <f t="shared" si="207"/>
        <v>1</v>
      </c>
      <c r="R505" s="124">
        <f t="shared" si="208"/>
        <v>1230821.8996489793</v>
      </c>
      <c r="S505" s="124">
        <f t="shared" si="209"/>
        <v>454839.64860909531</v>
      </c>
      <c r="T505" s="124">
        <f t="shared" si="210"/>
        <v>1312174.3994615835</v>
      </c>
      <c r="U505" s="124">
        <f t="shared" si="211"/>
        <v>1</v>
      </c>
      <c r="V505" s="124">
        <f t="shared" si="212"/>
        <v>0</v>
      </c>
      <c r="W505" s="124">
        <f t="shared" si="213"/>
        <v>1</v>
      </c>
      <c r="X505" s="124">
        <f t="shared" si="214"/>
        <v>1</v>
      </c>
      <c r="Y505" s="124">
        <f t="shared" si="215"/>
        <v>0</v>
      </c>
      <c r="Z505" s="124">
        <f t="shared" si="216"/>
        <v>1</v>
      </c>
      <c r="AA505" s="124">
        <f t="shared" si="193"/>
        <v>3.8895829179769577E-4</v>
      </c>
      <c r="AB505" s="124">
        <f t="shared" si="217"/>
        <v>0</v>
      </c>
      <c r="AC505" s="124">
        <f t="shared" si="218"/>
        <v>0</v>
      </c>
    </row>
    <row r="506" spans="2:29" s="114" customFormat="1">
      <c r="B506" s="115">
        <f t="shared" si="194"/>
        <v>2.0799999999999406</v>
      </c>
      <c r="C506" s="124">
        <f t="shared" si="195"/>
        <v>120.22644346172491</v>
      </c>
      <c r="D506" s="124">
        <f t="shared" si="196"/>
        <v>10767.456007247809</v>
      </c>
      <c r="E506" s="124">
        <f t="shared" si="197"/>
        <v>1</v>
      </c>
      <c r="F506" s="124">
        <f t="shared" si="198"/>
        <v>1</v>
      </c>
      <c r="G506" s="124">
        <f t="shared" si="199"/>
        <v>11031.694934919984</v>
      </c>
      <c r="H506" s="124">
        <f t="shared" si="200"/>
        <v>1</v>
      </c>
      <c r="I506" s="124">
        <f t="shared" si="201"/>
        <v>1</v>
      </c>
      <c r="J506" s="124">
        <f t="shared" si="202"/>
        <v>1.1086273717478531E-4</v>
      </c>
      <c r="K506" s="124">
        <f t="shared" si="203"/>
        <v>0</v>
      </c>
      <c r="L506" s="124">
        <f t="shared" si="204"/>
        <v>0</v>
      </c>
      <c r="M506" s="120"/>
      <c r="N506" s="132">
        <f t="shared" si="192"/>
        <v>755.40502309316719</v>
      </c>
      <c r="O506" s="124">
        <f t="shared" si="205"/>
        <v>1386390.2444463638</v>
      </c>
      <c r="P506" s="124">
        <f t="shared" si="206"/>
        <v>1</v>
      </c>
      <c r="Q506" s="124">
        <f t="shared" si="207"/>
        <v>1</v>
      </c>
      <c r="R506" s="124">
        <f t="shared" si="208"/>
        <v>1246499.8655742933</v>
      </c>
      <c r="S506" s="124">
        <f t="shared" si="209"/>
        <v>458278.18952572433</v>
      </c>
      <c r="T506" s="124">
        <f t="shared" si="210"/>
        <v>1328074.0995410259</v>
      </c>
      <c r="U506" s="124">
        <f t="shared" si="211"/>
        <v>1</v>
      </c>
      <c r="V506" s="124">
        <f t="shared" si="212"/>
        <v>0</v>
      </c>
      <c r="W506" s="124">
        <f t="shared" si="213"/>
        <v>1</v>
      </c>
      <c r="X506" s="124">
        <f t="shared" si="214"/>
        <v>1</v>
      </c>
      <c r="Y506" s="124">
        <f t="shared" si="215"/>
        <v>0</v>
      </c>
      <c r="Z506" s="124">
        <f t="shared" si="216"/>
        <v>1</v>
      </c>
      <c r="AA506" s="124">
        <f t="shared" si="193"/>
        <v>3.4831453712369119E-4</v>
      </c>
      <c r="AB506" s="124">
        <f t="shared" si="217"/>
        <v>0</v>
      </c>
      <c r="AC506" s="124">
        <f t="shared" si="218"/>
        <v>0</v>
      </c>
    </row>
    <row r="507" spans="2:29" s="114" customFormat="1">
      <c r="B507" s="115">
        <f t="shared" si="194"/>
        <v>2.0999999999999406</v>
      </c>
      <c r="C507" s="124">
        <f t="shared" si="195"/>
        <v>125.89254117939954</v>
      </c>
      <c r="D507" s="124">
        <f t="shared" si="196"/>
        <v>10585.579172801456</v>
      </c>
      <c r="E507" s="124">
        <f t="shared" si="197"/>
        <v>1</v>
      </c>
      <c r="F507" s="124">
        <f t="shared" si="198"/>
        <v>1</v>
      </c>
      <c r="G507" s="124">
        <f t="shared" si="199"/>
        <v>10825.201725735442</v>
      </c>
      <c r="H507" s="124">
        <f t="shared" si="200"/>
        <v>1</v>
      </c>
      <c r="I507" s="124">
        <f t="shared" si="201"/>
        <v>1</v>
      </c>
      <c r="J507" s="124">
        <f t="shared" si="202"/>
        <v>9.4505100361833811E-5</v>
      </c>
      <c r="K507" s="124">
        <f t="shared" si="203"/>
        <v>0</v>
      </c>
      <c r="L507" s="124">
        <f t="shared" si="204"/>
        <v>0</v>
      </c>
      <c r="M507" s="120"/>
      <c r="N507" s="132">
        <f t="shared" si="192"/>
        <v>791.00616502190428</v>
      </c>
      <c r="O507" s="124">
        <f t="shared" si="205"/>
        <v>1399660.7265199518</v>
      </c>
      <c r="P507" s="124">
        <f t="shared" si="206"/>
        <v>1</v>
      </c>
      <c r="Q507" s="124">
        <f t="shared" si="207"/>
        <v>1</v>
      </c>
      <c r="R507" s="124">
        <f t="shared" si="208"/>
        <v>1262502.1445019145</v>
      </c>
      <c r="S507" s="124">
        <f t="shared" si="209"/>
        <v>461365.53801281127</v>
      </c>
      <c r="T507" s="124">
        <f t="shared" si="210"/>
        <v>1344161.3833680032</v>
      </c>
      <c r="U507" s="124">
        <f t="shared" si="211"/>
        <v>1</v>
      </c>
      <c r="V507" s="124">
        <f t="shared" si="212"/>
        <v>0</v>
      </c>
      <c r="W507" s="124">
        <f t="shared" si="213"/>
        <v>1</v>
      </c>
      <c r="X507" s="124">
        <f t="shared" si="214"/>
        <v>1</v>
      </c>
      <c r="Y507" s="124">
        <f t="shared" si="215"/>
        <v>0</v>
      </c>
      <c r="Z507" s="124">
        <f t="shared" si="216"/>
        <v>1</v>
      </c>
      <c r="AA507" s="124">
        <f t="shared" si="193"/>
        <v>3.0875277847970976E-4</v>
      </c>
      <c r="AB507" s="124">
        <f t="shared" si="217"/>
        <v>0</v>
      </c>
      <c r="AC507" s="124">
        <f t="shared" si="218"/>
        <v>0</v>
      </c>
    </row>
    <row r="508" spans="2:29" s="114" customFormat="1">
      <c r="B508" s="115">
        <f t="shared" si="194"/>
        <v>2.1199999999999406</v>
      </c>
      <c r="C508" s="124">
        <f t="shared" si="195"/>
        <v>131.82567385562271</v>
      </c>
      <c r="D508" s="124">
        <f t="shared" si="196"/>
        <v>10407.709564310158</v>
      </c>
      <c r="E508" s="124">
        <f t="shared" si="197"/>
        <v>1</v>
      </c>
      <c r="F508" s="124">
        <f t="shared" si="198"/>
        <v>1</v>
      </c>
      <c r="G508" s="124">
        <f t="shared" si="199"/>
        <v>10620.11938198009</v>
      </c>
      <c r="H508" s="124">
        <f t="shared" si="200"/>
        <v>1</v>
      </c>
      <c r="I508" s="124">
        <f t="shared" si="201"/>
        <v>1</v>
      </c>
      <c r="J508" s="124">
        <f t="shared" si="202"/>
        <v>7.6987188408125107E-5</v>
      </c>
      <c r="K508" s="124">
        <f t="shared" si="203"/>
        <v>0</v>
      </c>
      <c r="L508" s="124">
        <f t="shared" si="204"/>
        <v>0</v>
      </c>
      <c r="M508" s="120"/>
      <c r="N508" s="132">
        <f t="shared" si="192"/>
        <v>828.28513707869672</v>
      </c>
      <c r="O508" s="124">
        <f t="shared" si="205"/>
        <v>1412946.1592789011</v>
      </c>
      <c r="P508" s="124">
        <f t="shared" si="206"/>
        <v>1</v>
      </c>
      <c r="Q508" s="124">
        <f t="shared" si="207"/>
        <v>1</v>
      </c>
      <c r="R508" s="124">
        <f t="shared" si="208"/>
        <v>1278787.012373022</v>
      </c>
      <c r="S508" s="124">
        <f t="shared" si="209"/>
        <v>464064.17061143793</v>
      </c>
      <c r="T508" s="124">
        <f t="shared" si="210"/>
        <v>1360386.6279331041</v>
      </c>
      <c r="U508" s="124">
        <f t="shared" si="211"/>
        <v>1</v>
      </c>
      <c r="V508" s="124">
        <f t="shared" si="212"/>
        <v>0</v>
      </c>
      <c r="W508" s="124">
        <f t="shared" si="213"/>
        <v>1</v>
      </c>
      <c r="X508" s="124">
        <f t="shared" si="214"/>
        <v>1</v>
      </c>
      <c r="Y508" s="124">
        <f t="shared" si="215"/>
        <v>0</v>
      </c>
      <c r="Z508" s="124">
        <f t="shared" si="216"/>
        <v>1</v>
      </c>
      <c r="AA508" s="124">
        <f t="shared" si="193"/>
        <v>2.7103889393868873E-4</v>
      </c>
      <c r="AB508" s="124">
        <f t="shared" si="217"/>
        <v>0</v>
      </c>
      <c r="AC508" s="124">
        <f t="shared" si="218"/>
        <v>0</v>
      </c>
    </row>
    <row r="509" spans="2:29" s="114" customFormat="1">
      <c r="B509" s="115">
        <f t="shared" si="194"/>
        <v>2.1399999999999406</v>
      </c>
      <c r="C509" s="124">
        <f t="shared" si="195"/>
        <v>138.03842646026973</v>
      </c>
      <c r="D509" s="124">
        <f t="shared" si="196"/>
        <v>10233.751471271849</v>
      </c>
      <c r="E509" s="124">
        <f t="shared" si="197"/>
        <v>1</v>
      </c>
      <c r="F509" s="124">
        <f t="shared" si="198"/>
        <v>1</v>
      </c>
      <c r="G509" s="124">
        <f t="shared" si="199"/>
        <v>10416.873754382983</v>
      </c>
      <c r="H509" s="124">
        <f t="shared" si="200"/>
        <v>1</v>
      </c>
      <c r="I509" s="124">
        <f t="shared" si="201"/>
        <v>1</v>
      </c>
      <c r="J509" s="124">
        <f t="shared" si="202"/>
        <v>5.9329045379662925E-5</v>
      </c>
      <c r="K509" s="124">
        <f t="shared" si="203"/>
        <v>0</v>
      </c>
      <c r="L509" s="124">
        <f t="shared" si="204"/>
        <v>0</v>
      </c>
      <c r="M509" s="120"/>
      <c r="N509" s="132">
        <f t="shared" si="192"/>
        <v>867.32101296135659</v>
      </c>
      <c r="O509" s="124">
        <f t="shared" si="205"/>
        <v>1426245.1563481132</v>
      </c>
      <c r="P509" s="124">
        <f t="shared" si="206"/>
        <v>1</v>
      </c>
      <c r="Q509" s="124">
        <f t="shared" si="207"/>
        <v>1</v>
      </c>
      <c r="R509" s="124">
        <f t="shared" si="208"/>
        <v>1295307.5929251947</v>
      </c>
      <c r="S509" s="124">
        <f t="shared" si="209"/>
        <v>466342.05330447195</v>
      </c>
      <c r="T509" s="124">
        <f t="shared" si="210"/>
        <v>1376697.7413251947</v>
      </c>
      <c r="U509" s="124">
        <f t="shared" si="211"/>
        <v>1</v>
      </c>
      <c r="V509" s="124">
        <f t="shared" si="212"/>
        <v>0</v>
      </c>
      <c r="W509" s="124">
        <f t="shared" si="213"/>
        <v>1</v>
      </c>
      <c r="X509" s="124">
        <f t="shared" si="214"/>
        <v>1</v>
      </c>
      <c r="Y509" s="124">
        <f t="shared" si="215"/>
        <v>0</v>
      </c>
      <c r="Z509" s="124">
        <f t="shared" si="216"/>
        <v>1</v>
      </c>
      <c r="AA509" s="124">
        <f t="shared" si="193"/>
        <v>2.3579391809482671E-4</v>
      </c>
      <c r="AB509" s="124">
        <f t="shared" si="217"/>
        <v>0</v>
      </c>
      <c r="AC509" s="124">
        <f t="shared" si="218"/>
        <v>0</v>
      </c>
    </row>
    <row r="510" spans="2:29" s="114" customFormat="1">
      <c r="B510" s="115">
        <f t="shared" si="194"/>
        <v>2.1599999999999406</v>
      </c>
      <c r="C510" s="124">
        <f t="shared" si="195"/>
        <v>144.54397707457309</v>
      </c>
      <c r="D510" s="124">
        <f t="shared" si="196"/>
        <v>10063.611521189268</v>
      </c>
      <c r="E510" s="124">
        <f t="shared" si="197"/>
        <v>1</v>
      </c>
      <c r="F510" s="124">
        <f t="shared" si="198"/>
        <v>1</v>
      </c>
      <c r="G510" s="124">
        <f t="shared" si="199"/>
        <v>10215.897334446176</v>
      </c>
      <c r="H510" s="124">
        <f t="shared" si="200"/>
        <v>1</v>
      </c>
      <c r="I510" s="124">
        <f t="shared" si="201"/>
        <v>1</v>
      </c>
      <c r="J510" s="124">
        <f t="shared" si="202"/>
        <v>4.2545043241058669E-5</v>
      </c>
      <c r="K510" s="124">
        <f t="shared" si="203"/>
        <v>0</v>
      </c>
      <c r="L510" s="124">
        <f t="shared" si="204"/>
        <v>0</v>
      </c>
      <c r="M510" s="120"/>
      <c r="N510" s="132">
        <f t="shared" si="192"/>
        <v>908.19659299626062</v>
      </c>
      <c r="O510" s="124">
        <f t="shared" si="205"/>
        <v>1439556.3355248899</v>
      </c>
      <c r="P510" s="124">
        <f t="shared" si="206"/>
        <v>1</v>
      </c>
      <c r="Q510" s="124">
        <f t="shared" si="207"/>
        <v>1</v>
      </c>
      <c r="R510" s="124">
        <f t="shared" si="208"/>
        <v>1312012.6588594457</v>
      </c>
      <c r="S510" s="124">
        <f t="shared" si="209"/>
        <v>468173.4332931586</v>
      </c>
      <c r="T510" s="124">
        <f t="shared" si="210"/>
        <v>1393041.1266897097</v>
      </c>
      <c r="U510" s="124">
        <f t="shared" si="211"/>
        <v>1</v>
      </c>
      <c r="V510" s="124">
        <f t="shared" si="212"/>
        <v>0</v>
      </c>
      <c r="W510" s="124">
        <f t="shared" si="213"/>
        <v>1</v>
      </c>
      <c r="X510" s="124">
        <f t="shared" si="214"/>
        <v>1</v>
      </c>
      <c r="Y510" s="124">
        <f t="shared" si="215"/>
        <v>0</v>
      </c>
      <c r="Z510" s="124">
        <f t="shared" si="216"/>
        <v>1</v>
      </c>
      <c r="AA510" s="124">
        <f t="shared" si="193"/>
        <v>2.0348243454544553E-4</v>
      </c>
      <c r="AB510" s="124">
        <f t="shared" si="217"/>
        <v>0</v>
      </c>
      <c r="AC510" s="124">
        <f t="shared" si="218"/>
        <v>0</v>
      </c>
    </row>
    <row r="511" spans="2:29" s="114" customFormat="1">
      <c r="B511" s="115">
        <f t="shared" si="194"/>
        <v>2.1799999999999407</v>
      </c>
      <c r="C511" s="124">
        <f t="shared" si="195"/>
        <v>151.35612484360018</v>
      </c>
      <c r="D511" s="124">
        <f t="shared" si="196"/>
        <v>9897.1986250103873</v>
      </c>
      <c r="E511" s="124">
        <f t="shared" si="197"/>
        <v>1</v>
      </c>
      <c r="F511" s="124">
        <f t="shared" si="198"/>
        <v>1</v>
      </c>
      <c r="G511" s="124">
        <f t="shared" si="199"/>
        <v>10017.623388333443</v>
      </c>
      <c r="H511" s="124">
        <f t="shared" si="200"/>
        <v>1</v>
      </c>
      <c r="I511" s="124">
        <f t="shared" si="201"/>
        <v>1</v>
      </c>
      <c r="J511" s="124">
        <f t="shared" si="202"/>
        <v>2.7587855677243584E-5</v>
      </c>
      <c r="K511" s="124">
        <f t="shared" si="203"/>
        <v>0</v>
      </c>
      <c r="L511" s="124">
        <f t="shared" si="204"/>
        <v>0</v>
      </c>
      <c r="M511" s="120"/>
      <c r="N511" s="132">
        <f t="shared" si="192"/>
        <v>950.99857976894782</v>
      </c>
      <c r="O511" s="124">
        <f t="shared" si="205"/>
        <v>1452878.3192628704</v>
      </c>
      <c r="P511" s="124">
        <f t="shared" si="206"/>
        <v>1</v>
      </c>
      <c r="Q511" s="124">
        <f t="shared" si="207"/>
        <v>1</v>
      </c>
      <c r="R511" s="124">
        <f t="shared" si="208"/>
        <v>1328847.5729557127</v>
      </c>
      <c r="S511" s="124">
        <f t="shared" si="209"/>
        <v>469539.49838423246</v>
      </c>
      <c r="T511" s="124">
        <f t="shared" si="210"/>
        <v>1409362.697354093</v>
      </c>
      <c r="U511" s="124">
        <f t="shared" si="211"/>
        <v>1</v>
      </c>
      <c r="V511" s="124">
        <f t="shared" si="212"/>
        <v>0</v>
      </c>
      <c r="W511" s="124">
        <f t="shared" si="213"/>
        <v>1</v>
      </c>
      <c r="X511" s="124">
        <f t="shared" si="214"/>
        <v>1</v>
      </c>
      <c r="Y511" s="124">
        <f t="shared" si="215"/>
        <v>0</v>
      </c>
      <c r="Z511" s="124">
        <f t="shared" si="216"/>
        <v>1</v>
      </c>
      <c r="AA511" s="124">
        <f t="shared" si="193"/>
        <v>1.7441086273476607E-4</v>
      </c>
      <c r="AB511" s="124">
        <f t="shared" si="217"/>
        <v>0</v>
      </c>
      <c r="AC511" s="124">
        <f t="shared" si="218"/>
        <v>0</v>
      </c>
    </row>
    <row r="512" spans="2:29" s="114" customFormat="1">
      <c r="B512" s="115">
        <f t="shared" si="194"/>
        <v>2.1999999999999407</v>
      </c>
      <c r="C512" s="124">
        <f t="shared" si="195"/>
        <v>158.48931924608971</v>
      </c>
      <c r="D512" s="124">
        <f t="shared" si="196"/>
        <v>9734.4239236425528</v>
      </c>
      <c r="E512" s="124">
        <f t="shared" si="197"/>
        <v>1</v>
      </c>
      <c r="F512" s="124">
        <f t="shared" si="198"/>
        <v>1</v>
      </c>
      <c r="G512" s="124">
        <f t="shared" si="199"/>
        <v>9822.480331537321</v>
      </c>
      <c r="H512" s="124">
        <f t="shared" si="200"/>
        <v>1</v>
      </c>
      <c r="I512" s="124">
        <f t="shared" si="201"/>
        <v>1</v>
      </c>
      <c r="J512" s="124">
        <f t="shared" si="202"/>
        <v>1.5295236441304461E-5</v>
      </c>
      <c r="K512" s="124">
        <f t="shared" si="203"/>
        <v>0</v>
      </c>
      <c r="L512" s="124">
        <f t="shared" si="204"/>
        <v>0</v>
      </c>
      <c r="M512" s="120"/>
      <c r="N512" s="132">
        <f t="shared" si="192"/>
        <v>995.81776203192567</v>
      </c>
      <c r="O512" s="124">
        <f t="shared" si="205"/>
        <v>1466209.7351476257</v>
      </c>
      <c r="P512" s="124">
        <f t="shared" si="206"/>
        <v>1</v>
      </c>
      <c r="Q512" s="124">
        <f t="shared" si="207"/>
        <v>1</v>
      </c>
      <c r="R512" s="124">
        <f t="shared" si="208"/>
        <v>1345755.3430884886</v>
      </c>
      <c r="S512" s="124">
        <f t="shared" si="209"/>
        <v>470428.87552347942</v>
      </c>
      <c r="T512" s="124">
        <f t="shared" si="210"/>
        <v>1425608.9121415806</v>
      </c>
      <c r="U512" s="124">
        <f t="shared" si="211"/>
        <v>1</v>
      </c>
      <c r="V512" s="124">
        <f t="shared" si="212"/>
        <v>0</v>
      </c>
      <c r="W512" s="124">
        <f t="shared" si="213"/>
        <v>1</v>
      </c>
      <c r="X512" s="124">
        <f t="shared" si="214"/>
        <v>1</v>
      </c>
      <c r="Y512" s="124">
        <f t="shared" si="215"/>
        <v>0</v>
      </c>
      <c r="Z512" s="124">
        <f t="shared" si="216"/>
        <v>1</v>
      </c>
      <c r="AA512" s="124">
        <f t="shared" si="193"/>
        <v>1.4873502712327516E-4</v>
      </c>
      <c r="AB512" s="124">
        <f t="shared" si="217"/>
        <v>0</v>
      </c>
      <c r="AC512" s="124">
        <f t="shared" si="218"/>
        <v>0</v>
      </c>
    </row>
    <row r="513" spans="2:29" s="114" customFormat="1">
      <c r="B513" s="115">
        <f t="shared" si="194"/>
        <v>2.2199999999999407</v>
      </c>
      <c r="C513" s="124">
        <f t="shared" si="195"/>
        <v>165.95869074373354</v>
      </c>
      <c r="D513" s="124">
        <f t="shared" si="196"/>
        <v>9575.2007355297574</v>
      </c>
      <c r="E513" s="124">
        <f t="shared" si="197"/>
        <v>1</v>
      </c>
      <c r="F513" s="124">
        <f t="shared" si="198"/>
        <v>1</v>
      </c>
      <c r="G513" s="124">
        <f t="shared" si="199"/>
        <v>9630.8862641109463</v>
      </c>
      <c r="H513" s="124">
        <f t="shared" si="200"/>
        <v>1</v>
      </c>
      <c r="I513" s="124">
        <f t="shared" si="201"/>
        <v>1</v>
      </c>
      <c r="J513" s="124">
        <f t="shared" si="202"/>
        <v>6.3421711411807918E-6</v>
      </c>
      <c r="K513" s="124">
        <f t="shared" si="203"/>
        <v>0</v>
      </c>
      <c r="L513" s="124">
        <f t="shared" si="204"/>
        <v>0</v>
      </c>
      <c r="M513" s="120"/>
      <c r="N513" s="132">
        <f t="shared" si="192"/>
        <v>1042.7492072797875</v>
      </c>
      <c r="O513" s="124">
        <f t="shared" si="205"/>
        <v>1479549.2163636496</v>
      </c>
      <c r="P513" s="124">
        <f t="shared" si="206"/>
        <v>1</v>
      </c>
      <c r="Q513" s="124">
        <f t="shared" si="207"/>
        <v>1</v>
      </c>
      <c r="R513" s="124">
        <f t="shared" si="208"/>
        <v>1362677.7585766665</v>
      </c>
      <c r="S513" s="124">
        <f t="shared" si="209"/>
        <v>470837.94619630714</v>
      </c>
      <c r="T513" s="124">
        <f t="shared" si="210"/>
        <v>1441727.798614525</v>
      </c>
      <c r="U513" s="124">
        <f t="shared" si="211"/>
        <v>1</v>
      </c>
      <c r="V513" s="124">
        <f t="shared" si="212"/>
        <v>0</v>
      </c>
      <c r="W513" s="124">
        <f t="shared" si="213"/>
        <v>1</v>
      </c>
      <c r="X513" s="124">
        <f t="shared" si="214"/>
        <v>1</v>
      </c>
      <c r="Y513" s="124">
        <f t="shared" si="215"/>
        <v>0</v>
      </c>
      <c r="Z513" s="124">
        <f t="shared" si="216"/>
        <v>1</v>
      </c>
      <c r="AA513" s="124">
        <f t="shared" si="193"/>
        <v>1.2647575325618456E-4</v>
      </c>
      <c r="AB513" s="124">
        <f t="shared" si="217"/>
        <v>0</v>
      </c>
      <c r="AC513" s="124">
        <f t="shared" si="218"/>
        <v>0</v>
      </c>
    </row>
    <row r="514" spans="2:29" s="114" customFormat="1">
      <c r="B514" s="115">
        <f t="shared" si="194"/>
        <v>2.2399999999999407</v>
      </c>
      <c r="C514" s="124">
        <f t="shared" si="195"/>
        <v>173.78008287491392</v>
      </c>
      <c r="D514" s="124">
        <f t="shared" si="196"/>
        <v>9419.4445052823394</v>
      </c>
      <c r="E514" s="124">
        <f t="shared" si="197"/>
        <v>1</v>
      </c>
      <c r="F514" s="124">
        <f t="shared" si="198"/>
        <v>1</v>
      </c>
      <c r="G514" s="124">
        <f t="shared" si="199"/>
        <v>9443.24361579582</v>
      </c>
      <c r="H514" s="124">
        <f t="shared" si="200"/>
        <v>1</v>
      </c>
      <c r="I514" s="124">
        <f t="shared" si="201"/>
        <v>1</v>
      </c>
      <c r="J514" s="124">
        <f t="shared" si="202"/>
        <v>1.2010009695974079E-6</v>
      </c>
      <c r="K514" s="124">
        <f t="shared" si="203"/>
        <v>0</v>
      </c>
      <c r="L514" s="124">
        <f t="shared" si="204"/>
        <v>0</v>
      </c>
      <c r="M514" s="120"/>
      <c r="N514" s="132">
        <f t="shared" si="192"/>
        <v>1091.89246340011</v>
      </c>
      <c r="O514" s="124">
        <f t="shared" si="205"/>
        <v>1492895.4021525607</v>
      </c>
      <c r="P514" s="124">
        <f t="shared" si="206"/>
        <v>1</v>
      </c>
      <c r="Q514" s="124">
        <f t="shared" si="207"/>
        <v>1</v>
      </c>
      <c r="R514" s="124">
        <f t="shared" si="208"/>
        <v>1379556.5705116934</v>
      </c>
      <c r="S514" s="124">
        <f t="shared" si="209"/>
        <v>470770.96423005522</v>
      </c>
      <c r="T514" s="124">
        <f t="shared" si="210"/>
        <v>1457669.932462106</v>
      </c>
      <c r="U514" s="124">
        <f t="shared" si="211"/>
        <v>1</v>
      </c>
      <c r="V514" s="124">
        <f t="shared" si="212"/>
        <v>0</v>
      </c>
      <c r="W514" s="124">
        <f t="shared" si="213"/>
        <v>1</v>
      </c>
      <c r="X514" s="124">
        <f t="shared" si="214"/>
        <v>1</v>
      </c>
      <c r="Y514" s="124">
        <f t="shared" si="215"/>
        <v>0</v>
      </c>
      <c r="Z514" s="124">
        <f t="shared" si="216"/>
        <v>1</v>
      </c>
      <c r="AA514" s="124">
        <f t="shared" si="193"/>
        <v>1.0754073408550896E-4</v>
      </c>
      <c r="AB514" s="124">
        <f t="shared" si="217"/>
        <v>0</v>
      </c>
      <c r="AC514" s="124">
        <f t="shared" si="218"/>
        <v>0</v>
      </c>
    </row>
    <row r="515" spans="2:29" s="114" customFormat="1">
      <c r="B515" s="115">
        <f t="shared" si="194"/>
        <v>2.2599999999999407</v>
      </c>
      <c r="C515" s="124">
        <f t="shared" si="195"/>
        <v>181.97008586097357</v>
      </c>
      <c r="D515" s="124">
        <f t="shared" si="196"/>
        <v>9267.0727533476838</v>
      </c>
      <c r="E515" s="124">
        <f t="shared" si="197"/>
        <v>1</v>
      </c>
      <c r="F515" s="124">
        <f t="shared" si="198"/>
        <v>1</v>
      </c>
      <c r="G515" s="124">
        <f t="shared" si="199"/>
        <v>9259.9338826918975</v>
      </c>
      <c r="H515" s="124">
        <f t="shared" si="200"/>
        <v>1</v>
      </c>
      <c r="I515" s="124">
        <f t="shared" si="201"/>
        <v>1</v>
      </c>
      <c r="J515" s="124">
        <f t="shared" si="202"/>
        <v>1.120152543814209E-7</v>
      </c>
      <c r="K515" s="124">
        <f t="shared" si="203"/>
        <v>0</v>
      </c>
      <c r="L515" s="124">
        <f t="shared" si="204"/>
        <v>0</v>
      </c>
      <c r="M515" s="120"/>
      <c r="N515" s="132">
        <f t="shared" si="192"/>
        <v>1143.351769827877</v>
      </c>
      <c r="O515" s="124">
        <f t="shared" si="205"/>
        <v>1506246.9382623134</v>
      </c>
      <c r="P515" s="124">
        <f t="shared" si="206"/>
        <v>1</v>
      </c>
      <c r="Q515" s="124">
        <f t="shared" si="207"/>
        <v>1</v>
      </c>
      <c r="R515" s="124">
        <f t="shared" si="208"/>
        <v>1396334.6760779391</v>
      </c>
      <c r="S515" s="124">
        <f t="shared" si="209"/>
        <v>470239.97042992426</v>
      </c>
      <c r="T515" s="124">
        <f t="shared" si="210"/>
        <v>1473389.343455293</v>
      </c>
      <c r="U515" s="124">
        <f t="shared" si="211"/>
        <v>1</v>
      </c>
      <c r="V515" s="124">
        <f t="shared" si="212"/>
        <v>0</v>
      </c>
      <c r="W515" s="124">
        <f t="shared" si="213"/>
        <v>1</v>
      </c>
      <c r="X515" s="124">
        <f t="shared" si="214"/>
        <v>1</v>
      </c>
      <c r="Y515" s="124">
        <f t="shared" si="215"/>
        <v>0</v>
      </c>
      <c r="Z515" s="124">
        <f t="shared" si="216"/>
        <v>1</v>
      </c>
      <c r="AA515" s="124">
        <f t="shared" si="193"/>
        <v>9.1750587789004502E-5</v>
      </c>
      <c r="AB515" s="124">
        <f t="shared" si="217"/>
        <v>0</v>
      </c>
      <c r="AC515" s="124">
        <f t="shared" si="218"/>
        <v>0</v>
      </c>
    </row>
    <row r="516" spans="2:29" s="114" customFormat="1">
      <c r="B516" s="115">
        <f t="shared" si="194"/>
        <v>2.2799999999999407</v>
      </c>
      <c r="C516" s="124">
        <f t="shared" si="195"/>
        <v>190.54607179629875</v>
      </c>
      <c r="D516" s="124">
        <f t="shared" si="196"/>
        <v>9118.0050267102142</v>
      </c>
      <c r="E516" s="124">
        <f t="shared" si="197"/>
        <v>1</v>
      </c>
      <c r="F516" s="124">
        <f t="shared" si="198"/>
        <v>1</v>
      </c>
      <c r="G516" s="124">
        <f t="shared" si="199"/>
        <v>9081.3124690336917</v>
      </c>
      <c r="H516" s="124">
        <f t="shared" si="200"/>
        <v>1</v>
      </c>
      <c r="I516" s="124">
        <f t="shared" si="201"/>
        <v>1</v>
      </c>
      <c r="J516" s="124">
        <f t="shared" si="202"/>
        <v>3.0667301216837281E-6</v>
      </c>
      <c r="K516" s="124">
        <f t="shared" si="203"/>
        <v>0</v>
      </c>
      <c r="L516" s="124">
        <f t="shared" si="204"/>
        <v>0</v>
      </c>
      <c r="M516" s="120"/>
      <c r="N516" s="132">
        <f t="shared" si="192"/>
        <v>1197.2362786512908</v>
      </c>
      <c r="O516" s="124">
        <f t="shared" si="205"/>
        <v>1519602.4773871885</v>
      </c>
      <c r="P516" s="124">
        <f t="shared" si="206"/>
        <v>1</v>
      </c>
      <c r="Q516" s="124">
        <f t="shared" si="207"/>
        <v>1</v>
      </c>
      <c r="R516" s="124">
        <f t="shared" si="208"/>
        <v>1412957.2666505778</v>
      </c>
      <c r="S516" s="124">
        <f t="shared" si="209"/>
        <v>469264.50779639598</v>
      </c>
      <c r="T516" s="124">
        <f t="shared" si="210"/>
        <v>1488844.3221700734</v>
      </c>
      <c r="U516" s="124">
        <f t="shared" si="211"/>
        <v>1</v>
      </c>
      <c r="V516" s="124">
        <f t="shared" si="212"/>
        <v>0</v>
      </c>
      <c r="W516" s="124">
        <f t="shared" si="213"/>
        <v>1</v>
      </c>
      <c r="X516" s="124">
        <f t="shared" si="214"/>
        <v>1</v>
      </c>
      <c r="Y516" s="124">
        <f t="shared" si="215"/>
        <v>0</v>
      </c>
      <c r="Z516" s="124">
        <f t="shared" si="216"/>
        <v>1</v>
      </c>
      <c r="AA516" s="124">
        <f t="shared" si="193"/>
        <v>7.8866901001867611E-5</v>
      </c>
      <c r="AB516" s="124">
        <f t="shared" si="217"/>
        <v>0</v>
      </c>
      <c r="AC516" s="124">
        <f t="shared" si="218"/>
        <v>0</v>
      </c>
    </row>
    <row r="517" spans="2:29" s="114" customFormat="1">
      <c r="B517" s="115">
        <f t="shared" si="194"/>
        <v>2.2999999999999408</v>
      </c>
      <c r="C517" s="124">
        <f t="shared" si="195"/>
        <v>199.5262314968609</v>
      </c>
      <c r="D517" s="124">
        <f t="shared" si="196"/>
        <v>8972.162850608489</v>
      </c>
      <c r="E517" s="124">
        <f t="shared" si="197"/>
        <v>1</v>
      </c>
      <c r="F517" s="124">
        <f t="shared" si="198"/>
        <v>1</v>
      </c>
      <c r="G517" s="124">
        <f t="shared" si="199"/>
        <v>8907.7036768214439</v>
      </c>
      <c r="H517" s="124">
        <f t="shared" si="200"/>
        <v>1</v>
      </c>
      <c r="I517" s="124">
        <f t="shared" si="201"/>
        <v>1</v>
      </c>
      <c r="J517" s="124">
        <f t="shared" si="202"/>
        <v>9.8055803137060721E-6</v>
      </c>
      <c r="K517" s="124">
        <f t="shared" si="203"/>
        <v>0</v>
      </c>
      <c r="L517" s="124">
        <f t="shared" si="204"/>
        <v>0</v>
      </c>
      <c r="M517" s="120"/>
      <c r="N517" s="132">
        <f t="shared" si="192"/>
        <v>1253.6602861379893</v>
      </c>
      <c r="O517" s="124">
        <f t="shared" si="205"/>
        <v>1532960.6795984767</v>
      </c>
      <c r="P517" s="124">
        <f t="shared" si="206"/>
        <v>1</v>
      </c>
      <c r="Q517" s="124">
        <f t="shared" si="207"/>
        <v>1</v>
      </c>
      <c r="R517" s="124">
        <f t="shared" si="208"/>
        <v>1429372.9016497913</v>
      </c>
      <c r="S517" s="124">
        <f t="shared" si="209"/>
        <v>467871.15009653126</v>
      </c>
      <c r="T517" s="124">
        <f t="shared" si="210"/>
        <v>1503998.1067353091</v>
      </c>
      <c r="U517" s="124">
        <f t="shared" si="211"/>
        <v>1</v>
      </c>
      <c r="V517" s="124">
        <f t="shared" si="212"/>
        <v>0</v>
      </c>
      <c r="W517" s="124">
        <f t="shared" si="213"/>
        <v>1</v>
      </c>
      <c r="X517" s="124">
        <f t="shared" si="214"/>
        <v>1</v>
      </c>
      <c r="Y517" s="124">
        <f t="shared" si="215"/>
        <v>0</v>
      </c>
      <c r="Z517" s="124">
        <f t="shared" si="216"/>
        <v>1</v>
      </c>
      <c r="AA517" s="124">
        <f t="shared" si="193"/>
        <v>6.8620113099996413E-5</v>
      </c>
      <c r="AB517" s="124">
        <f t="shared" si="217"/>
        <v>0</v>
      </c>
      <c r="AC517" s="124">
        <f t="shared" si="218"/>
        <v>0</v>
      </c>
    </row>
    <row r="518" spans="2:29" s="114" customFormat="1">
      <c r="B518" s="115">
        <f t="shared" si="194"/>
        <v>2.3199999999999408</v>
      </c>
      <c r="C518" s="124">
        <f t="shared" si="195"/>
        <v>208.92961308537556</v>
      </c>
      <c r="D518" s="124">
        <f t="shared" si="196"/>
        <v>8829.4696812570346</v>
      </c>
      <c r="E518" s="124">
        <f t="shared" si="197"/>
        <v>1</v>
      </c>
      <c r="F518" s="124">
        <f t="shared" si="198"/>
        <v>1</v>
      </c>
      <c r="G518" s="124">
        <f t="shared" si="199"/>
        <v>8739.3959109806801</v>
      </c>
      <c r="H518" s="124">
        <f t="shared" si="200"/>
        <v>1</v>
      </c>
      <c r="I518" s="124">
        <f t="shared" si="201"/>
        <v>1</v>
      </c>
      <c r="J518" s="124">
        <f t="shared" si="202"/>
        <v>1.9831038924315032E-5</v>
      </c>
      <c r="K518" s="124">
        <f t="shared" si="203"/>
        <v>0</v>
      </c>
      <c r="L518" s="124">
        <f t="shared" si="204"/>
        <v>0</v>
      </c>
      <c r="M518" s="120"/>
      <c r="N518" s="132">
        <f t="shared" si="192"/>
        <v>1312.7434751727476</v>
      </c>
      <c r="O518" s="124">
        <f t="shared" si="205"/>
        <v>1546320.212765557</v>
      </c>
      <c r="P518" s="124">
        <f t="shared" si="206"/>
        <v>1</v>
      </c>
      <c r="Q518" s="124">
        <f t="shared" si="207"/>
        <v>1</v>
      </c>
      <c r="R518" s="124">
        <f t="shared" si="208"/>
        <v>1445534.4745422306</v>
      </c>
      <c r="S518" s="124">
        <f t="shared" si="209"/>
        <v>466092.86461643357</v>
      </c>
      <c r="T518" s="124">
        <f t="shared" si="210"/>
        <v>1518819.4348033725</v>
      </c>
      <c r="U518" s="124">
        <f t="shared" si="211"/>
        <v>1</v>
      </c>
      <c r="V518" s="124">
        <f t="shared" si="212"/>
        <v>0</v>
      </c>
      <c r="W518" s="124">
        <f t="shared" si="213"/>
        <v>1</v>
      </c>
      <c r="X518" s="124">
        <f t="shared" si="214"/>
        <v>1</v>
      </c>
      <c r="Y518" s="124">
        <f t="shared" si="215"/>
        <v>0</v>
      </c>
      <c r="Z518" s="124">
        <f t="shared" si="216"/>
        <v>1</v>
      </c>
      <c r="AA518" s="124">
        <f t="shared" si="193"/>
        <v>6.0735323542279455E-5</v>
      </c>
      <c r="AB518" s="124">
        <f t="shared" si="217"/>
        <v>0</v>
      </c>
      <c r="AC518" s="124">
        <f t="shared" si="218"/>
        <v>0</v>
      </c>
    </row>
    <row r="519" spans="2:29" s="114" customFormat="1">
      <c r="B519" s="115">
        <f t="shared" si="194"/>
        <v>2.3399999999999408</v>
      </c>
      <c r="C519" s="124">
        <f t="shared" si="195"/>
        <v>218.77616239492551</v>
      </c>
      <c r="D519" s="124">
        <f t="shared" si="196"/>
        <v>8689.8508595600633</v>
      </c>
      <c r="E519" s="124">
        <f t="shared" si="197"/>
        <v>1</v>
      </c>
      <c r="F519" s="124">
        <f t="shared" si="198"/>
        <v>1</v>
      </c>
      <c r="G519" s="124">
        <f t="shared" si="199"/>
        <v>8576.6371875157856</v>
      </c>
      <c r="H519" s="124">
        <f t="shared" si="200"/>
        <v>1</v>
      </c>
      <c r="I519" s="124">
        <f t="shared" si="201"/>
        <v>1</v>
      </c>
      <c r="J519" s="124">
        <f t="shared" si="202"/>
        <v>3.2436261321401786E-5</v>
      </c>
      <c r="K519" s="124">
        <f t="shared" si="203"/>
        <v>0</v>
      </c>
      <c r="L519" s="124">
        <f t="shared" si="204"/>
        <v>0</v>
      </c>
      <c r="M519" s="120"/>
      <c r="N519" s="132">
        <f t="shared" si="192"/>
        <v>1374.611169120931</v>
      </c>
      <c r="O519" s="124">
        <f t="shared" si="205"/>
        <v>1559679.7529673588</v>
      </c>
      <c r="P519" s="124">
        <f t="shared" si="206"/>
        <v>1</v>
      </c>
      <c r="Q519" s="124">
        <f t="shared" si="207"/>
        <v>1</v>
      </c>
      <c r="R519" s="124">
        <f t="shared" si="208"/>
        <v>1461400.0436100515</v>
      </c>
      <c r="S519" s="124">
        <f t="shared" si="209"/>
        <v>463968.23643493233</v>
      </c>
      <c r="T519" s="124">
        <f t="shared" si="210"/>
        <v>1533282.9523228914</v>
      </c>
      <c r="U519" s="124">
        <f t="shared" si="211"/>
        <v>1</v>
      </c>
      <c r="V519" s="124">
        <f t="shared" si="212"/>
        <v>0</v>
      </c>
      <c r="W519" s="124">
        <f t="shared" si="213"/>
        <v>1</v>
      </c>
      <c r="X519" s="124">
        <f t="shared" si="214"/>
        <v>1</v>
      </c>
      <c r="Y519" s="124">
        <f t="shared" si="215"/>
        <v>0</v>
      </c>
      <c r="Z519" s="124">
        <f t="shared" si="216"/>
        <v>1</v>
      </c>
      <c r="AA519" s="124">
        <f t="shared" si="193"/>
        <v>5.4954457061643459E-5</v>
      </c>
      <c r="AB519" s="124">
        <f t="shared" si="217"/>
        <v>0</v>
      </c>
      <c r="AC519" s="124">
        <f t="shared" si="218"/>
        <v>0</v>
      </c>
    </row>
    <row r="520" spans="2:29" s="114" customFormat="1">
      <c r="B520" s="115">
        <f t="shared" si="194"/>
        <v>2.3599999999999408</v>
      </c>
      <c r="C520" s="124">
        <f t="shared" si="195"/>
        <v>229.08676527674629</v>
      </c>
      <c r="D520" s="124">
        <f t="shared" si="196"/>
        <v>8553.2335658040211</v>
      </c>
      <c r="E520" s="124">
        <f t="shared" si="197"/>
        <v>1</v>
      </c>
      <c r="F520" s="124">
        <f t="shared" si="198"/>
        <v>1</v>
      </c>
      <c r="G520" s="124">
        <f t="shared" si="199"/>
        <v>8419.6310463779155</v>
      </c>
      <c r="H520" s="124">
        <f t="shared" si="200"/>
        <v>1</v>
      </c>
      <c r="I520" s="124">
        <f t="shared" si="201"/>
        <v>1</v>
      </c>
      <c r="J520" s="124">
        <f t="shared" si="202"/>
        <v>4.674827132062552E-5</v>
      </c>
      <c r="K520" s="124">
        <f t="shared" si="203"/>
        <v>0</v>
      </c>
      <c r="L520" s="124">
        <f t="shared" si="204"/>
        <v>0</v>
      </c>
      <c r="M520" s="120"/>
      <c r="N520" s="132">
        <f t="shared" si="192"/>
        <v>1439.3945976561508</v>
      </c>
      <c r="O520" s="124">
        <f t="shared" si="205"/>
        <v>1573037.98489401</v>
      </c>
      <c r="P520" s="124">
        <f t="shared" si="206"/>
        <v>1</v>
      </c>
      <c r="Q520" s="124">
        <f t="shared" si="207"/>
        <v>1</v>
      </c>
      <c r="R520" s="124">
        <f t="shared" si="208"/>
        <v>1476933.5076058721</v>
      </c>
      <c r="S520" s="124">
        <f t="shared" si="209"/>
        <v>461540.5861202518</v>
      </c>
      <c r="T520" s="124">
        <f t="shared" si="210"/>
        <v>1547369.4770562104</v>
      </c>
      <c r="U520" s="124">
        <f t="shared" si="211"/>
        <v>1</v>
      </c>
      <c r="V520" s="124">
        <f t="shared" si="212"/>
        <v>0</v>
      </c>
      <c r="W520" s="124">
        <f t="shared" si="213"/>
        <v>1</v>
      </c>
      <c r="X520" s="124">
        <f t="shared" si="214"/>
        <v>1</v>
      </c>
      <c r="Y520" s="124">
        <f t="shared" si="215"/>
        <v>0</v>
      </c>
      <c r="Z520" s="124">
        <f t="shared" si="216"/>
        <v>1</v>
      </c>
      <c r="AA520" s="124">
        <f t="shared" si="193"/>
        <v>5.1053654688327118E-5</v>
      </c>
      <c r="AB520" s="124">
        <f t="shared" si="217"/>
        <v>0</v>
      </c>
      <c r="AC520" s="124">
        <f t="shared" si="218"/>
        <v>0</v>
      </c>
    </row>
    <row r="521" spans="2:29" s="114" customFormat="1">
      <c r="B521" s="115">
        <f t="shared" si="194"/>
        <v>2.3799999999999408</v>
      </c>
      <c r="C521" s="124">
        <f t="shared" si="195"/>
        <v>239.88329190191652</v>
      </c>
      <c r="D521" s="124">
        <f t="shared" si="196"/>
        <v>8419.5467753158191</v>
      </c>
      <c r="E521" s="124">
        <f t="shared" si="197"/>
        <v>1</v>
      </c>
      <c r="F521" s="124">
        <f t="shared" si="198"/>
        <v>1</v>
      </c>
      <c r="G521" s="124">
        <f t="shared" si="199"/>
        <v>8268.5329793512465</v>
      </c>
      <c r="H521" s="124">
        <f t="shared" si="200"/>
        <v>1</v>
      </c>
      <c r="I521" s="124">
        <f t="shared" si="201"/>
        <v>1</v>
      </c>
      <c r="J521" s="124">
        <f t="shared" si="202"/>
        <v>6.1783547235969228E-5</v>
      </c>
      <c r="K521" s="124">
        <f t="shared" si="203"/>
        <v>0</v>
      </c>
      <c r="L521" s="124">
        <f t="shared" si="204"/>
        <v>0</v>
      </c>
      <c r="M521" s="120"/>
      <c r="N521" s="132">
        <f t="shared" si="192"/>
        <v>1507.2311751159937</v>
      </c>
      <c r="O521" s="124">
        <f t="shared" si="205"/>
        <v>1586393.60223849</v>
      </c>
      <c r="P521" s="124">
        <f t="shared" si="206"/>
        <v>1</v>
      </c>
      <c r="Q521" s="124">
        <f t="shared" si="207"/>
        <v>1</v>
      </c>
      <c r="R521" s="124">
        <f t="shared" si="208"/>
        <v>1492105.1145491772</v>
      </c>
      <c r="S521" s="124">
        <f t="shared" si="209"/>
        <v>458857.01515115221</v>
      </c>
      <c r="T521" s="124">
        <f t="shared" si="210"/>
        <v>1561066.120706371</v>
      </c>
      <c r="U521" s="124">
        <f t="shared" si="211"/>
        <v>1</v>
      </c>
      <c r="V521" s="124">
        <f t="shared" si="212"/>
        <v>0</v>
      </c>
      <c r="W521" s="124">
        <f t="shared" si="213"/>
        <v>1</v>
      </c>
      <c r="X521" s="124">
        <f t="shared" si="214"/>
        <v>1</v>
      </c>
      <c r="Y521" s="124">
        <f t="shared" si="215"/>
        <v>0</v>
      </c>
      <c r="Z521" s="124">
        <f t="shared" si="216"/>
        <v>1</v>
      </c>
      <c r="AA521" s="124">
        <f t="shared" si="193"/>
        <v>4.8855224654380987E-5</v>
      </c>
      <c r="AB521" s="124">
        <f t="shared" si="217"/>
        <v>0</v>
      </c>
      <c r="AC521" s="124">
        <f t="shared" si="218"/>
        <v>0</v>
      </c>
    </row>
    <row r="522" spans="2:29" s="114" customFormat="1">
      <c r="B522" s="115">
        <f t="shared" si="194"/>
        <v>2.3999999999999408</v>
      </c>
      <c r="C522" s="124">
        <f t="shared" si="195"/>
        <v>251.18864315092392</v>
      </c>
      <c r="D522" s="124">
        <f t="shared" si="196"/>
        <v>8288.7212150729902</v>
      </c>
      <c r="E522" s="124">
        <f t="shared" si="197"/>
        <v>1</v>
      </c>
      <c r="F522" s="124">
        <f t="shared" si="198"/>
        <v>1</v>
      </c>
      <c r="G522" s="124">
        <f t="shared" si="199"/>
        <v>8123.4474861681292</v>
      </c>
      <c r="H522" s="124">
        <f t="shared" si="200"/>
        <v>1</v>
      </c>
      <c r="I522" s="124">
        <f t="shared" si="201"/>
        <v>1</v>
      </c>
      <c r="J522" s="124">
        <f t="shared" si="202"/>
        <v>7.6512727300838345E-5</v>
      </c>
      <c r="K522" s="124">
        <f t="shared" si="203"/>
        <v>0</v>
      </c>
      <c r="L522" s="124">
        <f t="shared" si="204"/>
        <v>0</v>
      </c>
      <c r="M522" s="120"/>
      <c r="N522" s="132">
        <f t="shared" si="192"/>
        <v>1578.2647919762614</v>
      </c>
      <c r="O522" s="124">
        <f t="shared" si="205"/>
        <v>1599745.3080782765</v>
      </c>
      <c r="P522" s="124">
        <f t="shared" si="206"/>
        <v>1</v>
      </c>
      <c r="Q522" s="124">
        <f t="shared" si="207"/>
        <v>1</v>
      </c>
      <c r="R522" s="124">
        <f t="shared" si="208"/>
        <v>1506891.8000575157</v>
      </c>
      <c r="S522" s="124">
        <f t="shared" si="209"/>
        <v>455967.41359653213</v>
      </c>
      <c r="T522" s="124">
        <f t="shared" si="210"/>
        <v>1574366.2786475362</v>
      </c>
      <c r="U522" s="124">
        <f t="shared" si="211"/>
        <v>1</v>
      </c>
      <c r="V522" s="124">
        <f t="shared" si="212"/>
        <v>0</v>
      </c>
      <c r="W522" s="124">
        <f t="shared" si="213"/>
        <v>1</v>
      </c>
      <c r="X522" s="124">
        <f t="shared" si="214"/>
        <v>1</v>
      </c>
      <c r="Y522" s="124">
        <f t="shared" si="215"/>
        <v>0</v>
      </c>
      <c r="Z522" s="124">
        <f t="shared" si="216"/>
        <v>1</v>
      </c>
      <c r="AA522" s="124">
        <f t="shared" si="193"/>
        <v>4.8233942575729942E-5</v>
      </c>
      <c r="AB522" s="124">
        <f t="shared" si="217"/>
        <v>0</v>
      </c>
      <c r="AC522" s="124">
        <f t="shared" si="218"/>
        <v>0</v>
      </c>
    </row>
    <row r="523" spans="2:29" s="114" customFormat="1">
      <c r="B523" s="115">
        <f t="shared" si="194"/>
        <v>2.4199999999999409</v>
      </c>
      <c r="C523" s="124">
        <f t="shared" si="195"/>
        <v>263.02679918950247</v>
      </c>
      <c r="D523" s="124">
        <f t="shared" si="196"/>
        <v>8160.689321252361</v>
      </c>
      <c r="E523" s="124">
        <f t="shared" si="197"/>
        <v>1</v>
      </c>
      <c r="F523" s="124">
        <f t="shared" si="198"/>
        <v>1</v>
      </c>
      <c r="G523" s="124">
        <f t="shared" si="199"/>
        <v>7984.4258693249731</v>
      </c>
      <c r="H523" s="124">
        <f t="shared" si="200"/>
        <v>1</v>
      </c>
      <c r="I523" s="124">
        <f t="shared" si="201"/>
        <v>1</v>
      </c>
      <c r="J523" s="124">
        <f t="shared" si="202"/>
        <v>8.9930161057214726E-5</v>
      </c>
      <c r="K523" s="124">
        <f t="shared" si="203"/>
        <v>0</v>
      </c>
      <c r="L523" s="124">
        <f t="shared" si="204"/>
        <v>0</v>
      </c>
      <c r="M523" s="120"/>
      <c r="N523" s="132">
        <f t="shared" si="192"/>
        <v>1652.6461200619574</v>
      </c>
      <c r="O523" s="124">
        <f t="shared" si="205"/>
        <v>1613091.8152468081</v>
      </c>
      <c r="P523" s="124">
        <f t="shared" si="206"/>
        <v>1</v>
      </c>
      <c r="Q523" s="124">
        <f t="shared" si="207"/>
        <v>1</v>
      </c>
      <c r="R523" s="124">
        <f t="shared" si="208"/>
        <v>1521277.3591631919</v>
      </c>
      <c r="S523" s="124">
        <f t="shared" si="209"/>
        <v>452923.46283515979</v>
      </c>
      <c r="T523" s="124">
        <f t="shared" si="210"/>
        <v>1587269.5003335532</v>
      </c>
      <c r="U523" s="124">
        <f t="shared" si="211"/>
        <v>1</v>
      </c>
      <c r="V523" s="124">
        <f t="shared" si="212"/>
        <v>0</v>
      </c>
      <c r="W523" s="124">
        <f t="shared" si="213"/>
        <v>1</v>
      </c>
      <c r="X523" s="124">
        <f t="shared" si="214"/>
        <v>1</v>
      </c>
      <c r="Y523" s="124">
        <f t="shared" si="215"/>
        <v>0</v>
      </c>
      <c r="Z523" s="124">
        <f t="shared" si="216"/>
        <v>1</v>
      </c>
      <c r="AA523" s="124">
        <f t="shared" si="193"/>
        <v>4.9117899402530585E-5</v>
      </c>
      <c r="AB523" s="124">
        <f t="shared" si="217"/>
        <v>0</v>
      </c>
      <c r="AC523" s="124">
        <f t="shared" si="218"/>
        <v>0</v>
      </c>
    </row>
    <row r="524" spans="2:29" s="114" customFormat="1">
      <c r="B524" s="115">
        <f t="shared" si="194"/>
        <v>2.4399999999999409</v>
      </c>
      <c r="C524" s="124">
        <f t="shared" si="195"/>
        <v>275.42287033377943</v>
      </c>
      <c r="D524" s="124">
        <f t="shared" si="196"/>
        <v>8035.3851977030208</v>
      </c>
      <c r="E524" s="124">
        <f t="shared" si="197"/>
        <v>1</v>
      </c>
      <c r="F524" s="124">
        <f t="shared" si="198"/>
        <v>1</v>
      </c>
      <c r="G524" s="124">
        <f t="shared" si="199"/>
        <v>7851.4648697333732</v>
      </c>
      <c r="H524" s="124">
        <f t="shared" si="200"/>
        <v>1</v>
      </c>
      <c r="I524" s="124">
        <f t="shared" si="201"/>
        <v>1</v>
      </c>
      <c r="J524" s="124">
        <f t="shared" si="202"/>
        <v>1.0112331353901061E-4</v>
      </c>
      <c r="K524" s="124">
        <f t="shared" si="203"/>
        <v>0</v>
      </c>
      <c r="L524" s="124">
        <f t="shared" si="204"/>
        <v>0</v>
      </c>
      <c r="M524" s="120"/>
      <c r="N524" s="132">
        <f t="shared" si="192"/>
        <v>1730.5329321424313</v>
      </c>
      <c r="O524" s="124">
        <f t="shared" si="205"/>
        <v>1626431.846694696</v>
      </c>
      <c r="P524" s="124">
        <f t="shared" si="206"/>
        <v>1</v>
      </c>
      <c r="Q524" s="124">
        <f t="shared" si="207"/>
        <v>1</v>
      </c>
      <c r="R524" s="124">
        <f t="shared" si="208"/>
        <v>1535252.4620719207</v>
      </c>
      <c r="S524" s="124">
        <f t="shared" si="209"/>
        <v>449777.66269175272</v>
      </c>
      <c r="T524" s="124">
        <f t="shared" si="210"/>
        <v>1599781.2563454888</v>
      </c>
      <c r="U524" s="124">
        <f t="shared" si="211"/>
        <v>1</v>
      </c>
      <c r="V524" s="124">
        <f t="shared" si="212"/>
        <v>0</v>
      </c>
      <c r="W524" s="124">
        <f t="shared" si="213"/>
        <v>1</v>
      </c>
      <c r="X524" s="124">
        <f t="shared" si="214"/>
        <v>1</v>
      </c>
      <c r="Y524" s="124">
        <f t="shared" si="215"/>
        <v>0</v>
      </c>
      <c r="Z524" s="124">
        <f t="shared" si="216"/>
        <v>1</v>
      </c>
      <c r="AA524" s="124">
        <f t="shared" si="193"/>
        <v>5.1484433390470176E-5</v>
      </c>
      <c r="AB524" s="124">
        <f t="shared" si="217"/>
        <v>0</v>
      </c>
      <c r="AC524" s="124">
        <f t="shared" si="218"/>
        <v>0</v>
      </c>
    </row>
    <row r="525" spans="2:29" s="114" customFormat="1">
      <c r="B525" s="115">
        <f t="shared" si="194"/>
        <v>2.4599999999999409</v>
      </c>
      <c r="C525" s="124">
        <f t="shared" si="195"/>
        <v>288.40315031262156</v>
      </c>
      <c r="D525" s="124">
        <f t="shared" si="196"/>
        <v>7912.7445753299044</v>
      </c>
      <c r="E525" s="124">
        <f t="shared" si="197"/>
        <v>1</v>
      </c>
      <c r="F525" s="124">
        <f t="shared" si="198"/>
        <v>1</v>
      </c>
      <c r="G525" s="124">
        <f t="shared" si="199"/>
        <v>7724.506231488268</v>
      </c>
      <c r="H525" s="124">
        <f t="shared" si="200"/>
        <v>1</v>
      </c>
      <c r="I525" s="124">
        <f t="shared" si="201"/>
        <v>1</v>
      </c>
      <c r="J525" s="124">
        <f t="shared" si="202"/>
        <v>1.0933669816175631E-4</v>
      </c>
      <c r="K525" s="124">
        <f t="shared" si="203"/>
        <v>0</v>
      </c>
      <c r="L525" s="124">
        <f t="shared" si="204"/>
        <v>0</v>
      </c>
      <c r="M525" s="120"/>
      <c r="N525" s="132">
        <f t="shared" si="192"/>
        <v>1812.0904365885694</v>
      </c>
      <c r="O525" s="124">
        <f t="shared" si="205"/>
        <v>1639764.135840605</v>
      </c>
      <c r="P525" s="124">
        <f t="shared" si="206"/>
        <v>1</v>
      </c>
      <c r="Q525" s="124">
        <f t="shared" si="207"/>
        <v>1</v>
      </c>
      <c r="R525" s="124">
        <f t="shared" si="208"/>
        <v>1548814.5294458095</v>
      </c>
      <c r="S525" s="124">
        <f t="shared" si="209"/>
        <v>446582.40773693711</v>
      </c>
      <c r="T525" s="124">
        <f t="shared" si="210"/>
        <v>1611912.6196920739</v>
      </c>
      <c r="U525" s="124">
        <f t="shared" si="211"/>
        <v>1</v>
      </c>
      <c r="V525" s="124">
        <f t="shared" si="212"/>
        <v>0</v>
      </c>
      <c r="W525" s="124">
        <f t="shared" si="213"/>
        <v>1</v>
      </c>
      <c r="X525" s="124">
        <f t="shared" si="214"/>
        <v>1</v>
      </c>
      <c r="Y525" s="124">
        <f t="shared" si="215"/>
        <v>0</v>
      </c>
      <c r="Z525" s="124">
        <f t="shared" si="216"/>
        <v>1</v>
      </c>
      <c r="AA525" s="124">
        <f t="shared" si="193"/>
        <v>5.5351934825562519E-5</v>
      </c>
      <c r="AB525" s="124">
        <f t="shared" si="217"/>
        <v>0</v>
      </c>
      <c r="AC525" s="124">
        <f t="shared" si="218"/>
        <v>0</v>
      </c>
    </row>
    <row r="526" spans="2:29" s="114" customFormat="1">
      <c r="B526" s="115">
        <f t="shared" si="194"/>
        <v>2.4799999999999409</v>
      </c>
      <c r="C526" s="124">
        <f t="shared" si="195"/>
        <v>301.9951720401607</v>
      </c>
      <c r="D526" s="124">
        <f t="shared" si="196"/>
        <v>7792.7047723736578</v>
      </c>
      <c r="E526" s="124">
        <f t="shared" si="197"/>
        <v>1</v>
      </c>
      <c r="F526" s="124">
        <f t="shared" si="198"/>
        <v>1</v>
      </c>
      <c r="G526" s="124">
        <f t="shared" si="199"/>
        <v>7603.4372648417957</v>
      </c>
      <c r="H526" s="124">
        <f t="shared" si="200"/>
        <v>1</v>
      </c>
      <c r="I526" s="124">
        <f t="shared" si="201"/>
        <v>1</v>
      </c>
      <c r="J526" s="124">
        <f t="shared" si="202"/>
        <v>1.1402515701874027E-4</v>
      </c>
      <c r="K526" s="124">
        <f t="shared" si="203"/>
        <v>0</v>
      </c>
      <c r="L526" s="124">
        <f t="shared" si="204"/>
        <v>0</v>
      </c>
      <c r="M526" s="120"/>
      <c r="N526" s="132">
        <f t="shared" si="192"/>
        <v>1897.4916278019091</v>
      </c>
      <c r="O526" s="124">
        <f t="shared" si="205"/>
        <v>1653087.4269117464</v>
      </c>
      <c r="P526" s="124">
        <f t="shared" si="206"/>
        <v>1</v>
      </c>
      <c r="Q526" s="124">
        <f t="shared" si="207"/>
        <v>1</v>
      </c>
      <c r="R526" s="124">
        <f t="shared" si="208"/>
        <v>1561967.4863659593</v>
      </c>
      <c r="S526" s="124">
        <f t="shared" si="209"/>
        <v>443389.13211992587</v>
      </c>
      <c r="T526" s="124">
        <f t="shared" si="210"/>
        <v>1623679.8794548309</v>
      </c>
      <c r="U526" s="124">
        <f t="shared" si="211"/>
        <v>1</v>
      </c>
      <c r="V526" s="124">
        <f t="shared" si="212"/>
        <v>0</v>
      </c>
      <c r="W526" s="124">
        <f t="shared" si="213"/>
        <v>1</v>
      </c>
      <c r="X526" s="124">
        <f t="shared" si="214"/>
        <v>1</v>
      </c>
      <c r="Y526" s="124">
        <f t="shared" si="215"/>
        <v>0</v>
      </c>
      <c r="Z526" s="124">
        <f t="shared" si="216"/>
        <v>1</v>
      </c>
      <c r="AA526" s="124">
        <f t="shared" si="193"/>
        <v>6.0768475823422992E-5</v>
      </c>
      <c r="AB526" s="124">
        <f t="shared" si="217"/>
        <v>0</v>
      </c>
      <c r="AC526" s="124">
        <f t="shared" si="218"/>
        <v>0</v>
      </c>
    </row>
    <row r="527" spans="2:29" s="114" customFormat="1">
      <c r="B527" s="115">
        <f t="shared" si="194"/>
        <v>2.4999999999999409</v>
      </c>
      <c r="C527" s="124">
        <f t="shared" si="195"/>
        <v>316.22776601679499</v>
      </c>
      <c r="D527" s="124">
        <f t="shared" si="196"/>
        <v>7675.2046555726856</v>
      </c>
      <c r="E527" s="124">
        <f t="shared" si="197"/>
        <v>1</v>
      </c>
      <c r="F527" s="124">
        <f t="shared" si="198"/>
        <v>1</v>
      </c>
      <c r="G527" s="124">
        <f t="shared" si="199"/>
        <v>7488.0924522700943</v>
      </c>
      <c r="H527" s="124">
        <f t="shared" si="200"/>
        <v>1</v>
      </c>
      <c r="I527" s="124">
        <f t="shared" si="201"/>
        <v>1</v>
      </c>
      <c r="J527" s="124">
        <f t="shared" si="202"/>
        <v>1.1489196047277322E-4</v>
      </c>
      <c r="K527" s="124">
        <f t="shared" si="203"/>
        <v>0</v>
      </c>
      <c r="L527" s="124">
        <f t="shared" si="204"/>
        <v>0</v>
      </c>
      <c r="M527" s="120"/>
      <c r="N527" s="132">
        <f t="shared" si="192"/>
        <v>1986.9176531589503</v>
      </c>
      <c r="O527" s="124">
        <f t="shared" si="205"/>
        <v>1666400.4752738902</v>
      </c>
      <c r="P527" s="124">
        <f t="shared" si="206"/>
        <v>1</v>
      </c>
      <c r="Q527" s="124">
        <f t="shared" si="207"/>
        <v>1</v>
      </c>
      <c r="R527" s="124">
        <f t="shared" si="208"/>
        <v>1574721.4161243851</v>
      </c>
      <c r="S527" s="124">
        <f t="shared" si="209"/>
        <v>440247.53663945204</v>
      </c>
      <c r="T527" s="124">
        <f t="shared" si="210"/>
        <v>1635104.1043058678</v>
      </c>
      <c r="U527" s="124">
        <f t="shared" si="211"/>
        <v>1</v>
      </c>
      <c r="V527" s="124">
        <f t="shared" si="212"/>
        <v>0</v>
      </c>
      <c r="W527" s="124">
        <f t="shared" si="213"/>
        <v>1</v>
      </c>
      <c r="X527" s="124">
        <f t="shared" si="214"/>
        <v>1</v>
      </c>
      <c r="Y527" s="124">
        <f t="shared" si="215"/>
        <v>0</v>
      </c>
      <c r="Z527" s="124">
        <f t="shared" si="216"/>
        <v>1</v>
      </c>
      <c r="AA527" s="124">
        <f t="shared" si="193"/>
        <v>6.7798297118709373E-5</v>
      </c>
      <c r="AB527" s="124">
        <f t="shared" si="217"/>
        <v>0</v>
      </c>
      <c r="AC527" s="124">
        <f t="shared" si="218"/>
        <v>0</v>
      </c>
    </row>
    <row r="528" spans="2:29" s="114" customFormat="1">
      <c r="B528" s="115">
        <f t="shared" si="194"/>
        <v>2.519999999999941</v>
      </c>
      <c r="C528" s="124">
        <f t="shared" si="195"/>
        <v>331.13112148254635</v>
      </c>
      <c r="D528" s="124">
        <f t="shared" si="196"/>
        <v>7560.1846021928868</v>
      </c>
      <c r="E528" s="124">
        <f t="shared" si="197"/>
        <v>1</v>
      </c>
      <c r="F528" s="124">
        <f t="shared" si="198"/>
        <v>1</v>
      </c>
      <c r="G528" s="124">
        <f t="shared" si="199"/>
        <v>7378.2561138636702</v>
      </c>
      <c r="H528" s="124">
        <f t="shared" si="200"/>
        <v>1</v>
      </c>
      <c r="I528" s="124">
        <f t="shared" si="201"/>
        <v>1</v>
      </c>
      <c r="J528" s="124">
        <f t="shared" si="202"/>
        <v>1.119083377344639E-4</v>
      </c>
      <c r="K528" s="124">
        <f t="shared" si="203"/>
        <v>0</v>
      </c>
      <c r="L528" s="124">
        <f t="shared" si="204"/>
        <v>0</v>
      </c>
      <c r="M528" s="120"/>
      <c r="N528" s="132">
        <f t="shared" si="192"/>
        <v>2080.558197249034</v>
      </c>
      <c r="O528" s="124">
        <f t="shared" si="205"/>
        <v>1679702.0477508812</v>
      </c>
      <c r="P528" s="124">
        <f t="shared" si="206"/>
        <v>1</v>
      </c>
      <c r="Q528" s="124">
        <f t="shared" si="207"/>
        <v>1</v>
      </c>
      <c r="R528" s="124">
        <f t="shared" si="208"/>
        <v>1587092.1355112172</v>
      </c>
      <c r="S528" s="124">
        <f t="shared" si="209"/>
        <v>437204.90622696612</v>
      </c>
      <c r="T528" s="124">
        <f t="shared" si="210"/>
        <v>1646210.6720072271</v>
      </c>
      <c r="U528" s="124">
        <f t="shared" si="211"/>
        <v>1</v>
      </c>
      <c r="V528" s="124">
        <f t="shared" si="212"/>
        <v>0</v>
      </c>
      <c r="W528" s="124">
        <f t="shared" si="213"/>
        <v>1</v>
      </c>
      <c r="X528" s="124">
        <f t="shared" si="214"/>
        <v>1</v>
      </c>
      <c r="Y528" s="124">
        <f t="shared" si="215"/>
        <v>0</v>
      </c>
      <c r="Z528" s="124">
        <f t="shared" si="216"/>
        <v>1</v>
      </c>
      <c r="AA528" s="124">
        <f t="shared" si="193"/>
        <v>7.6507190335898739E-5</v>
      </c>
      <c r="AB528" s="124">
        <f t="shared" si="217"/>
        <v>0</v>
      </c>
      <c r="AC528" s="124">
        <f t="shared" si="218"/>
        <v>0</v>
      </c>
    </row>
    <row r="529" spans="2:29" s="114" customFormat="1">
      <c r="B529" s="115">
        <f t="shared" si="194"/>
        <v>2.539999999999941</v>
      </c>
      <c r="C529" s="124">
        <f t="shared" si="195"/>
        <v>346.7368504524847</v>
      </c>
      <c r="D529" s="124">
        <f t="shared" si="196"/>
        <v>7447.5864629110029</v>
      </c>
      <c r="E529" s="124">
        <f t="shared" si="197"/>
        <v>1</v>
      </c>
      <c r="F529" s="124">
        <f t="shared" si="198"/>
        <v>1</v>
      </c>
      <c r="G529" s="124">
        <f t="shared" si="199"/>
        <v>7273.6661159824034</v>
      </c>
      <c r="H529" s="124">
        <f t="shared" si="200"/>
        <v>1</v>
      </c>
      <c r="I529" s="124">
        <f t="shared" si="201"/>
        <v>1</v>
      </c>
      <c r="J529" s="124">
        <f t="shared" si="202"/>
        <v>1.0531258804467462E-4</v>
      </c>
      <c r="K529" s="124">
        <f t="shared" si="203"/>
        <v>0</v>
      </c>
      <c r="L529" s="124">
        <f t="shared" si="204"/>
        <v>0</v>
      </c>
      <c r="M529" s="120"/>
      <c r="N529" s="132">
        <f t="shared" si="192"/>
        <v>2178.6118842207775</v>
      </c>
      <c r="O529" s="124">
        <f t="shared" si="205"/>
        <v>1692990.922933615</v>
      </c>
      <c r="P529" s="124">
        <f t="shared" si="206"/>
        <v>1</v>
      </c>
      <c r="Q529" s="124">
        <f t="shared" si="207"/>
        <v>1</v>
      </c>
      <c r="R529" s="124">
        <f t="shared" si="208"/>
        <v>1599100.7124958152</v>
      </c>
      <c r="S529" s="124">
        <f t="shared" si="209"/>
        <v>434305.52095541009</v>
      </c>
      <c r="T529" s="124">
        <f t="shared" si="210"/>
        <v>1657028.7789404788</v>
      </c>
      <c r="U529" s="124">
        <f t="shared" si="211"/>
        <v>1</v>
      </c>
      <c r="V529" s="124">
        <f t="shared" si="212"/>
        <v>0</v>
      </c>
      <c r="W529" s="124">
        <f t="shared" si="213"/>
        <v>1</v>
      </c>
      <c r="X529" s="124">
        <f t="shared" si="214"/>
        <v>1</v>
      </c>
      <c r="Y529" s="124">
        <f t="shared" si="215"/>
        <v>0</v>
      </c>
      <c r="Z529" s="124">
        <f t="shared" si="216"/>
        <v>1</v>
      </c>
      <c r="AA529" s="124">
        <f t="shared" si="193"/>
        <v>8.6947762287314101E-5</v>
      </c>
      <c r="AB529" s="124">
        <f t="shared" si="217"/>
        <v>0</v>
      </c>
      <c r="AC529" s="124">
        <f t="shared" si="218"/>
        <v>0</v>
      </c>
    </row>
    <row r="530" spans="2:29" s="114" customFormat="1">
      <c r="B530" s="115">
        <f t="shared" si="194"/>
        <v>2.559999999999941</v>
      </c>
      <c r="C530" s="124">
        <f t="shared" si="195"/>
        <v>363.07805477005218</v>
      </c>
      <c r="D530" s="124">
        <f t="shared" si="196"/>
        <v>7337.3535255369934</v>
      </c>
      <c r="E530" s="124">
        <f t="shared" si="197"/>
        <v>1</v>
      </c>
      <c r="F530" s="124">
        <f t="shared" si="198"/>
        <v>1</v>
      </c>
      <c r="G530" s="124">
        <f t="shared" si="199"/>
        <v>7174.0185723097102</v>
      </c>
      <c r="H530" s="124">
        <f t="shared" si="200"/>
        <v>1</v>
      </c>
      <c r="I530" s="124">
        <f t="shared" si="201"/>
        <v>1</v>
      </c>
      <c r="J530" s="124">
        <f t="shared" si="202"/>
        <v>9.5588710872472561E-5</v>
      </c>
      <c r="K530" s="124">
        <f t="shared" si="203"/>
        <v>0</v>
      </c>
      <c r="L530" s="124">
        <f t="shared" si="204"/>
        <v>0</v>
      </c>
      <c r="M530" s="120"/>
      <c r="N530" s="132">
        <f t="shared" si="192"/>
        <v>2281.2866990905368</v>
      </c>
      <c r="O530" s="124">
        <f t="shared" si="205"/>
        <v>1706265.8914784465</v>
      </c>
      <c r="P530" s="124">
        <f t="shared" si="206"/>
        <v>1</v>
      </c>
      <c r="Q530" s="124">
        <f t="shared" si="207"/>
        <v>1</v>
      </c>
      <c r="R530" s="124">
        <f t="shared" si="208"/>
        <v>1610772.9454040201</v>
      </c>
      <c r="S530" s="124">
        <f t="shared" si="209"/>
        <v>431590.15934442513</v>
      </c>
      <c r="T530" s="124">
        <f t="shared" si="210"/>
        <v>1667590.9412348368</v>
      </c>
      <c r="U530" s="124">
        <f t="shared" si="211"/>
        <v>1</v>
      </c>
      <c r="V530" s="124">
        <f t="shared" si="212"/>
        <v>0</v>
      </c>
      <c r="W530" s="124">
        <f t="shared" si="213"/>
        <v>1</v>
      </c>
      <c r="X530" s="124">
        <f t="shared" si="214"/>
        <v>1</v>
      </c>
      <c r="Y530" s="124">
        <f t="shared" si="215"/>
        <v>0</v>
      </c>
      <c r="Z530" s="124">
        <f t="shared" si="216"/>
        <v>1</v>
      </c>
      <c r="AA530" s="124">
        <f t="shared" si="193"/>
        <v>9.9145473040709292E-5</v>
      </c>
      <c r="AB530" s="124">
        <f t="shared" si="217"/>
        <v>0</v>
      </c>
      <c r="AC530" s="124">
        <f t="shared" si="218"/>
        <v>0</v>
      </c>
    </row>
    <row r="531" spans="2:29" s="114" customFormat="1">
      <c r="B531" s="115">
        <f t="shared" si="194"/>
        <v>2.579999999999941</v>
      </c>
      <c r="C531" s="124">
        <f t="shared" si="195"/>
        <v>380.18939632050962</v>
      </c>
      <c r="D531" s="124">
        <f t="shared" si="196"/>
        <v>7229.4304795610842</v>
      </c>
      <c r="E531" s="124">
        <f t="shared" si="197"/>
        <v>1</v>
      </c>
      <c r="F531" s="124">
        <f t="shared" si="198"/>
        <v>1</v>
      </c>
      <c r="G531" s="124">
        <f t="shared" si="199"/>
        <v>7078.9734505250144</v>
      </c>
      <c r="H531" s="124">
        <f t="shared" si="200"/>
        <v>1</v>
      </c>
      <c r="I531" s="124">
        <f t="shared" si="201"/>
        <v>1</v>
      </c>
      <c r="J531" s="124">
        <f t="shared" si="202"/>
        <v>8.3426343466059817E-5</v>
      </c>
      <c r="K531" s="124">
        <f t="shared" si="203"/>
        <v>0</v>
      </c>
      <c r="L531" s="124">
        <f t="shared" si="204"/>
        <v>0</v>
      </c>
      <c r="M531" s="120"/>
      <c r="N531" s="132">
        <f t="shared" si="192"/>
        <v>2388.8004289065025</v>
      </c>
      <c r="O531" s="124">
        <f t="shared" si="205"/>
        <v>1719525.7563950149</v>
      </c>
      <c r="P531" s="124">
        <f t="shared" si="206"/>
        <v>1</v>
      </c>
      <c r="Q531" s="124">
        <f t="shared" si="207"/>
        <v>1</v>
      </c>
      <c r="R531" s="124">
        <f t="shared" si="208"/>
        <v>1622138.8201491663</v>
      </c>
      <c r="S531" s="124">
        <f t="shared" si="209"/>
        <v>429095.68926239479</v>
      </c>
      <c r="T531" s="124">
        <f t="shared" si="210"/>
        <v>1677932.4963712036</v>
      </c>
      <c r="U531" s="124">
        <f t="shared" si="211"/>
        <v>1</v>
      </c>
      <c r="V531" s="124">
        <f t="shared" si="212"/>
        <v>0</v>
      </c>
      <c r="W531" s="124">
        <f t="shared" si="213"/>
        <v>1</v>
      </c>
      <c r="X531" s="124">
        <f t="shared" si="214"/>
        <v>1</v>
      </c>
      <c r="Y531" s="124">
        <f t="shared" si="215"/>
        <v>0</v>
      </c>
      <c r="Z531" s="124">
        <f t="shared" si="216"/>
        <v>1</v>
      </c>
      <c r="AA531" s="124">
        <f t="shared" si="193"/>
        <v>1.1308621676641964E-4</v>
      </c>
      <c r="AB531" s="124">
        <f t="shared" si="217"/>
        <v>0</v>
      </c>
      <c r="AC531" s="124">
        <f t="shared" si="218"/>
        <v>0</v>
      </c>
    </row>
    <row r="532" spans="2:29" s="114" customFormat="1">
      <c r="B532" s="115">
        <f t="shared" si="194"/>
        <v>2.599999999999941</v>
      </c>
      <c r="C532" s="124">
        <f t="shared" si="195"/>
        <v>398.1071705534435</v>
      </c>
      <c r="D532" s="124">
        <f t="shared" si="196"/>
        <v>7123.7633815110667</v>
      </c>
      <c r="E532" s="124">
        <f t="shared" si="197"/>
        <v>1</v>
      </c>
      <c r="F532" s="124">
        <f t="shared" si="198"/>
        <v>1</v>
      </c>
      <c r="G532" s="124">
        <f t="shared" si="199"/>
        <v>6988.1609624541334</v>
      </c>
      <c r="H532" s="124">
        <f t="shared" si="200"/>
        <v>1</v>
      </c>
      <c r="I532" s="124">
        <f t="shared" si="201"/>
        <v>1</v>
      </c>
      <c r="J532" s="124">
        <f t="shared" si="202"/>
        <v>6.9665497643555492E-5</v>
      </c>
      <c r="K532" s="124">
        <f t="shared" si="203"/>
        <v>0</v>
      </c>
      <c r="L532" s="124">
        <f t="shared" si="204"/>
        <v>0</v>
      </c>
      <c r="M532" s="120"/>
      <c r="N532" s="132">
        <f t="shared" si="192"/>
        <v>2501.3811247042336</v>
      </c>
      <c r="O532" s="124">
        <f t="shared" si="205"/>
        <v>1732769.3333234622</v>
      </c>
      <c r="P532" s="124">
        <f t="shared" si="206"/>
        <v>1</v>
      </c>
      <c r="Q532" s="124">
        <f t="shared" si="207"/>
        <v>1</v>
      </c>
      <c r="R532" s="124">
        <f t="shared" si="208"/>
        <v>1633231.9590613844</v>
      </c>
      <c r="S532" s="124">
        <f t="shared" si="209"/>
        <v>426854.73919518321</v>
      </c>
      <c r="T532" s="124">
        <f t="shared" si="210"/>
        <v>1688091.1114252321</v>
      </c>
      <c r="U532" s="124">
        <f t="shared" si="211"/>
        <v>1</v>
      </c>
      <c r="V532" s="124">
        <f t="shared" si="212"/>
        <v>0</v>
      </c>
      <c r="W532" s="124">
        <f t="shared" si="213"/>
        <v>1</v>
      </c>
      <c r="X532" s="124">
        <f t="shared" si="214"/>
        <v>1</v>
      </c>
      <c r="Y532" s="124">
        <f t="shared" si="215"/>
        <v>0</v>
      </c>
      <c r="Z532" s="124">
        <f t="shared" si="216"/>
        <v>1</v>
      </c>
      <c r="AA532" s="124">
        <f t="shared" si="193"/>
        <v>1.2870607655104786E-4</v>
      </c>
      <c r="AB532" s="124">
        <f t="shared" si="217"/>
        <v>0</v>
      </c>
      <c r="AC532" s="124">
        <f t="shared" si="218"/>
        <v>0</v>
      </c>
    </row>
    <row r="533" spans="2:29" s="114" customFormat="1">
      <c r="B533" s="115">
        <f t="shared" si="194"/>
        <v>2.619999999999941</v>
      </c>
      <c r="C533" s="124">
        <f t="shared" si="195"/>
        <v>416.86938347027905</v>
      </c>
      <c r="D533" s="124">
        <f t="shared" si="196"/>
        <v>7020.2996211055633</v>
      </c>
      <c r="E533" s="124">
        <f t="shared" si="197"/>
        <v>1</v>
      </c>
      <c r="F533" s="124">
        <f t="shared" si="198"/>
        <v>1</v>
      </c>
      <c r="G533" s="124">
        <f t="shared" si="199"/>
        <v>6901.1885826101134</v>
      </c>
      <c r="H533" s="124">
        <f t="shared" si="200"/>
        <v>1</v>
      </c>
      <c r="I533" s="124">
        <f t="shared" si="201"/>
        <v>1</v>
      </c>
      <c r="J533" s="124">
        <f t="shared" si="202"/>
        <v>5.523094881687513E-5</v>
      </c>
      <c r="K533" s="124">
        <f t="shared" si="203"/>
        <v>0</v>
      </c>
      <c r="L533" s="124">
        <f t="shared" si="204"/>
        <v>0</v>
      </c>
      <c r="M533" s="120"/>
      <c r="N533" s="132">
        <f t="shared" si="192"/>
        <v>2619.2675852334701</v>
      </c>
      <c r="O533" s="124">
        <f t="shared" si="205"/>
        <v>1745995.4508010901</v>
      </c>
      <c r="P533" s="124">
        <f t="shared" si="206"/>
        <v>1</v>
      </c>
      <c r="Q533" s="124">
        <f t="shared" si="207"/>
        <v>1</v>
      </c>
      <c r="R533" s="124">
        <f t="shared" si="208"/>
        <v>1644089.0716353464</v>
      </c>
      <c r="S533" s="124">
        <f t="shared" si="209"/>
        <v>424895.44105704519</v>
      </c>
      <c r="T533" s="124">
        <f t="shared" si="210"/>
        <v>1698106.3015317493</v>
      </c>
      <c r="U533" s="124">
        <f t="shared" si="211"/>
        <v>1</v>
      </c>
      <c r="V533" s="124">
        <f t="shared" si="212"/>
        <v>0</v>
      </c>
      <c r="W533" s="124">
        <f t="shared" si="213"/>
        <v>1</v>
      </c>
      <c r="X533" s="124">
        <f t="shared" si="214"/>
        <v>1</v>
      </c>
      <c r="Y533" s="124">
        <f t="shared" si="215"/>
        <v>0</v>
      </c>
      <c r="Z533" s="124">
        <f t="shared" si="216"/>
        <v>1</v>
      </c>
      <c r="AA533" s="124">
        <f t="shared" si="193"/>
        <v>1.4588374142805987E-4</v>
      </c>
      <c r="AB533" s="124">
        <f t="shared" si="217"/>
        <v>0</v>
      </c>
      <c r="AC533" s="124">
        <f t="shared" si="218"/>
        <v>0</v>
      </c>
    </row>
    <row r="534" spans="2:29" s="114" customFormat="1">
      <c r="B534" s="115">
        <f t="shared" si="194"/>
        <v>2.6399999999999411</v>
      </c>
      <c r="C534" s="124">
        <f t="shared" si="195"/>
        <v>436.51583224010687</v>
      </c>
      <c r="D534" s="124">
        <f t="shared" si="196"/>
        <v>6918.9878881887371</v>
      </c>
      <c r="E534" s="124">
        <f t="shared" si="197"/>
        <v>1</v>
      </c>
      <c r="F534" s="124">
        <f t="shared" si="198"/>
        <v>1</v>
      </c>
      <c r="G534" s="124">
        <f t="shared" si="199"/>
        <v>6817.648511452302</v>
      </c>
      <c r="H534" s="124">
        <f t="shared" si="200"/>
        <v>1</v>
      </c>
      <c r="I534" s="124">
        <f t="shared" si="201"/>
        <v>1</v>
      </c>
      <c r="J534" s="124">
        <f t="shared" si="202"/>
        <v>4.1061992936164075E-5</v>
      </c>
      <c r="K534" s="124">
        <f t="shared" si="203"/>
        <v>0</v>
      </c>
      <c r="L534" s="124">
        <f t="shared" si="204"/>
        <v>0</v>
      </c>
      <c r="M534" s="120"/>
      <c r="N534" s="132">
        <f t="shared" si="192"/>
        <v>2742.7098634823087</v>
      </c>
      <c r="O534" s="124">
        <f t="shared" si="205"/>
        <v>1759202.9505184146</v>
      </c>
      <c r="P534" s="124">
        <f t="shared" si="206"/>
        <v>1</v>
      </c>
      <c r="Q534" s="124">
        <f t="shared" si="207"/>
        <v>1</v>
      </c>
      <c r="R534" s="124">
        <f t="shared" si="208"/>
        <v>1654749.414302865</v>
      </c>
      <c r="S534" s="124">
        <f t="shared" si="209"/>
        <v>423241.23500268668</v>
      </c>
      <c r="T534" s="124">
        <f t="shared" si="210"/>
        <v>1708018.9598310301</v>
      </c>
      <c r="U534" s="124">
        <f t="shared" si="211"/>
        <v>1</v>
      </c>
      <c r="V534" s="124">
        <f t="shared" si="212"/>
        <v>0</v>
      </c>
      <c r="W534" s="124">
        <f t="shared" si="213"/>
        <v>1</v>
      </c>
      <c r="X534" s="124">
        <f t="shared" si="214"/>
        <v>1</v>
      </c>
      <c r="Y534" s="124">
        <f t="shared" si="215"/>
        <v>0</v>
      </c>
      <c r="Z534" s="124">
        <f t="shared" si="216"/>
        <v>1</v>
      </c>
      <c r="AA534" s="124">
        <f t="shared" si="193"/>
        <v>1.6443593267459066E-4</v>
      </c>
      <c r="AB534" s="124">
        <f t="shared" si="217"/>
        <v>0</v>
      </c>
      <c r="AC534" s="124">
        <f t="shared" si="218"/>
        <v>0</v>
      </c>
    </row>
    <row r="535" spans="2:29" s="114" customFormat="1">
      <c r="B535" s="115">
        <f t="shared" si="194"/>
        <v>2.6599999999999411</v>
      </c>
      <c r="C535" s="124">
        <f t="shared" si="195"/>
        <v>457.08818961481347</v>
      </c>
      <c r="D535" s="124">
        <f t="shared" si="196"/>
        <v>6819.7781404321868</v>
      </c>
      <c r="E535" s="124">
        <f t="shared" si="197"/>
        <v>1</v>
      </c>
      <c r="F535" s="124">
        <f t="shared" si="198"/>
        <v>1</v>
      </c>
      <c r="G535" s="124">
        <f t="shared" si="199"/>
        <v>6737.1253773878325</v>
      </c>
      <c r="H535" s="124">
        <f t="shared" si="200"/>
        <v>1</v>
      </c>
      <c r="I535" s="124">
        <f t="shared" si="201"/>
        <v>1</v>
      </c>
      <c r="J535" s="124">
        <f t="shared" si="202"/>
        <v>2.8043558307811975E-5</v>
      </c>
      <c r="K535" s="124">
        <f t="shared" si="203"/>
        <v>0</v>
      </c>
      <c r="L535" s="124">
        <f t="shared" si="204"/>
        <v>0</v>
      </c>
      <c r="M535" s="120"/>
      <c r="N535" s="132">
        <f t="shared" si="192"/>
        <v>2871.9697970731127</v>
      </c>
      <c r="O535" s="124">
        <f t="shared" si="205"/>
        <v>1772390.6875647083</v>
      </c>
      <c r="P535" s="124">
        <f t="shared" si="206"/>
        <v>1</v>
      </c>
      <c r="Q535" s="124">
        <f t="shared" si="207"/>
        <v>1</v>
      </c>
      <c r="R535" s="124">
        <f t="shared" si="208"/>
        <v>1665254.2633137619</v>
      </c>
      <c r="S535" s="124">
        <f t="shared" si="209"/>
        <v>421910.7267655303</v>
      </c>
      <c r="T535" s="124">
        <f t="shared" si="210"/>
        <v>1717870.8981889407</v>
      </c>
      <c r="U535" s="124">
        <f t="shared" si="211"/>
        <v>1</v>
      </c>
      <c r="V535" s="124">
        <f t="shared" si="212"/>
        <v>0</v>
      </c>
      <c r="W535" s="124">
        <f t="shared" si="213"/>
        <v>1</v>
      </c>
      <c r="X535" s="124">
        <f t="shared" si="214"/>
        <v>1</v>
      </c>
      <c r="Y535" s="124">
        <f t="shared" si="215"/>
        <v>0</v>
      </c>
      <c r="Z535" s="124">
        <f t="shared" si="216"/>
        <v>1</v>
      </c>
      <c r="AA535" s="124">
        <f t="shared" si="193"/>
        <v>1.8411605084551254E-4</v>
      </c>
      <c r="AB535" s="124">
        <f t="shared" si="217"/>
        <v>0</v>
      </c>
      <c r="AC535" s="124">
        <f t="shared" si="218"/>
        <v>0</v>
      </c>
    </row>
    <row r="536" spans="2:29" s="114" customFormat="1">
      <c r="B536" s="115">
        <f t="shared" si="194"/>
        <v>2.6799999999999411</v>
      </c>
      <c r="C536" s="124">
        <f t="shared" si="195"/>
        <v>478.63009232257383</v>
      </c>
      <c r="D536" s="124">
        <f t="shared" si="196"/>
        <v>6722.6215717900232</v>
      </c>
      <c r="E536" s="124">
        <f t="shared" si="197"/>
        <v>1</v>
      </c>
      <c r="F536" s="124">
        <f t="shared" si="198"/>
        <v>1</v>
      </c>
      <c r="G536" s="124">
        <f t="shared" si="199"/>
        <v>6659.2039572591484</v>
      </c>
      <c r="H536" s="124">
        <f t="shared" si="200"/>
        <v>1</v>
      </c>
      <c r="I536" s="124">
        <f t="shared" si="201"/>
        <v>1</v>
      </c>
      <c r="J536" s="124">
        <f t="shared" si="202"/>
        <v>1.6944321915195861E-5</v>
      </c>
      <c r="K536" s="124">
        <f t="shared" si="203"/>
        <v>0</v>
      </c>
      <c r="L536" s="124">
        <f t="shared" si="204"/>
        <v>0</v>
      </c>
      <c r="M536" s="120"/>
      <c r="N536" s="132">
        <f t="shared" si="192"/>
        <v>3007.321563655205</v>
      </c>
      <c r="O536" s="124">
        <f t="shared" si="205"/>
        <v>1785557.5306629927</v>
      </c>
      <c r="P536" s="124">
        <f t="shared" si="206"/>
        <v>1</v>
      </c>
      <c r="Q536" s="124">
        <f t="shared" si="207"/>
        <v>1</v>
      </c>
      <c r="R536" s="124">
        <f t="shared" si="208"/>
        <v>1675646.4021144479</v>
      </c>
      <c r="S536" s="124">
        <f t="shared" si="209"/>
        <v>420917.5887790182</v>
      </c>
      <c r="T536" s="124">
        <f t="shared" si="210"/>
        <v>1727704.3964355236</v>
      </c>
      <c r="U536" s="124">
        <f t="shared" si="211"/>
        <v>1</v>
      </c>
      <c r="V536" s="124">
        <f t="shared" si="212"/>
        <v>0</v>
      </c>
      <c r="W536" s="124">
        <f t="shared" si="213"/>
        <v>1</v>
      </c>
      <c r="X536" s="124">
        <f t="shared" si="214"/>
        <v>1</v>
      </c>
      <c r="Y536" s="124">
        <f t="shared" si="215"/>
        <v>0</v>
      </c>
      <c r="Z536" s="124">
        <f t="shared" si="216"/>
        <v>1</v>
      </c>
      <c r="AA536" s="124">
        <f t="shared" si="193"/>
        <v>2.0461612644259071E-4</v>
      </c>
      <c r="AB536" s="124">
        <f t="shared" si="217"/>
        <v>0</v>
      </c>
      <c r="AC536" s="124">
        <f t="shared" si="218"/>
        <v>0</v>
      </c>
    </row>
    <row r="537" spans="2:29" s="114" customFormat="1">
      <c r="B537" s="115">
        <f t="shared" si="194"/>
        <v>2.6999999999999411</v>
      </c>
      <c r="C537" s="124">
        <f t="shared" si="195"/>
        <v>501.18723362720459</v>
      </c>
      <c r="D537" s="124">
        <f t="shared" si="196"/>
        <v>6627.4705816923679</v>
      </c>
      <c r="E537" s="124">
        <f t="shared" si="197"/>
        <v>1</v>
      </c>
      <c r="F537" s="124">
        <f t="shared" si="198"/>
        <v>1</v>
      </c>
      <c r="G537" s="124">
        <f t="shared" si="199"/>
        <v>6583.4766902131787</v>
      </c>
      <c r="H537" s="124">
        <f t="shared" si="200"/>
        <v>1</v>
      </c>
      <c r="I537" s="124">
        <f t="shared" si="201"/>
        <v>1</v>
      </c>
      <c r="J537" s="124">
        <f t="shared" si="202"/>
        <v>8.3665934207822035E-6</v>
      </c>
      <c r="K537" s="124">
        <f t="shared" si="203"/>
        <v>0</v>
      </c>
      <c r="L537" s="124">
        <f t="shared" si="204"/>
        <v>0</v>
      </c>
      <c r="M537" s="120"/>
      <c r="N537" s="132">
        <f t="shared" si="192"/>
        <v>3149.0522624724344</v>
      </c>
      <c r="O537" s="124">
        <f t="shared" si="205"/>
        <v>1798702.3623945361</v>
      </c>
      <c r="P537" s="124">
        <f t="shared" si="206"/>
        <v>1</v>
      </c>
      <c r="Q537" s="124">
        <f t="shared" si="207"/>
        <v>1</v>
      </c>
      <c r="R537" s="124">
        <f t="shared" si="208"/>
        <v>1685969.6223486776</v>
      </c>
      <c r="S537" s="124">
        <f t="shared" si="209"/>
        <v>420270.49760925717</v>
      </c>
      <c r="T537" s="124">
        <f t="shared" si="210"/>
        <v>1737561.7567854314</v>
      </c>
      <c r="U537" s="124">
        <f t="shared" si="211"/>
        <v>1</v>
      </c>
      <c r="V537" s="124">
        <f t="shared" si="212"/>
        <v>0</v>
      </c>
      <c r="W537" s="124">
        <f t="shared" si="213"/>
        <v>1</v>
      </c>
      <c r="X537" s="124">
        <f t="shared" si="214"/>
        <v>1</v>
      </c>
      <c r="Y537" s="124">
        <f t="shared" si="215"/>
        <v>0</v>
      </c>
      <c r="Z537" s="124">
        <f t="shared" si="216"/>
        <v>1</v>
      </c>
      <c r="AA537" s="124">
        <f t="shared" si="193"/>
        <v>2.2557203511691288E-4</v>
      </c>
      <c r="AB537" s="124">
        <f t="shared" si="217"/>
        <v>0</v>
      </c>
      <c r="AC537" s="124">
        <f t="shared" si="218"/>
        <v>0</v>
      </c>
    </row>
    <row r="538" spans="2:29" s="114" customFormat="1">
      <c r="B538" s="115">
        <f t="shared" si="194"/>
        <v>2.7199999999999411</v>
      </c>
      <c r="C538" s="124">
        <f t="shared" si="195"/>
        <v>524.80746024970165</v>
      </c>
      <c r="D538" s="124">
        <f t="shared" si="196"/>
        <v>6534.2787449638536</v>
      </c>
      <c r="E538" s="124">
        <f t="shared" si="197"/>
        <v>1</v>
      </c>
      <c r="F538" s="124">
        <f t="shared" si="198"/>
        <v>1</v>
      </c>
      <c r="G538" s="124">
        <f t="shared" si="199"/>
        <v>6509.5507653563845</v>
      </c>
      <c r="H538" s="124">
        <f t="shared" si="200"/>
        <v>1</v>
      </c>
      <c r="I538" s="124">
        <f t="shared" si="201"/>
        <v>1</v>
      </c>
      <c r="J538" s="124">
        <f t="shared" si="202"/>
        <v>2.711419373665246E-6</v>
      </c>
      <c r="K538" s="124">
        <f t="shared" si="203"/>
        <v>0</v>
      </c>
      <c r="L538" s="124">
        <f t="shared" si="204"/>
        <v>0</v>
      </c>
      <c r="M538" s="120"/>
      <c r="N538" s="132">
        <f t="shared" si="192"/>
        <v>3297.4625233391603</v>
      </c>
      <c r="O538" s="124">
        <f t="shared" si="205"/>
        <v>1811824.0794129686</v>
      </c>
      <c r="P538" s="124">
        <f t="shared" si="206"/>
        <v>1</v>
      </c>
      <c r="Q538" s="124">
        <f t="shared" si="207"/>
        <v>1</v>
      </c>
      <c r="R538" s="124">
        <f t="shared" si="208"/>
        <v>1696268.2358367557</v>
      </c>
      <c r="S538" s="124">
        <f t="shared" si="209"/>
        <v>419973.10191190621</v>
      </c>
      <c r="T538" s="124">
        <f t="shared" si="210"/>
        <v>1747484.8595161699</v>
      </c>
      <c r="U538" s="124">
        <f t="shared" si="211"/>
        <v>1</v>
      </c>
      <c r="V538" s="124">
        <f t="shared" si="212"/>
        <v>0</v>
      </c>
      <c r="W538" s="124">
        <f t="shared" si="213"/>
        <v>1</v>
      </c>
      <c r="X538" s="124">
        <f t="shared" si="214"/>
        <v>1</v>
      </c>
      <c r="Y538" s="124">
        <f t="shared" si="215"/>
        <v>0</v>
      </c>
      <c r="Z538" s="124">
        <f t="shared" si="216"/>
        <v>1</v>
      </c>
      <c r="AA538" s="124">
        <f t="shared" si="193"/>
        <v>2.4657182139069793E-4</v>
      </c>
      <c r="AB538" s="124">
        <f t="shared" si="217"/>
        <v>0</v>
      </c>
      <c r="AC538" s="124">
        <f t="shared" si="218"/>
        <v>0</v>
      </c>
    </row>
    <row r="539" spans="2:29" s="114" customFormat="1">
      <c r="B539" s="115">
        <f t="shared" si="194"/>
        <v>2.7399999999999411</v>
      </c>
      <c r="C539" s="124">
        <f t="shared" si="195"/>
        <v>549.54087385755065</v>
      </c>
      <c r="D539" s="124">
        <f t="shared" si="196"/>
        <v>6443.0007824525565</v>
      </c>
      <c r="E539" s="124">
        <f t="shared" si="197"/>
        <v>1</v>
      </c>
      <c r="F539" s="124">
        <f t="shared" si="198"/>
        <v>1</v>
      </c>
      <c r="G539" s="124">
        <f t="shared" si="199"/>
        <v>6437.0545797713439</v>
      </c>
      <c r="H539" s="124">
        <f t="shared" si="200"/>
        <v>1</v>
      </c>
      <c r="I539" s="124">
        <f t="shared" si="201"/>
        <v>1</v>
      </c>
      <c r="J539" s="124">
        <f t="shared" si="202"/>
        <v>1.6079503440473277E-7</v>
      </c>
      <c r="K539" s="124">
        <f t="shared" si="203"/>
        <v>0</v>
      </c>
      <c r="L539" s="124">
        <f t="shared" si="204"/>
        <v>0</v>
      </c>
      <c r="M539" s="120"/>
      <c r="N539" s="132">
        <f t="shared" si="192"/>
        <v>3452.8671443163926</v>
      </c>
      <c r="O539" s="124">
        <f t="shared" si="205"/>
        <v>1824921.5926479828</v>
      </c>
      <c r="P539" s="124">
        <f t="shared" si="206"/>
        <v>1</v>
      </c>
      <c r="Q539" s="124">
        <f t="shared" si="207"/>
        <v>1</v>
      </c>
      <c r="R539" s="124">
        <f t="shared" si="208"/>
        <v>1706586.5936606613</v>
      </c>
      <c r="S539" s="124">
        <f t="shared" si="209"/>
        <v>420024.01710175222</v>
      </c>
      <c r="T539" s="124">
        <f t="shared" si="210"/>
        <v>1757514.7158998675</v>
      </c>
      <c r="U539" s="124">
        <f t="shared" si="211"/>
        <v>1</v>
      </c>
      <c r="V539" s="124">
        <f t="shared" si="212"/>
        <v>0</v>
      </c>
      <c r="W539" s="124">
        <f t="shared" si="213"/>
        <v>1</v>
      </c>
      <c r="X539" s="124">
        <f t="shared" si="214"/>
        <v>1</v>
      </c>
      <c r="Y539" s="124">
        <f t="shared" si="215"/>
        <v>0</v>
      </c>
      <c r="Z539" s="124">
        <f t="shared" si="216"/>
        <v>1</v>
      </c>
      <c r="AA539" s="124">
        <f t="shared" si="193"/>
        <v>2.6716686136375506E-4</v>
      </c>
      <c r="AB539" s="124">
        <f t="shared" si="217"/>
        <v>0</v>
      </c>
      <c r="AC539" s="124">
        <f t="shared" si="218"/>
        <v>0</v>
      </c>
    </row>
    <row r="540" spans="2:29" s="114" customFormat="1">
      <c r="B540" s="115">
        <f t="shared" si="194"/>
        <v>2.7599999999999412</v>
      </c>
      <c r="C540" s="124">
        <f t="shared" si="195"/>
        <v>575.43993733707941</v>
      </c>
      <c r="D540" s="124">
        <f t="shared" si="196"/>
        <v>6353.5925323558313</v>
      </c>
      <c r="E540" s="124">
        <f t="shared" si="197"/>
        <v>1</v>
      </c>
      <c r="F540" s="124">
        <f t="shared" si="198"/>
        <v>1</v>
      </c>
      <c r="G540" s="124">
        <f t="shared" si="199"/>
        <v>6365.643389896165</v>
      </c>
      <c r="H540" s="124">
        <f t="shared" si="200"/>
        <v>1</v>
      </c>
      <c r="I540" s="124">
        <f t="shared" si="201"/>
        <v>1</v>
      </c>
      <c r="J540" s="124">
        <f t="shared" si="202"/>
        <v>6.7724020570430874E-7</v>
      </c>
      <c r="K540" s="124">
        <f t="shared" si="203"/>
        <v>0</v>
      </c>
      <c r="L540" s="124">
        <f t="shared" si="204"/>
        <v>0</v>
      </c>
      <c r="M540" s="120"/>
      <c r="N540" s="132">
        <f t="shared" si="192"/>
        <v>3615.5957594406791</v>
      </c>
      <c r="O540" s="124">
        <f t="shared" si="205"/>
        <v>1837993.8274987373</v>
      </c>
      <c r="P540" s="124">
        <f t="shared" si="206"/>
        <v>1</v>
      </c>
      <c r="Q540" s="124">
        <f t="shared" si="207"/>
        <v>1</v>
      </c>
      <c r="R540" s="124">
        <f t="shared" si="208"/>
        <v>1716968.6078168694</v>
      </c>
      <c r="S540" s="124">
        <f t="shared" si="209"/>
        <v>420416.84507376183</v>
      </c>
      <c r="T540" s="124">
        <f t="shared" si="210"/>
        <v>1767691.0148129321</v>
      </c>
      <c r="U540" s="124">
        <f t="shared" si="211"/>
        <v>1</v>
      </c>
      <c r="V540" s="124">
        <f t="shared" si="212"/>
        <v>0</v>
      </c>
      <c r="W540" s="124">
        <f t="shared" si="213"/>
        <v>1</v>
      </c>
      <c r="X540" s="124">
        <f t="shared" si="214"/>
        <v>1</v>
      </c>
      <c r="Y540" s="124">
        <f t="shared" si="215"/>
        <v>0</v>
      </c>
      <c r="Z540" s="124">
        <f t="shared" si="216"/>
        <v>1</v>
      </c>
      <c r="AA540" s="124">
        <f t="shared" si="193"/>
        <v>2.8688548360335546E-4</v>
      </c>
      <c r="AB540" s="124">
        <f t="shared" si="217"/>
        <v>0</v>
      </c>
      <c r="AC540" s="124">
        <f t="shared" si="218"/>
        <v>0</v>
      </c>
    </row>
    <row r="541" spans="2:29" s="114" customFormat="1">
      <c r="B541" s="115">
        <f t="shared" si="194"/>
        <v>2.7799999999999412</v>
      </c>
      <c r="C541" s="124">
        <f t="shared" si="195"/>
        <v>602.55958607427647</v>
      </c>
      <c r="D541" s="124">
        <f t="shared" si="196"/>
        <v>6266.0109222289939</v>
      </c>
      <c r="E541" s="124">
        <f t="shared" si="197"/>
        <v>1</v>
      </c>
      <c r="F541" s="124">
        <f t="shared" si="198"/>
        <v>1</v>
      </c>
      <c r="G541" s="124">
        <f t="shared" si="199"/>
        <v>6295.0040147819382</v>
      </c>
      <c r="H541" s="124">
        <f t="shared" si="200"/>
        <v>1</v>
      </c>
      <c r="I541" s="124">
        <f t="shared" si="201"/>
        <v>1</v>
      </c>
      <c r="J541" s="124">
        <f t="shared" si="202"/>
        <v>4.0194791126913617E-6</v>
      </c>
      <c r="K541" s="124">
        <f t="shared" si="203"/>
        <v>0</v>
      </c>
      <c r="L541" s="124">
        <f t="shared" si="204"/>
        <v>0</v>
      </c>
      <c r="M541" s="120"/>
      <c r="N541" s="132">
        <f t="shared" si="192"/>
        <v>3785.993537922107</v>
      </c>
      <c r="O541" s="124">
        <f t="shared" si="205"/>
        <v>1851039.7240170042</v>
      </c>
      <c r="P541" s="124">
        <f t="shared" si="206"/>
        <v>1</v>
      </c>
      <c r="Q541" s="124">
        <f t="shared" si="207"/>
        <v>1</v>
      </c>
      <c r="R541" s="124">
        <f t="shared" si="208"/>
        <v>1727457.2708058695</v>
      </c>
      <c r="S541" s="124">
        <f t="shared" si="209"/>
        <v>421140.21952857834</v>
      </c>
      <c r="T541" s="124">
        <f t="shared" si="210"/>
        <v>1778051.6603756603</v>
      </c>
      <c r="U541" s="124">
        <f t="shared" si="211"/>
        <v>1</v>
      </c>
      <c r="V541" s="124">
        <f t="shared" si="212"/>
        <v>0</v>
      </c>
      <c r="W541" s="124">
        <f t="shared" si="213"/>
        <v>1</v>
      </c>
      <c r="X541" s="124">
        <f t="shared" si="214"/>
        <v>1</v>
      </c>
      <c r="Y541" s="124">
        <f t="shared" si="215"/>
        <v>0</v>
      </c>
      <c r="Z541" s="124">
        <f t="shared" si="216"/>
        <v>1</v>
      </c>
      <c r="AA541" s="124">
        <f t="shared" si="193"/>
        <v>3.052485585419528E-4</v>
      </c>
      <c r="AB541" s="124">
        <f t="shared" si="217"/>
        <v>0</v>
      </c>
      <c r="AC541" s="124">
        <f t="shared" si="218"/>
        <v>0</v>
      </c>
    </row>
    <row r="542" spans="2:29" s="114" customFormat="1">
      <c r="B542" s="115">
        <f t="shared" si="194"/>
        <v>2.7999999999999412</v>
      </c>
      <c r="C542" s="124">
        <f t="shared" si="195"/>
        <v>630.95734448010796</v>
      </c>
      <c r="D542" s="124">
        <f t="shared" si="196"/>
        <v>6180.2139416633681</v>
      </c>
      <c r="E542" s="124">
        <f t="shared" si="197"/>
        <v>1</v>
      </c>
      <c r="F542" s="124">
        <f t="shared" si="198"/>
        <v>1</v>
      </c>
      <c r="G542" s="124">
        <f t="shared" si="199"/>
        <v>6224.8584924451716</v>
      </c>
      <c r="H542" s="124">
        <f t="shared" si="200"/>
        <v>1</v>
      </c>
      <c r="I542" s="124">
        <f t="shared" si="201"/>
        <v>1</v>
      </c>
      <c r="J542" s="124">
        <f t="shared" si="202"/>
        <v>9.7717122514328123E-6</v>
      </c>
      <c r="K542" s="124">
        <f t="shared" si="203"/>
        <v>0</v>
      </c>
      <c r="L542" s="124">
        <f t="shared" si="204"/>
        <v>0</v>
      </c>
      <c r="M542" s="120"/>
      <c r="N542" s="132">
        <f t="shared" si="192"/>
        <v>3964.4219162944632</v>
      </c>
      <c r="O542" s="124">
        <f t="shared" si="205"/>
        <v>1864058.2370801864</v>
      </c>
      <c r="P542" s="124">
        <f t="shared" si="206"/>
        <v>1</v>
      </c>
      <c r="Q542" s="124">
        <f t="shared" si="207"/>
        <v>1</v>
      </c>
      <c r="R542" s="124">
        <f t="shared" si="208"/>
        <v>1738094.1690063213</v>
      </c>
      <c r="S542" s="124">
        <f t="shared" si="209"/>
        <v>422177.87962519674</v>
      </c>
      <c r="T542" s="124">
        <f t="shared" si="210"/>
        <v>1788632.2993781036</v>
      </c>
      <c r="U542" s="124">
        <f t="shared" si="211"/>
        <v>1</v>
      </c>
      <c r="V542" s="124">
        <f t="shared" si="212"/>
        <v>0</v>
      </c>
      <c r="W542" s="124">
        <f t="shared" si="213"/>
        <v>1</v>
      </c>
      <c r="X542" s="124">
        <f t="shared" si="214"/>
        <v>1</v>
      </c>
      <c r="Y542" s="124">
        <f t="shared" si="215"/>
        <v>0</v>
      </c>
      <c r="Z542" s="124">
        <f t="shared" si="216"/>
        <v>1</v>
      </c>
      <c r="AA542" s="124">
        <f t="shared" si="193"/>
        <v>3.2178646217797613E-4</v>
      </c>
      <c r="AB542" s="124">
        <f t="shared" si="217"/>
        <v>0</v>
      </c>
      <c r="AC542" s="124">
        <f t="shared" si="218"/>
        <v>0</v>
      </c>
    </row>
    <row r="543" spans="2:29" s="114" customFormat="1">
      <c r="B543" s="115">
        <f t="shared" si="194"/>
        <v>2.8199999999999412</v>
      </c>
      <c r="C543" s="124">
        <f t="shared" si="195"/>
        <v>660.69344800750719</v>
      </c>
      <c r="D543" s="124">
        <f t="shared" si="196"/>
        <v>6096.1606156199814</v>
      </c>
      <c r="E543" s="124">
        <f t="shared" si="197"/>
        <v>1</v>
      </c>
      <c r="F543" s="124">
        <f t="shared" si="198"/>
        <v>1</v>
      </c>
      <c r="G543" s="124">
        <f t="shared" si="199"/>
        <v>6154.9666378845541</v>
      </c>
      <c r="H543" s="124">
        <f t="shared" si="200"/>
        <v>1</v>
      </c>
      <c r="I543" s="124">
        <f t="shared" si="201"/>
        <v>1</v>
      </c>
      <c r="J543" s="124">
        <f t="shared" si="202"/>
        <v>1.7383082487846543E-5</v>
      </c>
      <c r="K543" s="124">
        <f t="shared" si="203"/>
        <v>0</v>
      </c>
      <c r="L543" s="124">
        <f t="shared" si="204"/>
        <v>0</v>
      </c>
      <c r="M543" s="120"/>
      <c r="N543" s="132">
        <f t="shared" si="192"/>
        <v>4151.2593650705894</v>
      </c>
      <c r="O543" s="124">
        <f t="shared" si="205"/>
        <v>1877048.3365542165</v>
      </c>
      <c r="P543" s="124">
        <f t="shared" si="206"/>
        <v>1</v>
      </c>
      <c r="Q543" s="124">
        <f t="shared" si="207"/>
        <v>1</v>
      </c>
      <c r="R543" s="124">
        <f t="shared" si="208"/>
        <v>1748918.9867207662</v>
      </c>
      <c r="S543" s="124">
        <f t="shared" si="209"/>
        <v>423508.77670022647</v>
      </c>
      <c r="T543" s="124">
        <f t="shared" si="210"/>
        <v>1799465.8390907324</v>
      </c>
      <c r="U543" s="124">
        <f t="shared" si="211"/>
        <v>1</v>
      </c>
      <c r="V543" s="124">
        <f t="shared" si="212"/>
        <v>0</v>
      </c>
      <c r="W543" s="124">
        <f t="shared" si="213"/>
        <v>1</v>
      </c>
      <c r="X543" s="124">
        <f t="shared" si="214"/>
        <v>1</v>
      </c>
      <c r="Y543" s="124">
        <f t="shared" si="215"/>
        <v>0</v>
      </c>
      <c r="Z543" s="124">
        <f t="shared" si="216"/>
        <v>1</v>
      </c>
      <c r="AA543" s="124">
        <f t="shared" si="193"/>
        <v>3.3605672381619404E-4</v>
      </c>
      <c r="AB543" s="124">
        <f t="shared" si="217"/>
        <v>0</v>
      </c>
      <c r="AC543" s="124">
        <f t="shared" si="218"/>
        <v>0</v>
      </c>
    </row>
    <row r="544" spans="2:29" s="114" customFormat="1">
      <c r="B544" s="115">
        <f t="shared" si="194"/>
        <v>2.8399999999999412</v>
      </c>
      <c r="C544" s="124">
        <f t="shared" si="195"/>
        <v>691.83097091884338</v>
      </c>
      <c r="D544" s="124">
        <f t="shared" si="196"/>
        <v>6013.8109784056951</v>
      </c>
      <c r="E544" s="124">
        <f t="shared" si="197"/>
        <v>1</v>
      </c>
      <c r="F544" s="124">
        <f t="shared" si="198"/>
        <v>1</v>
      </c>
      <c r="G544" s="124">
        <f t="shared" si="199"/>
        <v>6085.127500332007</v>
      </c>
      <c r="H544" s="124">
        <f t="shared" si="200"/>
        <v>1</v>
      </c>
      <c r="I544" s="124">
        <f t="shared" si="201"/>
        <v>1</v>
      </c>
      <c r="J544" s="124">
        <f t="shared" si="202"/>
        <v>2.6213465884892284E-5</v>
      </c>
      <c r="K544" s="124">
        <f t="shared" si="203"/>
        <v>0</v>
      </c>
      <c r="L544" s="124">
        <f t="shared" si="204"/>
        <v>0</v>
      </c>
      <c r="M544" s="120"/>
      <c r="N544" s="132">
        <f t="shared" si="192"/>
        <v>4346.9021915290641</v>
      </c>
      <c r="O544" s="124">
        <f t="shared" si="205"/>
        <v>1890009.0074465163</v>
      </c>
      <c r="P544" s="124">
        <f t="shared" si="206"/>
        <v>1</v>
      </c>
      <c r="Q544" s="124">
        <f t="shared" si="207"/>
        <v>1</v>
      </c>
      <c r="R544" s="124">
        <f t="shared" si="208"/>
        <v>1759968.9993544982</v>
      </c>
      <c r="S544" s="124">
        <f t="shared" si="209"/>
        <v>425107.22054492397</v>
      </c>
      <c r="T544" s="124">
        <f t="shared" si="210"/>
        <v>1810581.9582797971</v>
      </c>
      <c r="U544" s="124">
        <f t="shared" si="211"/>
        <v>1</v>
      </c>
      <c r="V544" s="124">
        <f t="shared" si="212"/>
        <v>0</v>
      </c>
      <c r="W544" s="124">
        <f t="shared" si="213"/>
        <v>1</v>
      </c>
      <c r="X544" s="124">
        <f t="shared" si="214"/>
        <v>1</v>
      </c>
      <c r="Y544" s="124">
        <f t="shared" si="215"/>
        <v>0</v>
      </c>
      <c r="Z544" s="124">
        <f t="shared" si="216"/>
        <v>1</v>
      </c>
      <c r="AA544" s="124">
        <f t="shared" si="193"/>
        <v>3.476615863473192E-4</v>
      </c>
      <c r="AB544" s="124">
        <f t="shared" si="217"/>
        <v>0</v>
      </c>
      <c r="AC544" s="124">
        <f t="shared" si="218"/>
        <v>0</v>
      </c>
    </row>
    <row r="545" spans="2:29" s="114" customFormat="1">
      <c r="B545" s="115">
        <f t="shared" si="194"/>
        <v>2.8599999999999413</v>
      </c>
      <c r="C545" s="124">
        <f t="shared" si="195"/>
        <v>724.43596007489236</v>
      </c>
      <c r="D545" s="124">
        <f t="shared" si="196"/>
        <v>5933.1260482783255</v>
      </c>
      <c r="E545" s="124">
        <f t="shared" si="197"/>
        <v>1</v>
      </c>
      <c r="F545" s="124">
        <f t="shared" si="198"/>
        <v>1</v>
      </c>
      <c r="G545" s="124">
        <f t="shared" si="199"/>
        <v>6015.179764724583</v>
      </c>
      <c r="H545" s="124">
        <f t="shared" si="200"/>
        <v>1</v>
      </c>
      <c r="I545" s="124">
        <f t="shared" si="201"/>
        <v>1</v>
      </c>
      <c r="J545" s="124">
        <f t="shared" si="202"/>
        <v>3.5581653151309578E-5</v>
      </c>
      <c r="K545" s="124">
        <f t="shared" si="203"/>
        <v>0</v>
      </c>
      <c r="L545" s="124">
        <f t="shared" si="204"/>
        <v>0</v>
      </c>
      <c r="M545" s="120"/>
      <c r="N545" s="132">
        <f t="shared" si="192"/>
        <v>4551.7653803351013</v>
      </c>
      <c r="O545" s="124">
        <f t="shared" si="205"/>
        <v>1902939.2500490462</v>
      </c>
      <c r="P545" s="124">
        <f t="shared" si="206"/>
        <v>1</v>
      </c>
      <c r="Q545" s="124">
        <f t="shared" si="207"/>
        <v>1</v>
      </c>
      <c r="R545" s="124">
        <f t="shared" si="208"/>
        <v>1771278.5562588056</v>
      </c>
      <c r="S545" s="124">
        <f t="shared" si="209"/>
        <v>426943.07310164924</v>
      </c>
      <c r="T545" s="124">
        <f t="shared" si="210"/>
        <v>1822006.6167639894</v>
      </c>
      <c r="U545" s="124">
        <f t="shared" si="211"/>
        <v>1</v>
      </c>
      <c r="V545" s="124">
        <f t="shared" si="212"/>
        <v>0</v>
      </c>
      <c r="W545" s="124">
        <f t="shared" si="213"/>
        <v>1</v>
      </c>
      <c r="X545" s="124">
        <f t="shared" si="214"/>
        <v>1</v>
      </c>
      <c r="Y545" s="124">
        <f t="shared" si="215"/>
        <v>0</v>
      </c>
      <c r="Z545" s="124">
        <f t="shared" si="216"/>
        <v>1</v>
      </c>
      <c r="AA545" s="124">
        <f t="shared" si="193"/>
        <v>3.5626464945393113E-4</v>
      </c>
      <c r="AB545" s="124">
        <f t="shared" si="217"/>
        <v>0</v>
      </c>
      <c r="AC545" s="124">
        <f t="shared" si="218"/>
        <v>0</v>
      </c>
    </row>
    <row r="546" spans="2:29" s="114" customFormat="1">
      <c r="B546" s="115">
        <f t="shared" si="194"/>
        <v>2.8799999999999413</v>
      </c>
      <c r="C546" s="124">
        <f t="shared" si="195"/>
        <v>758.57757502908134</v>
      </c>
      <c r="D546" s="124">
        <f t="shared" si="196"/>
        <v>5854.0678026676424</v>
      </c>
      <c r="E546" s="124">
        <f t="shared" si="197"/>
        <v>1</v>
      </c>
      <c r="F546" s="124">
        <f t="shared" si="198"/>
        <v>1</v>
      </c>
      <c r="G546" s="124">
        <f t="shared" si="199"/>
        <v>5945.0011850346791</v>
      </c>
      <c r="H546" s="124">
        <f t="shared" si="200"/>
        <v>1</v>
      </c>
      <c r="I546" s="124">
        <f t="shared" si="201"/>
        <v>1</v>
      </c>
      <c r="J546" s="124">
        <f t="shared" si="202"/>
        <v>4.4812277959247555E-5</v>
      </c>
      <c r="K546" s="124">
        <f t="shared" si="203"/>
        <v>0</v>
      </c>
      <c r="L546" s="124">
        <f t="shared" si="204"/>
        <v>0</v>
      </c>
      <c r="M546" s="120"/>
      <c r="N546" s="132">
        <f t="shared" si="192"/>
        <v>4766.2834737786443</v>
      </c>
      <c r="O546" s="124">
        <f t="shared" si="205"/>
        <v>1915838.080071582</v>
      </c>
      <c r="P546" s="124">
        <f t="shared" si="206"/>
        <v>1</v>
      </c>
      <c r="Q546" s="124">
        <f t="shared" si="207"/>
        <v>1</v>
      </c>
      <c r="R546" s="124">
        <f t="shared" si="208"/>
        <v>1782878.5562710022</v>
      </c>
      <c r="S546" s="124">
        <f t="shared" si="209"/>
        <v>428981.99831042864</v>
      </c>
      <c r="T546" s="124">
        <f t="shared" si="210"/>
        <v>1833761.5715477795</v>
      </c>
      <c r="U546" s="124">
        <f t="shared" si="211"/>
        <v>1</v>
      </c>
      <c r="V546" s="124">
        <f t="shared" si="212"/>
        <v>0</v>
      </c>
      <c r="W546" s="124">
        <f t="shared" si="213"/>
        <v>1</v>
      </c>
      <c r="X546" s="124">
        <f t="shared" si="214"/>
        <v>1</v>
      </c>
      <c r="Y546" s="124">
        <f t="shared" si="215"/>
        <v>0</v>
      </c>
      <c r="Z546" s="124">
        <f t="shared" si="216"/>
        <v>1</v>
      </c>
      <c r="AA546" s="124">
        <f t="shared" si="193"/>
        <v>3.6160574074342751E-4</v>
      </c>
      <c r="AB546" s="124">
        <f t="shared" si="217"/>
        <v>0</v>
      </c>
      <c r="AC546" s="124">
        <f t="shared" si="218"/>
        <v>0</v>
      </c>
    </row>
    <row r="547" spans="2:29" s="114" customFormat="1">
      <c r="B547" s="115">
        <f t="shared" si="194"/>
        <v>2.8999999999999413</v>
      </c>
      <c r="C547" s="124">
        <f t="shared" si="195"/>
        <v>794.32823472417488</v>
      </c>
      <c r="D547" s="124">
        <f t="shared" si="196"/>
        <v>5776.5991539995157</v>
      </c>
      <c r="E547" s="124">
        <f t="shared" si="197"/>
        <v>1</v>
      </c>
      <c r="F547" s="124">
        <f t="shared" si="198"/>
        <v>1</v>
      </c>
      <c r="G547" s="124">
        <f t="shared" si="199"/>
        <v>5874.5071721472486</v>
      </c>
      <c r="H547" s="124">
        <f t="shared" si="200"/>
        <v>1</v>
      </c>
      <c r="I547" s="124">
        <f t="shared" si="201"/>
        <v>1</v>
      </c>
      <c r="J547" s="124">
        <f t="shared" si="202"/>
        <v>5.3278409083130083E-5</v>
      </c>
      <c r="K547" s="124">
        <f t="shared" si="203"/>
        <v>0</v>
      </c>
      <c r="L547" s="124">
        <f t="shared" si="204"/>
        <v>0</v>
      </c>
      <c r="M547" s="120"/>
      <c r="N547" s="132">
        <f t="shared" si="192"/>
        <v>4990.9114934968329</v>
      </c>
      <c r="O547" s="124">
        <f t="shared" si="205"/>
        <v>1928704.5287653147</v>
      </c>
      <c r="P547" s="124">
        <f t="shared" si="206"/>
        <v>1</v>
      </c>
      <c r="Q547" s="124">
        <f t="shared" si="207"/>
        <v>1</v>
      </c>
      <c r="R547" s="124">
        <f t="shared" si="208"/>
        <v>1794795.9218245219</v>
      </c>
      <c r="S547" s="124">
        <f t="shared" si="209"/>
        <v>431185.77708385122</v>
      </c>
      <c r="T547" s="124">
        <f t="shared" si="210"/>
        <v>1845863.9103025282</v>
      </c>
      <c r="U547" s="124">
        <f t="shared" si="211"/>
        <v>1</v>
      </c>
      <c r="V547" s="124">
        <f t="shared" si="212"/>
        <v>0</v>
      </c>
      <c r="W547" s="124">
        <f t="shared" si="213"/>
        <v>1</v>
      </c>
      <c r="X547" s="124">
        <f t="shared" si="214"/>
        <v>1</v>
      </c>
      <c r="Y547" s="124">
        <f t="shared" si="215"/>
        <v>0</v>
      </c>
      <c r="Z547" s="124">
        <f t="shared" si="216"/>
        <v>1</v>
      </c>
      <c r="AA547" s="124">
        <f t="shared" si="193"/>
        <v>3.6351317695693905E-4</v>
      </c>
      <c r="AB547" s="124">
        <f t="shared" si="217"/>
        <v>0</v>
      </c>
      <c r="AC547" s="124">
        <f t="shared" si="218"/>
        <v>0</v>
      </c>
    </row>
    <row r="548" spans="2:29" s="114" customFormat="1">
      <c r="B548" s="115">
        <f t="shared" si="194"/>
        <v>2.9199999999999413</v>
      </c>
      <c r="C548" s="124">
        <f t="shared" si="195"/>
        <v>831.76377110255919</v>
      </c>
      <c r="D548" s="124">
        <f t="shared" si="196"/>
        <v>5700.6839261100131</v>
      </c>
      <c r="E548" s="124">
        <f t="shared" si="197"/>
        <v>1</v>
      </c>
      <c r="F548" s="124">
        <f t="shared" si="198"/>
        <v>1</v>
      </c>
      <c r="G548" s="124">
        <f t="shared" si="199"/>
        <v>5803.6486842166405</v>
      </c>
      <c r="H548" s="124">
        <f t="shared" si="200"/>
        <v>1</v>
      </c>
      <c r="I548" s="124">
        <f t="shared" si="201"/>
        <v>1</v>
      </c>
      <c r="J548" s="124">
        <f t="shared" si="202"/>
        <v>6.0437453246777889E-5</v>
      </c>
      <c r="K548" s="124">
        <f t="shared" si="203"/>
        <v>0</v>
      </c>
      <c r="L548" s="124">
        <f t="shared" si="204"/>
        <v>0</v>
      </c>
      <c r="M548" s="120"/>
      <c r="N548" s="132">
        <f t="shared" si="192"/>
        <v>5226.125905635884</v>
      </c>
      <c r="O548" s="124">
        <f t="shared" si="205"/>
        <v>1941537.6430369187</v>
      </c>
      <c r="P548" s="124">
        <f t="shared" si="206"/>
        <v>1</v>
      </c>
      <c r="Q548" s="124">
        <f t="shared" si="207"/>
        <v>1</v>
      </c>
      <c r="R548" s="124">
        <f t="shared" si="208"/>
        <v>1807053.0805558837</v>
      </c>
      <c r="S548" s="124">
        <f t="shared" si="209"/>
        <v>433512.69590193231</v>
      </c>
      <c r="T548" s="124">
        <f t="shared" si="210"/>
        <v>1858325.615562211</v>
      </c>
      <c r="U548" s="124">
        <f t="shared" si="211"/>
        <v>1</v>
      </c>
      <c r="V548" s="124">
        <f t="shared" si="212"/>
        <v>0</v>
      </c>
      <c r="W548" s="124">
        <f t="shared" si="213"/>
        <v>1</v>
      </c>
      <c r="X548" s="124">
        <f t="shared" si="214"/>
        <v>1</v>
      </c>
      <c r="Y548" s="124">
        <f t="shared" si="215"/>
        <v>0</v>
      </c>
      <c r="Z548" s="124">
        <f t="shared" si="216"/>
        <v>1</v>
      </c>
      <c r="AA548" s="124">
        <f t="shared" si="193"/>
        <v>3.6191264572844943E-4</v>
      </c>
      <c r="AB548" s="124">
        <f t="shared" si="217"/>
        <v>0</v>
      </c>
      <c r="AC548" s="124">
        <f t="shared" si="218"/>
        <v>0</v>
      </c>
    </row>
    <row r="549" spans="2:29" s="114" customFormat="1">
      <c r="B549" s="115">
        <f t="shared" si="194"/>
        <v>2.9399999999999413</v>
      </c>
      <c r="C549" s="124">
        <f t="shared" si="195"/>
        <v>870.96358995596336</v>
      </c>
      <c r="D549" s="124">
        <f t="shared" si="196"/>
        <v>5626.2868312372148</v>
      </c>
      <c r="E549" s="124">
        <f t="shared" si="197"/>
        <v>1</v>
      </c>
      <c r="F549" s="124">
        <f t="shared" si="198"/>
        <v>1</v>
      </c>
      <c r="G549" s="124">
        <f t="shared" si="199"/>
        <v>5732.4095815176615</v>
      </c>
      <c r="H549" s="124">
        <f t="shared" si="200"/>
        <v>1</v>
      </c>
      <c r="I549" s="124">
        <f t="shared" si="201"/>
        <v>1</v>
      </c>
      <c r="J549" s="124">
        <f t="shared" si="202"/>
        <v>6.585881263796654E-5</v>
      </c>
      <c r="K549" s="124">
        <f t="shared" si="203"/>
        <v>0</v>
      </c>
      <c r="L549" s="124">
        <f t="shared" si="204"/>
        <v>0</v>
      </c>
      <c r="M549" s="120"/>
      <c r="N549" s="132">
        <f t="shared" si="192"/>
        <v>5472.4256314996946</v>
      </c>
      <c r="O549" s="124">
        <f t="shared" si="205"/>
        <v>1954336.485553178</v>
      </c>
      <c r="P549" s="124">
        <f t="shared" si="206"/>
        <v>1</v>
      </c>
      <c r="Q549" s="124">
        <f t="shared" si="207"/>
        <v>1</v>
      </c>
      <c r="R549" s="124">
        <f t="shared" si="208"/>
        <v>1819667.4664358217</v>
      </c>
      <c r="S549" s="124">
        <f t="shared" si="209"/>
        <v>435918.01620355708</v>
      </c>
      <c r="T549" s="124">
        <f t="shared" si="210"/>
        <v>1871153.1752520441</v>
      </c>
      <c r="U549" s="124">
        <f t="shared" si="211"/>
        <v>1</v>
      </c>
      <c r="V549" s="124">
        <f t="shared" si="212"/>
        <v>0</v>
      </c>
      <c r="W549" s="124">
        <f t="shared" si="213"/>
        <v>1</v>
      </c>
      <c r="X549" s="124">
        <f t="shared" si="214"/>
        <v>1</v>
      </c>
      <c r="Y549" s="124">
        <f t="shared" si="215"/>
        <v>0</v>
      </c>
      <c r="Z549" s="124">
        <f t="shared" si="216"/>
        <v>1</v>
      </c>
      <c r="AA549" s="124">
        <f t="shared" si="193"/>
        <v>3.5683206364089476E-4</v>
      </c>
      <c r="AB549" s="124">
        <f t="shared" si="217"/>
        <v>0</v>
      </c>
      <c r="AC549" s="124">
        <f t="shared" si="218"/>
        <v>0</v>
      </c>
    </row>
    <row r="550" spans="2:29" s="114" customFormat="1">
      <c r="B550" s="115">
        <f t="shared" si="194"/>
        <v>2.9599999999999413</v>
      </c>
      <c r="C550" s="124">
        <f t="shared" si="195"/>
        <v>912.01083935578674</v>
      </c>
      <c r="D550" s="124">
        <f t="shared" si="196"/>
        <v>5553.3734475779447</v>
      </c>
      <c r="E550" s="124">
        <f t="shared" si="197"/>
        <v>1</v>
      </c>
      <c r="F550" s="124">
        <f t="shared" si="198"/>
        <v>1</v>
      </c>
      <c r="G550" s="124">
        <f t="shared" si="199"/>
        <v>5660.8036103633958</v>
      </c>
      <c r="H550" s="124">
        <f t="shared" si="200"/>
        <v>1</v>
      </c>
      <c r="I550" s="124">
        <f t="shared" si="201"/>
        <v>1</v>
      </c>
      <c r="J550" s="124">
        <f t="shared" si="202"/>
        <v>6.9242515386467294E-5</v>
      </c>
      <c r="K550" s="124">
        <f t="shared" si="203"/>
        <v>0</v>
      </c>
      <c r="L550" s="124">
        <f t="shared" si="204"/>
        <v>0</v>
      </c>
      <c r="M550" s="120"/>
      <c r="N550" s="132">
        <f t="shared" si="192"/>
        <v>5730.3331058288013</v>
      </c>
      <c r="O550" s="124">
        <f t="shared" si="205"/>
        <v>1967100.1348363</v>
      </c>
      <c r="P550" s="124">
        <f t="shared" si="206"/>
        <v>1</v>
      </c>
      <c r="Q550" s="124">
        <f t="shared" si="207"/>
        <v>1</v>
      </c>
      <c r="R550" s="124">
        <f t="shared" si="208"/>
        <v>1832651.0553940777</v>
      </c>
      <c r="S550" s="124">
        <f t="shared" si="209"/>
        <v>438354.52954585012</v>
      </c>
      <c r="T550" s="124">
        <f t="shared" si="210"/>
        <v>1884347.2568532559</v>
      </c>
      <c r="U550" s="124">
        <f t="shared" si="211"/>
        <v>1</v>
      </c>
      <c r="V550" s="124">
        <f t="shared" si="212"/>
        <v>0</v>
      </c>
      <c r="W550" s="124">
        <f t="shared" si="213"/>
        <v>1</v>
      </c>
      <c r="X550" s="124">
        <f t="shared" si="214"/>
        <v>1</v>
      </c>
      <c r="Y550" s="124">
        <f t="shared" si="215"/>
        <v>0</v>
      </c>
      <c r="Z550" s="124">
        <f t="shared" si="216"/>
        <v>1</v>
      </c>
      <c r="AA550" s="124">
        <f t="shared" si="193"/>
        <v>3.4840194981591366E-4</v>
      </c>
      <c r="AB550" s="124">
        <f t="shared" si="217"/>
        <v>0</v>
      </c>
      <c r="AC550" s="124">
        <f t="shared" si="218"/>
        <v>0</v>
      </c>
    </row>
    <row r="551" spans="2:29" s="114" customFormat="1">
      <c r="B551" s="115">
        <f t="shared" si="194"/>
        <v>2.9799999999999414</v>
      </c>
      <c r="C551" s="124">
        <f t="shared" si="195"/>
        <v>954.99258602130783</v>
      </c>
      <c r="D551" s="124">
        <f t="shared" si="196"/>
        <v>5481.9101973973429</v>
      </c>
      <c r="E551" s="124">
        <f t="shared" si="197"/>
        <v>1</v>
      </c>
      <c r="F551" s="124">
        <f t="shared" si="198"/>
        <v>1</v>
      </c>
      <c r="G551" s="124">
        <f t="shared" si="199"/>
        <v>5588.8711723586684</v>
      </c>
      <c r="H551" s="124">
        <f t="shared" si="200"/>
        <v>1</v>
      </c>
      <c r="I551" s="124">
        <f t="shared" si="201"/>
        <v>1</v>
      </c>
      <c r="J551" s="124">
        <f t="shared" si="202"/>
        <v>7.0428720536808831E-5</v>
      </c>
      <c r="K551" s="124">
        <f t="shared" si="203"/>
        <v>0</v>
      </c>
      <c r="L551" s="124">
        <f t="shared" si="204"/>
        <v>0</v>
      </c>
      <c r="M551" s="120"/>
      <c r="N551" s="132">
        <f t="shared" si="192"/>
        <v>6000.3953849545187</v>
      </c>
      <c r="O551" s="124">
        <f t="shared" si="205"/>
        <v>1979827.6853500765</v>
      </c>
      <c r="P551" s="124">
        <f t="shared" si="206"/>
        <v>1</v>
      </c>
      <c r="Q551" s="124">
        <f t="shared" si="207"/>
        <v>1</v>
      </c>
      <c r="R551" s="124">
        <f t="shared" si="208"/>
        <v>1846009.9529512608</v>
      </c>
      <c r="S551" s="124">
        <f t="shared" si="209"/>
        <v>440773.20039419719</v>
      </c>
      <c r="T551" s="124">
        <f t="shared" si="210"/>
        <v>1897902.4634002822</v>
      </c>
      <c r="U551" s="124">
        <f t="shared" si="211"/>
        <v>1</v>
      </c>
      <c r="V551" s="124">
        <f t="shared" si="212"/>
        <v>0</v>
      </c>
      <c r="W551" s="124">
        <f t="shared" si="213"/>
        <v>1</v>
      </c>
      <c r="X551" s="124">
        <f t="shared" si="214"/>
        <v>1</v>
      </c>
      <c r="Y551" s="124">
        <f t="shared" si="215"/>
        <v>0</v>
      </c>
      <c r="Z551" s="124">
        <f t="shared" si="216"/>
        <v>1</v>
      </c>
      <c r="AA551" s="124">
        <f t="shared" si="193"/>
        <v>3.3685109126796854E-4</v>
      </c>
      <c r="AB551" s="124">
        <f t="shared" si="217"/>
        <v>0</v>
      </c>
      <c r="AC551" s="124">
        <f t="shared" si="218"/>
        <v>0</v>
      </c>
    </row>
    <row r="552" spans="2:29" s="114" customFormat="1">
      <c r="B552" s="115">
        <f t="shared" si="194"/>
        <v>2.9999999999999414</v>
      </c>
      <c r="C552" s="124">
        <f t="shared" si="195"/>
        <v>999.99999999986562</v>
      </c>
      <c r="D552" s="124">
        <f t="shared" si="196"/>
        <v>5411.864325679001</v>
      </c>
      <c r="E552" s="124">
        <f t="shared" si="197"/>
        <v>1</v>
      </c>
      <c r="F552" s="124">
        <f t="shared" si="198"/>
        <v>1</v>
      </c>
      <c r="G552" s="124">
        <f t="shared" si="199"/>
        <v>5516.6760176945309</v>
      </c>
      <c r="H552" s="124">
        <f t="shared" si="200"/>
        <v>1</v>
      </c>
      <c r="I552" s="124">
        <f t="shared" si="201"/>
        <v>1</v>
      </c>
      <c r="J552" s="124">
        <f t="shared" si="202"/>
        <v>6.9398549030816038E-5</v>
      </c>
      <c r="K552" s="124">
        <f t="shared" si="203"/>
        <v>0</v>
      </c>
      <c r="L552" s="124">
        <f t="shared" si="204"/>
        <v>0</v>
      </c>
      <c r="M552" s="120"/>
      <c r="N552" s="132">
        <f t="shared" si="192"/>
        <v>6283.1853071787418</v>
      </c>
      <c r="O552" s="124">
        <f t="shared" si="205"/>
        <v>1992518.2475769985</v>
      </c>
      <c r="P552" s="124">
        <f t="shared" si="206"/>
        <v>1</v>
      </c>
      <c r="Q552" s="124">
        <f t="shared" si="207"/>
        <v>1</v>
      </c>
      <c r="R552" s="124">
        <f t="shared" si="208"/>
        <v>1859744.0532531664</v>
      </c>
      <c r="S552" s="124">
        <f t="shared" si="209"/>
        <v>443123.89444573008</v>
      </c>
      <c r="T552" s="124">
        <f t="shared" si="210"/>
        <v>1911807.1893994086</v>
      </c>
      <c r="U552" s="124">
        <f t="shared" si="211"/>
        <v>1</v>
      </c>
      <c r="V552" s="124">
        <f t="shared" si="212"/>
        <v>0</v>
      </c>
      <c r="W552" s="124">
        <f t="shared" si="213"/>
        <v>1</v>
      </c>
      <c r="X552" s="124">
        <f t="shared" si="214"/>
        <v>1</v>
      </c>
      <c r="Y552" s="124">
        <f t="shared" si="215"/>
        <v>0</v>
      </c>
      <c r="Z552" s="124">
        <f t="shared" si="216"/>
        <v>1</v>
      </c>
      <c r="AA552" s="124">
        <f t="shared" si="193"/>
        <v>3.2249755518120942E-4</v>
      </c>
      <c r="AB552" s="124">
        <f t="shared" si="217"/>
        <v>0</v>
      </c>
      <c r="AC552" s="124">
        <f t="shared" si="218"/>
        <v>0</v>
      </c>
    </row>
    <row r="553" spans="2:29" s="114" customFormat="1">
      <c r="B553" s="115">
        <f t="shared" si="194"/>
        <v>3.0199999999999414</v>
      </c>
      <c r="C553" s="124">
        <f t="shared" si="195"/>
        <v>1047.1285480507586</v>
      </c>
      <c r="D553" s="124">
        <f t="shared" si="196"/>
        <v>5343.2038793038028</v>
      </c>
      <c r="E553" s="124">
        <f t="shared" si="197"/>
        <v>1</v>
      </c>
      <c r="F553" s="124">
        <f t="shared" si="198"/>
        <v>1</v>
      </c>
      <c r="G553" s="124">
        <f t="shared" si="199"/>
        <v>5444.3019767099595</v>
      </c>
      <c r="H553" s="124">
        <f t="shared" si="200"/>
        <v>1</v>
      </c>
      <c r="I553" s="124">
        <f t="shared" si="201"/>
        <v>1</v>
      </c>
      <c r="J553" s="124">
        <f t="shared" si="202"/>
        <v>6.6267093165698959E-5</v>
      </c>
      <c r="K553" s="124">
        <f t="shared" si="203"/>
        <v>0</v>
      </c>
      <c r="L553" s="124">
        <f t="shared" si="204"/>
        <v>0</v>
      </c>
      <c r="M553" s="120"/>
      <c r="N553" s="132">
        <f t="shared" si="192"/>
        <v>6579.3027078408195</v>
      </c>
      <c r="O553" s="124">
        <f t="shared" si="205"/>
        <v>2005170.948086465</v>
      </c>
      <c r="P553" s="124">
        <f t="shared" si="206"/>
        <v>1</v>
      </c>
      <c r="Q553" s="124">
        <f t="shared" si="207"/>
        <v>1</v>
      </c>
      <c r="R553" s="124">
        <f t="shared" si="208"/>
        <v>1873846.789854221</v>
      </c>
      <c r="S553" s="124">
        <f t="shared" si="209"/>
        <v>445356.18570925953</v>
      </c>
      <c r="T553" s="124">
        <f t="shared" si="210"/>
        <v>1926043.5934828862</v>
      </c>
      <c r="U553" s="124">
        <f t="shared" si="211"/>
        <v>1</v>
      </c>
      <c r="V553" s="124">
        <f t="shared" si="212"/>
        <v>0</v>
      </c>
      <c r="W553" s="124">
        <f t="shared" si="213"/>
        <v>1</v>
      </c>
      <c r="X553" s="124">
        <f t="shared" si="214"/>
        <v>1</v>
      </c>
      <c r="Y553" s="124">
        <f t="shared" si="215"/>
        <v>0</v>
      </c>
      <c r="Z553" s="124">
        <f t="shared" si="216"/>
        <v>1</v>
      </c>
      <c r="AA553" s="124">
        <f t="shared" si="193"/>
        <v>3.0573540568131879E-4</v>
      </c>
      <c r="AB553" s="124">
        <f t="shared" si="217"/>
        <v>0</v>
      </c>
      <c r="AC553" s="124">
        <f t="shared" si="218"/>
        <v>0</v>
      </c>
    </row>
    <row r="554" spans="2:29" s="114" customFormat="1">
      <c r="B554" s="115">
        <f t="shared" si="194"/>
        <v>3.0399999999999414</v>
      </c>
      <c r="C554" s="124">
        <f t="shared" si="195"/>
        <v>1096.4781961430383</v>
      </c>
      <c r="D554" s="124">
        <f t="shared" si="196"/>
        <v>5275.8976867456722</v>
      </c>
      <c r="E554" s="124">
        <f t="shared" si="197"/>
        <v>1</v>
      </c>
      <c r="F554" s="124">
        <f t="shared" si="198"/>
        <v>1</v>
      </c>
      <c r="G554" s="124">
        <f t="shared" si="199"/>
        <v>5371.849815359129</v>
      </c>
      <c r="H554" s="124">
        <f t="shared" si="200"/>
        <v>1</v>
      </c>
      <c r="I554" s="124">
        <f t="shared" si="201"/>
        <v>1</v>
      </c>
      <c r="J554" s="124">
        <f t="shared" si="202"/>
        <v>6.1269715842143807E-5</v>
      </c>
      <c r="K554" s="124">
        <f t="shared" si="203"/>
        <v>0</v>
      </c>
      <c r="L554" s="124">
        <f t="shared" si="204"/>
        <v>0</v>
      </c>
      <c r="M554" s="120"/>
      <c r="N554" s="132">
        <f t="shared" si="192"/>
        <v>6889.3756916487146</v>
      </c>
      <c r="O554" s="124">
        <f t="shared" si="205"/>
        <v>2017784.9295942837</v>
      </c>
      <c r="P554" s="124">
        <f t="shared" si="206"/>
        <v>1</v>
      </c>
      <c r="Q554" s="124">
        <f t="shared" si="207"/>
        <v>1</v>
      </c>
      <c r="R554" s="124">
        <f t="shared" si="208"/>
        <v>1888304.9983686842</v>
      </c>
      <c r="S554" s="124">
        <f t="shared" si="209"/>
        <v>447420.23038427293</v>
      </c>
      <c r="T554" s="124">
        <f t="shared" si="210"/>
        <v>1940587.7020689561</v>
      </c>
      <c r="U554" s="124">
        <f t="shared" si="211"/>
        <v>1</v>
      </c>
      <c r="V554" s="124">
        <f t="shared" si="212"/>
        <v>0</v>
      </c>
      <c r="W554" s="124">
        <f t="shared" si="213"/>
        <v>1</v>
      </c>
      <c r="X554" s="124">
        <f t="shared" si="214"/>
        <v>1</v>
      </c>
      <c r="Y554" s="124">
        <f t="shared" si="215"/>
        <v>0</v>
      </c>
      <c r="Z554" s="124">
        <f t="shared" si="216"/>
        <v>1</v>
      </c>
      <c r="AA554" s="124">
        <f t="shared" si="193"/>
        <v>2.8701778425512116E-4</v>
      </c>
      <c r="AB554" s="124">
        <f t="shared" si="217"/>
        <v>0</v>
      </c>
      <c r="AC554" s="124">
        <f t="shared" si="218"/>
        <v>0</v>
      </c>
    </row>
    <row r="555" spans="2:29" s="114" customFormat="1">
      <c r="B555" s="115">
        <f t="shared" si="194"/>
        <v>3.0599999999999414</v>
      </c>
      <c r="C555" s="124">
        <f t="shared" si="195"/>
        <v>1148.1536214967289</v>
      </c>
      <c r="D555" s="124">
        <f t="shared" si="196"/>
        <v>5209.9153382726445</v>
      </c>
      <c r="E555" s="124">
        <f t="shared" si="197"/>
        <v>1</v>
      </c>
      <c r="F555" s="124">
        <f t="shared" si="198"/>
        <v>1</v>
      </c>
      <c r="G555" s="124">
        <f t="shared" si="199"/>
        <v>5299.4342704662731</v>
      </c>
      <c r="H555" s="124">
        <f t="shared" si="200"/>
        <v>1</v>
      </c>
      <c r="I555" s="124">
        <f t="shared" si="201"/>
        <v>1</v>
      </c>
      <c r="J555" s="124">
        <f t="shared" si="202"/>
        <v>5.4742890981197213E-5</v>
      </c>
      <c r="K555" s="124">
        <f t="shared" si="203"/>
        <v>0</v>
      </c>
      <c r="L555" s="124">
        <f t="shared" si="204"/>
        <v>0</v>
      </c>
      <c r="M555" s="120"/>
      <c r="N555" s="132">
        <f t="shared" si="192"/>
        <v>7214.0619649732789</v>
      </c>
      <c r="O555" s="124">
        <f t="shared" si="205"/>
        <v>2030359.3510134835</v>
      </c>
      <c r="P555" s="124">
        <f t="shared" si="206"/>
        <v>1</v>
      </c>
      <c r="Q555" s="124">
        <f t="shared" si="207"/>
        <v>1</v>
      </c>
      <c r="R555" s="124">
        <f t="shared" si="208"/>
        <v>1903098.9095032008</v>
      </c>
      <c r="S555" s="124">
        <f t="shared" si="209"/>
        <v>449267.69020813174</v>
      </c>
      <c r="T555" s="124">
        <f t="shared" si="210"/>
        <v>1955409.6544758137</v>
      </c>
      <c r="U555" s="124">
        <f t="shared" si="211"/>
        <v>1</v>
      </c>
      <c r="V555" s="124">
        <f t="shared" si="212"/>
        <v>0</v>
      </c>
      <c r="W555" s="124">
        <f t="shared" si="213"/>
        <v>1</v>
      </c>
      <c r="X555" s="124">
        <f t="shared" si="214"/>
        <v>1</v>
      </c>
      <c r="Y555" s="124">
        <f t="shared" si="215"/>
        <v>0</v>
      </c>
      <c r="Z555" s="124">
        <f t="shared" si="216"/>
        <v>1</v>
      </c>
      <c r="AA555" s="124">
        <f t="shared" si="193"/>
        <v>2.6683728573212044E-4</v>
      </c>
      <c r="AB555" s="124">
        <f t="shared" si="217"/>
        <v>0</v>
      </c>
      <c r="AC555" s="124">
        <f t="shared" si="218"/>
        <v>0</v>
      </c>
    </row>
    <row r="556" spans="2:29" s="114" customFormat="1">
      <c r="B556" s="115">
        <f t="shared" si="194"/>
        <v>3.0799999999999415</v>
      </c>
      <c r="C556" s="124">
        <f t="shared" si="195"/>
        <v>1202.2644346172515</v>
      </c>
      <c r="D556" s="124">
        <f t="shared" si="196"/>
        <v>5145.2271666418319</v>
      </c>
      <c r="E556" s="124">
        <f t="shared" si="197"/>
        <v>1</v>
      </c>
      <c r="F556" s="124">
        <f t="shared" si="198"/>
        <v>1</v>
      </c>
      <c r="G556" s="124">
        <f t="shared" si="199"/>
        <v>5227.1812924707856</v>
      </c>
      <c r="H556" s="124">
        <f t="shared" si="200"/>
        <v>1</v>
      </c>
      <c r="I556" s="124">
        <f t="shared" si="201"/>
        <v>1</v>
      </c>
      <c r="J556" s="124">
        <f t="shared" si="202"/>
        <v>4.7100889878877298E-5</v>
      </c>
      <c r="K556" s="124">
        <f t="shared" si="203"/>
        <v>0</v>
      </c>
      <c r="L556" s="124">
        <f t="shared" si="204"/>
        <v>0</v>
      </c>
      <c r="M556" s="120"/>
      <c r="N556" s="132">
        <f t="shared" si="192"/>
        <v>7554.0502309316871</v>
      </c>
      <c r="O556" s="124">
        <f t="shared" si="205"/>
        <v>2042893.3874968004</v>
      </c>
      <c r="P556" s="124">
        <f t="shared" si="206"/>
        <v>1</v>
      </c>
      <c r="Q556" s="124">
        <f t="shared" si="207"/>
        <v>1</v>
      </c>
      <c r="R556" s="124">
        <f t="shared" si="208"/>
        <v>1918202.2878883893</v>
      </c>
      <c r="S556" s="124">
        <f t="shared" si="209"/>
        <v>450852.6827581019</v>
      </c>
      <c r="T556" s="124">
        <f t="shared" si="210"/>
        <v>1970474.0949351322</v>
      </c>
      <c r="U556" s="124">
        <f t="shared" si="211"/>
        <v>1</v>
      </c>
      <c r="V556" s="124">
        <f t="shared" si="212"/>
        <v>0</v>
      </c>
      <c r="W556" s="124">
        <f t="shared" si="213"/>
        <v>1</v>
      </c>
      <c r="X556" s="124">
        <f t="shared" si="214"/>
        <v>1</v>
      </c>
      <c r="Y556" s="124">
        <f t="shared" si="215"/>
        <v>0</v>
      </c>
      <c r="Z556" s="124">
        <f t="shared" si="216"/>
        <v>1</v>
      </c>
      <c r="AA556" s="124">
        <f t="shared" si="193"/>
        <v>2.4570477715559792E-4</v>
      </c>
      <c r="AB556" s="124">
        <f t="shared" si="217"/>
        <v>0</v>
      </c>
      <c r="AC556" s="124">
        <f t="shared" si="218"/>
        <v>0</v>
      </c>
    </row>
    <row r="557" spans="2:29" s="114" customFormat="1">
      <c r="B557" s="115">
        <f t="shared" si="194"/>
        <v>3.0999999999999415</v>
      </c>
      <c r="C557" s="124">
        <f t="shared" si="195"/>
        <v>1258.9254117939979</v>
      </c>
      <c r="D557" s="124">
        <f t="shared" si="196"/>
        <v>5081.8042282771203</v>
      </c>
      <c r="E557" s="124">
        <f t="shared" si="197"/>
        <v>1</v>
      </c>
      <c r="F557" s="124">
        <f t="shared" si="198"/>
        <v>1</v>
      </c>
      <c r="G557" s="124">
        <f t="shared" si="199"/>
        <v>5155.2254990292022</v>
      </c>
      <c r="H557" s="124">
        <f t="shared" si="200"/>
        <v>1</v>
      </c>
      <c r="I557" s="124">
        <f t="shared" si="201"/>
        <v>1</v>
      </c>
      <c r="J557" s="124">
        <f t="shared" si="202"/>
        <v>3.8809618385426301E-5</v>
      </c>
      <c r="K557" s="124">
        <f t="shared" si="203"/>
        <v>0</v>
      </c>
      <c r="L557" s="124">
        <f t="shared" si="204"/>
        <v>0</v>
      </c>
      <c r="M557" s="120"/>
      <c r="N557" s="132">
        <f t="shared" si="192"/>
        <v>7910.0616502190578</v>
      </c>
      <c r="O557" s="124">
        <f t="shared" si="205"/>
        <v>2055386.2304707153</v>
      </c>
      <c r="P557" s="124">
        <f t="shared" si="206"/>
        <v>1</v>
      </c>
      <c r="Q557" s="124">
        <f t="shared" si="207"/>
        <v>1</v>
      </c>
      <c r="R557" s="124">
        <f t="shared" si="208"/>
        <v>1933582.7275409412</v>
      </c>
      <c r="S557" s="124">
        <f t="shared" si="209"/>
        <v>452132.73163970711</v>
      </c>
      <c r="T557" s="124">
        <f t="shared" si="210"/>
        <v>1985740.7109853616</v>
      </c>
      <c r="U557" s="124">
        <f t="shared" si="211"/>
        <v>1</v>
      </c>
      <c r="V557" s="124">
        <f t="shared" si="212"/>
        <v>0</v>
      </c>
      <c r="W557" s="124">
        <f t="shared" si="213"/>
        <v>1</v>
      </c>
      <c r="X557" s="124">
        <f t="shared" si="214"/>
        <v>1</v>
      </c>
      <c r="Y557" s="124">
        <f t="shared" si="215"/>
        <v>0</v>
      </c>
      <c r="Z557" s="124">
        <f t="shared" si="216"/>
        <v>1</v>
      </c>
      <c r="AA557" s="124">
        <f t="shared" si="193"/>
        <v>2.2412793962352755E-4</v>
      </c>
      <c r="AB557" s="124">
        <f t="shared" si="217"/>
        <v>0</v>
      </c>
      <c r="AC557" s="124">
        <f t="shared" si="218"/>
        <v>0</v>
      </c>
    </row>
    <row r="558" spans="2:29" s="114" customFormat="1">
      <c r="B558" s="115">
        <f t="shared" si="194"/>
        <v>3.1199999999999415</v>
      </c>
      <c r="C558" s="124">
        <f t="shared" si="195"/>
        <v>1318.2567385562309</v>
      </c>
      <c r="D558" s="124">
        <f t="shared" si="196"/>
        <v>5019.6182849185343</v>
      </c>
      <c r="E558" s="124">
        <f t="shared" si="197"/>
        <v>1</v>
      </c>
      <c r="F558" s="124">
        <f t="shared" si="198"/>
        <v>1</v>
      </c>
      <c r="G558" s="124">
        <f t="shared" si="199"/>
        <v>5083.7078239358725</v>
      </c>
      <c r="H558" s="124">
        <f t="shared" si="200"/>
        <v>1</v>
      </c>
      <c r="I558" s="124">
        <f t="shared" si="201"/>
        <v>1</v>
      </c>
      <c r="J558" s="124">
        <f t="shared" si="202"/>
        <v>3.0358885058005318E-5</v>
      </c>
      <c r="K558" s="124">
        <f t="shared" si="203"/>
        <v>0</v>
      </c>
      <c r="L558" s="124">
        <f t="shared" si="204"/>
        <v>0</v>
      </c>
      <c r="M558" s="120"/>
      <c r="N558" s="132">
        <f t="shared" si="192"/>
        <v>8282.8513707869915</v>
      </c>
      <c r="O558" s="124">
        <f t="shared" si="205"/>
        <v>2067837.087661488</v>
      </c>
      <c r="P558" s="124">
        <f t="shared" si="206"/>
        <v>1</v>
      </c>
      <c r="Q558" s="124">
        <f t="shared" si="207"/>
        <v>1</v>
      </c>
      <c r="R558" s="124">
        <f t="shared" si="208"/>
        <v>1949202.1088491632</v>
      </c>
      <c r="S558" s="124">
        <f t="shared" si="209"/>
        <v>453069.68601672439</v>
      </c>
      <c r="T558" s="124">
        <f t="shared" si="210"/>
        <v>2001164.9111278458</v>
      </c>
      <c r="U558" s="124">
        <f t="shared" si="211"/>
        <v>1</v>
      </c>
      <c r="V558" s="124">
        <f t="shared" si="212"/>
        <v>0</v>
      </c>
      <c r="W558" s="124">
        <f t="shared" si="213"/>
        <v>1</v>
      </c>
      <c r="X558" s="124">
        <f t="shared" si="214"/>
        <v>1</v>
      </c>
      <c r="Y558" s="124">
        <f t="shared" si="215"/>
        <v>0</v>
      </c>
      <c r="Z558" s="124">
        <f t="shared" si="216"/>
        <v>1</v>
      </c>
      <c r="AA558" s="124">
        <f t="shared" si="193"/>
        <v>2.0259084499292648E-4</v>
      </c>
      <c r="AB558" s="124">
        <f t="shared" si="217"/>
        <v>0</v>
      </c>
      <c r="AC558" s="124">
        <f t="shared" si="218"/>
        <v>0</v>
      </c>
    </row>
    <row r="559" spans="2:29" s="114" customFormat="1">
      <c r="B559" s="115">
        <f t="shared" si="194"/>
        <v>3.1399999999999415</v>
      </c>
      <c r="C559" s="124">
        <f t="shared" si="195"/>
        <v>1380.3842646026999</v>
      </c>
      <c r="D559" s="124">
        <f t="shared" si="196"/>
        <v>4958.6417857323995</v>
      </c>
      <c r="E559" s="124">
        <f t="shared" si="197"/>
        <v>1</v>
      </c>
      <c r="F559" s="124">
        <f t="shared" si="198"/>
        <v>1</v>
      </c>
      <c r="G559" s="124">
        <f t="shared" si="199"/>
        <v>5012.773333166554</v>
      </c>
      <c r="H559" s="124">
        <f t="shared" si="200"/>
        <v>1</v>
      </c>
      <c r="I559" s="124">
        <f t="shared" si="201"/>
        <v>1</v>
      </c>
      <c r="J559" s="124">
        <f t="shared" si="202"/>
        <v>2.2234349996563254E-5</v>
      </c>
      <c r="K559" s="124">
        <f t="shared" si="203"/>
        <v>0</v>
      </c>
      <c r="L559" s="124">
        <f t="shared" si="204"/>
        <v>0</v>
      </c>
      <c r="M559" s="120"/>
      <c r="N559" s="132">
        <f t="shared" si="192"/>
        <v>8673.2101296135825</v>
      </c>
      <c r="O559" s="124">
        <f t="shared" si="205"/>
        <v>2080245.1831131144</v>
      </c>
      <c r="P559" s="124">
        <f t="shared" si="206"/>
        <v>1</v>
      </c>
      <c r="Q559" s="124">
        <f t="shared" si="207"/>
        <v>1</v>
      </c>
      <c r="R559" s="124">
        <f t="shared" si="208"/>
        <v>1965017.2149690827</v>
      </c>
      <c r="S559" s="124">
        <f t="shared" si="209"/>
        <v>453630.57696067949</v>
      </c>
      <c r="T559" s="124">
        <f t="shared" si="210"/>
        <v>2016698.6278268078</v>
      </c>
      <c r="U559" s="124">
        <f t="shared" si="211"/>
        <v>1</v>
      </c>
      <c r="V559" s="124">
        <f t="shared" si="212"/>
        <v>0</v>
      </c>
      <c r="W559" s="124">
        <f t="shared" si="213"/>
        <v>1</v>
      </c>
      <c r="X559" s="124">
        <f t="shared" si="214"/>
        <v>1</v>
      </c>
      <c r="Y559" s="124">
        <f t="shared" si="215"/>
        <v>0</v>
      </c>
      <c r="Z559" s="124">
        <f t="shared" si="216"/>
        <v>1</v>
      </c>
      <c r="AA559" s="124">
        <f t="shared" si="193"/>
        <v>1.8153580207680949E-4</v>
      </c>
      <c r="AB559" s="124">
        <f t="shared" si="217"/>
        <v>0</v>
      </c>
      <c r="AC559" s="124">
        <f t="shared" si="218"/>
        <v>0</v>
      </c>
    </row>
    <row r="560" spans="2:29" s="114" customFormat="1">
      <c r="B560" s="115">
        <f t="shared" si="194"/>
        <v>3.1599999999999415</v>
      </c>
      <c r="C560" s="124">
        <f t="shared" si="195"/>
        <v>1445.4397707457338</v>
      </c>
      <c r="D560" s="124">
        <f t="shared" si="196"/>
        <v>4898.8478498717359</v>
      </c>
      <c r="E560" s="124">
        <f t="shared" si="197"/>
        <v>1</v>
      </c>
      <c r="F560" s="124">
        <f t="shared" si="198"/>
        <v>1</v>
      </c>
      <c r="G560" s="124">
        <f t="shared" si="199"/>
        <v>4942.5691735014689</v>
      </c>
      <c r="H560" s="124">
        <f t="shared" si="200"/>
        <v>1</v>
      </c>
      <c r="I560" s="124">
        <f t="shared" si="201"/>
        <v>1</v>
      </c>
      <c r="J560" s="124">
        <f t="shared" si="202"/>
        <v>1.4890375880137706E-5</v>
      </c>
      <c r="K560" s="124">
        <f t="shared" si="203"/>
        <v>0</v>
      </c>
      <c r="L560" s="124">
        <f t="shared" si="204"/>
        <v>0</v>
      </c>
      <c r="M560" s="120"/>
      <c r="N560" s="132">
        <f t="shared" si="192"/>
        <v>9081.9659299626237</v>
      </c>
      <c r="O560" s="124">
        <f t="shared" si="205"/>
        <v>2092609.7571975214</v>
      </c>
      <c r="P560" s="124">
        <f t="shared" si="206"/>
        <v>1</v>
      </c>
      <c r="Q560" s="124">
        <f t="shared" si="207"/>
        <v>1</v>
      </c>
      <c r="R560" s="124">
        <f t="shared" si="208"/>
        <v>1980980.4978695144</v>
      </c>
      <c r="S560" s="124">
        <f t="shared" si="209"/>
        <v>453788.37795479724</v>
      </c>
      <c r="T560" s="124">
        <f t="shared" si="210"/>
        <v>2032291.2254168189</v>
      </c>
      <c r="U560" s="124">
        <f t="shared" si="211"/>
        <v>1</v>
      </c>
      <c r="V560" s="124">
        <f t="shared" si="212"/>
        <v>0</v>
      </c>
      <c r="W560" s="124">
        <f t="shared" si="213"/>
        <v>1</v>
      </c>
      <c r="X560" s="124">
        <f t="shared" si="214"/>
        <v>1</v>
      </c>
      <c r="Y560" s="124">
        <f t="shared" si="215"/>
        <v>0</v>
      </c>
      <c r="Z560" s="124">
        <f t="shared" si="216"/>
        <v>1</v>
      </c>
      <c r="AA560" s="124">
        <f t="shared" si="193"/>
        <v>1.6134852459211103E-4</v>
      </c>
      <c r="AB560" s="124">
        <f t="shared" si="217"/>
        <v>0</v>
      </c>
      <c r="AC560" s="124">
        <f t="shared" si="218"/>
        <v>0</v>
      </c>
    </row>
    <row r="561" spans="2:29" s="114" customFormat="1">
      <c r="B561" s="115">
        <f t="shared" si="194"/>
        <v>3.1799999999999415</v>
      </c>
      <c r="C561" s="124">
        <f t="shared" si="195"/>
        <v>1513.5612484360049</v>
      </c>
      <c r="D561" s="124">
        <f t="shared" si="196"/>
        <v>4840.2102494762976</v>
      </c>
      <c r="E561" s="124">
        <f t="shared" si="197"/>
        <v>1</v>
      </c>
      <c r="F561" s="124">
        <f t="shared" si="198"/>
        <v>1</v>
      </c>
      <c r="G561" s="124">
        <f t="shared" si="199"/>
        <v>4873.2426185703835</v>
      </c>
      <c r="H561" s="124">
        <f t="shared" si="200"/>
        <v>1</v>
      </c>
      <c r="I561" s="124">
        <f t="shared" si="201"/>
        <v>1</v>
      </c>
      <c r="J561" s="124">
        <f t="shared" si="202"/>
        <v>8.7249738293878904E-6</v>
      </c>
      <c r="K561" s="124">
        <f t="shared" si="203"/>
        <v>0</v>
      </c>
      <c r="L561" s="124">
        <f t="shared" si="204"/>
        <v>0</v>
      </c>
      <c r="M561" s="120"/>
      <c r="N561" s="132">
        <f t="shared" si="192"/>
        <v>9509.9857976894982</v>
      </c>
      <c r="O561" s="124">
        <f t="shared" si="205"/>
        <v>2104930.0666170819</v>
      </c>
      <c r="P561" s="124">
        <f t="shared" si="206"/>
        <v>1</v>
      </c>
      <c r="Q561" s="124">
        <f t="shared" si="207"/>
        <v>1</v>
      </c>
      <c r="R561" s="124">
        <f t="shared" si="208"/>
        <v>1997040.9765085913</v>
      </c>
      <c r="S561" s="124">
        <f t="shared" si="209"/>
        <v>453522.63878137845</v>
      </c>
      <c r="T561" s="124">
        <f t="shared" si="210"/>
        <v>2047890.4867549955</v>
      </c>
      <c r="U561" s="124">
        <f t="shared" si="211"/>
        <v>1</v>
      </c>
      <c r="V561" s="124">
        <f t="shared" si="212"/>
        <v>0</v>
      </c>
      <c r="W561" s="124">
        <f t="shared" si="213"/>
        <v>1</v>
      </c>
      <c r="X561" s="124">
        <f t="shared" si="214"/>
        <v>1</v>
      </c>
      <c r="Y561" s="124">
        <f t="shared" si="215"/>
        <v>0</v>
      </c>
      <c r="Z561" s="124">
        <f t="shared" si="216"/>
        <v>1</v>
      </c>
      <c r="AA561" s="124">
        <f t="shared" si="193"/>
        <v>1.4234740182525774E-4</v>
      </c>
      <c r="AB561" s="124">
        <f t="shared" si="217"/>
        <v>0</v>
      </c>
      <c r="AC561" s="124">
        <f t="shared" si="218"/>
        <v>0</v>
      </c>
    </row>
    <row r="562" spans="2:29" s="114" customFormat="1">
      <c r="B562" s="115">
        <f t="shared" si="194"/>
        <v>3.1999999999999416</v>
      </c>
      <c r="C562" s="124">
        <f t="shared" si="195"/>
        <v>1584.8931924609017</v>
      </c>
      <c r="D562" s="124">
        <f t="shared" si="196"/>
        <v>4782.7033931020633</v>
      </c>
      <c r="E562" s="124">
        <f t="shared" si="197"/>
        <v>1</v>
      </c>
      <c r="F562" s="124">
        <f t="shared" si="198"/>
        <v>1</v>
      </c>
      <c r="G562" s="124">
        <f t="shared" si="199"/>
        <v>4804.9391812477361</v>
      </c>
      <c r="H562" s="124">
        <f t="shared" si="200"/>
        <v>1</v>
      </c>
      <c r="I562" s="124">
        <f t="shared" si="201"/>
        <v>1</v>
      </c>
      <c r="J562" s="124">
        <f t="shared" si="202"/>
        <v>4.0579954517854457E-6</v>
      </c>
      <c r="K562" s="124">
        <f t="shared" si="203"/>
        <v>0</v>
      </c>
      <c r="L562" s="124">
        <f t="shared" si="204"/>
        <v>0</v>
      </c>
      <c r="M562" s="120"/>
      <c r="N562" s="132">
        <f t="shared" si="192"/>
        <v>9958.1776203192858</v>
      </c>
      <c r="O562" s="124">
        <f t="shared" si="205"/>
        <v>2117205.3843996315</v>
      </c>
      <c r="P562" s="124">
        <f t="shared" si="206"/>
        <v>1</v>
      </c>
      <c r="Q562" s="124">
        <f t="shared" si="207"/>
        <v>1</v>
      </c>
      <c r="R562" s="124">
        <f t="shared" si="208"/>
        <v>2013145.2423618762</v>
      </c>
      <c r="S562" s="124">
        <f t="shared" si="209"/>
        <v>452819.96598207433</v>
      </c>
      <c r="T562" s="124">
        <f t="shared" si="210"/>
        <v>2063443.6479914503</v>
      </c>
      <c r="U562" s="124">
        <f t="shared" si="211"/>
        <v>1</v>
      </c>
      <c r="V562" s="124">
        <f t="shared" si="212"/>
        <v>0</v>
      </c>
      <c r="W562" s="124">
        <f t="shared" si="213"/>
        <v>1</v>
      </c>
      <c r="X562" s="124">
        <f t="shared" si="214"/>
        <v>1</v>
      </c>
      <c r="Y562" s="124">
        <f t="shared" si="215"/>
        <v>0</v>
      </c>
      <c r="Z562" s="124">
        <f t="shared" si="216"/>
        <v>1</v>
      </c>
      <c r="AA562" s="124">
        <f t="shared" si="193"/>
        <v>1.2477731953605301E-4</v>
      </c>
      <c r="AB562" s="124">
        <f t="shared" si="217"/>
        <v>0</v>
      </c>
      <c r="AC562" s="124">
        <f t="shared" si="218"/>
        <v>0</v>
      </c>
    </row>
    <row r="563" spans="2:29" s="114" customFormat="1">
      <c r="B563" s="115">
        <f t="shared" si="194"/>
        <v>3.2199999999999416</v>
      </c>
      <c r="C563" s="124">
        <f t="shared" si="195"/>
        <v>1659.5869074373386</v>
      </c>
      <c r="D563" s="124">
        <f t="shared" si="196"/>
        <v>4726.3023095700555</v>
      </c>
      <c r="E563" s="124">
        <f t="shared" si="197"/>
        <v>1</v>
      </c>
      <c r="F563" s="124">
        <f t="shared" si="198"/>
        <v>1</v>
      </c>
      <c r="G563" s="124">
        <f t="shared" si="199"/>
        <v>4737.8007688287726</v>
      </c>
      <c r="H563" s="124">
        <f t="shared" si="200"/>
        <v>1</v>
      </c>
      <c r="I563" s="124">
        <f t="shared" si="201"/>
        <v>1</v>
      </c>
      <c r="J563" s="124">
        <f t="shared" si="202"/>
        <v>1.1136517896049077E-6</v>
      </c>
      <c r="K563" s="124">
        <f t="shared" si="203"/>
        <v>0</v>
      </c>
      <c r="L563" s="124">
        <f t="shared" si="204"/>
        <v>0</v>
      </c>
      <c r="M563" s="120"/>
      <c r="N563" s="132">
        <f t="shared" si="192"/>
        <v>10427.492072797893</v>
      </c>
      <c r="O563" s="124">
        <f t="shared" si="205"/>
        <v>2129434.9998862203</v>
      </c>
      <c r="P563" s="124">
        <f t="shared" si="206"/>
        <v>1</v>
      </c>
      <c r="Q563" s="124">
        <f t="shared" si="207"/>
        <v>1</v>
      </c>
      <c r="R563" s="124">
        <f t="shared" si="208"/>
        <v>2029238.5413572663</v>
      </c>
      <c r="S563" s="124">
        <f t="shared" si="209"/>
        <v>451674.32894330396</v>
      </c>
      <c r="T563" s="124">
        <f t="shared" si="210"/>
        <v>2078898.4480142721</v>
      </c>
      <c r="U563" s="124">
        <f t="shared" si="211"/>
        <v>1</v>
      </c>
      <c r="V563" s="124">
        <f t="shared" si="212"/>
        <v>0</v>
      </c>
      <c r="W563" s="124">
        <f t="shared" si="213"/>
        <v>1</v>
      </c>
      <c r="X563" s="124">
        <f t="shared" si="214"/>
        <v>1</v>
      </c>
      <c r="Y563" s="124">
        <f t="shared" si="215"/>
        <v>0</v>
      </c>
      <c r="Z563" s="124">
        <f t="shared" si="216"/>
        <v>1</v>
      </c>
      <c r="AA563" s="124">
        <f t="shared" si="193"/>
        <v>1.0880811695785932E-4</v>
      </c>
      <c r="AB563" s="124">
        <f t="shared" si="217"/>
        <v>0</v>
      </c>
      <c r="AC563" s="124">
        <f t="shared" si="218"/>
        <v>0</v>
      </c>
    </row>
    <row r="564" spans="2:29" s="114" customFormat="1">
      <c r="B564" s="115">
        <f t="shared" si="194"/>
        <v>3.2399999999999416</v>
      </c>
      <c r="C564" s="124">
        <f t="shared" si="195"/>
        <v>1737.8008287491427</v>
      </c>
      <c r="D564" s="124">
        <f t="shared" si="196"/>
        <v>4670.9826322246399</v>
      </c>
      <c r="E564" s="124">
        <f t="shared" si="197"/>
        <v>1</v>
      </c>
      <c r="F564" s="124">
        <f t="shared" si="198"/>
        <v>1</v>
      </c>
      <c r="G564" s="124">
        <f t="shared" si="199"/>
        <v>4671.9638670079676</v>
      </c>
      <c r="H564" s="124">
        <f t="shared" si="200"/>
        <v>1</v>
      </c>
      <c r="I564" s="124">
        <f t="shared" si="201"/>
        <v>1</v>
      </c>
      <c r="J564" s="124">
        <f t="shared" si="202"/>
        <v>8.3215985940251002E-9</v>
      </c>
      <c r="K564" s="124">
        <f t="shared" si="203"/>
        <v>0</v>
      </c>
      <c r="L564" s="124">
        <f t="shared" si="204"/>
        <v>0</v>
      </c>
      <c r="M564" s="120"/>
      <c r="N564" s="132">
        <f t="shared" ref="N564:N627" si="219">2*PI()*C564</f>
        <v>10918.924634001121</v>
      </c>
      <c r="O564" s="124">
        <f t="shared" si="205"/>
        <v>2141618.2187116183</v>
      </c>
      <c r="P564" s="124">
        <f t="shared" si="206"/>
        <v>1</v>
      </c>
      <c r="Q564" s="124">
        <f t="shared" si="207"/>
        <v>1</v>
      </c>
      <c r="R564" s="124">
        <f t="shared" si="208"/>
        <v>2045265.8967443162</v>
      </c>
      <c r="S564" s="124">
        <f t="shared" si="209"/>
        <v>450087.17806869838</v>
      </c>
      <c r="T564" s="124">
        <f t="shared" si="210"/>
        <v>2094204.1582059702</v>
      </c>
      <c r="U564" s="124">
        <f t="shared" si="211"/>
        <v>1</v>
      </c>
      <c r="V564" s="124">
        <f t="shared" si="212"/>
        <v>0</v>
      </c>
      <c r="W564" s="124">
        <f t="shared" si="213"/>
        <v>1</v>
      </c>
      <c r="X564" s="124">
        <f t="shared" si="214"/>
        <v>1</v>
      </c>
      <c r="Y564" s="124">
        <f t="shared" si="215"/>
        <v>0</v>
      </c>
      <c r="Z564" s="124">
        <f t="shared" si="216"/>
        <v>1</v>
      </c>
      <c r="AA564" s="124">
        <f t="shared" ref="AA564:AA627" si="220">(LOG10(O564)-LOG10(T564))^2</f>
        <v>9.4537412508539906E-5</v>
      </c>
      <c r="AB564" s="124">
        <f t="shared" si="217"/>
        <v>0</v>
      </c>
      <c r="AC564" s="124">
        <f t="shared" si="218"/>
        <v>0</v>
      </c>
    </row>
    <row r="565" spans="2:29" s="114" customFormat="1">
      <c r="B565" s="115">
        <f t="shared" ref="B565:B628" si="221">B564+0.02</f>
        <v>3.2599999999999416</v>
      </c>
      <c r="C565" s="124">
        <f t="shared" ref="C565:C628" si="222">10^B565</f>
        <v>1819.7008586097393</v>
      </c>
      <c r="D565" s="124">
        <f t="shared" ref="D565:D628" si="223">IF(AND($D$12&lt;&gt;"",$E$12&lt;&gt;"",$F$12&lt;&gt;"",$G$12&lt;&gt;""),10^($D$12+$E$12/(1+EXP($F$12+$G$12*LOG10($C565)))),1)</f>
        <v>4616.7205835914119</v>
      </c>
      <c r="E565" s="124">
        <f t="shared" ref="E565:E628" si="224">IF(AND($D$13&lt;&gt;"",$E$13&lt;&gt;"",$F$13&lt;&gt;"",$G$13&lt;&gt;""),10^($D$13+$E$13/(1+EXP($F$13+$G$13*LOG10($C565)))),1)</f>
        <v>1</v>
      </c>
      <c r="F565" s="124">
        <f t="shared" ref="F565:F628" si="225">IF(AND($D$14&lt;&gt;"",$E$14&lt;&gt;"",$F$14&lt;&gt;"",$G$14&lt;&gt;""),10^($D$14+$E$14/(1+EXP($F$14+$G$14*LOG10($C565)))),1)</f>
        <v>1</v>
      </c>
      <c r="G565" s="124">
        <f t="shared" ref="G565:G628" si="226">IF(OR($C$28="",$C$28=0),1,$C$28+$C$29*EXP(-C565/$F$29)+$C$30*EXP(-C565/$F$30)+$C$31*EXP(-C565/$F$31)+$C$32*EXP(-C565/$F$32)+$C$33*EXP(-C565/$F$33)+$C$34*EXP(-C565/$F$34)+$C$35*EXP(-C565/$F$35)+$C$36*EXP(-C565/$F$36)+$C$37*EXP(-C565/$F$37)+$C$38*EXP(-C565/$F$38)+$C$39*EXP(-C565/$F$39)+$C$40*EXP(-C565/$F$40)+$C$41*EXP(-C565/$F$41)+$C$42*EXP(-C565/$F$42))</f>
        <v>4607.5577491415579</v>
      </c>
      <c r="H565" s="124">
        <f t="shared" ref="H565:H628" si="227">IF(OR($D$28="",$D$28=0),1,$D$28+$D$29*EXP(-C565/$F$29)+$D$30*EXP(-C565/$F$30)+$D$31*EXP(-C565/$F$31)+$D$32*EXP(-C565/$F$32)+$D$33*EXP(-C565/$F$33)+$D$34*EXP(-C565/$F$34)+$D$35*EXP(-C565/$F$35)+$D$36*EXP(-C565/$F$36)+$D$37*EXP(-C565/$F$37)+$D$38*EXP(-C565/$F$38)+$D$39*EXP(-C565/$F$39)+$D$40*EXP(-C565/$F$40)+$D$41*EXP(-C565/$F$41)+$D$42*EXP(-C565/$F$42))</f>
        <v>1</v>
      </c>
      <c r="I565" s="124">
        <f t="shared" ref="I565:I628" si="228">IF(OR($E$28="",$E$28=0),1,$E$28+$E$29*EXP(-C565/$F$29)+$E$30*EXP(-C565/$F$30)+$E$31*EXP(-C565/$F$31)+$E$32*EXP(-C565/$F$32)+$E$33*EXP(-C565/$F$33)+$E$34*EXP(-C565/$F$34)+$E$35*EXP(-C565/$F$35)+$E$36*EXP(-C565/$F$36)+$E$37*EXP(-C565/$F$37)+$E$38*EXP(-C565/$F$38)+$E$39*EXP(-C565/$F$39)+$E$40*EXP(-C565/$F$40)+$E$41*EXP(-C565/$F$41)+$E$42*EXP(-C565/$F$42))</f>
        <v>1</v>
      </c>
      <c r="J565" s="124">
        <f t="shared" ref="J565:J628" si="229">(LOG10(D565)-LOG10(G565))^2</f>
        <v>7.4442985483702854E-7</v>
      </c>
      <c r="K565" s="124">
        <f t="shared" ref="K565:K628" si="230">(LOG10(E565)-LOG10(H565))^2</f>
        <v>0</v>
      </c>
      <c r="L565" s="124">
        <f t="shared" ref="L565:L628" si="231">(LOG10(F565)-LOG10(I565))^2</f>
        <v>0</v>
      </c>
      <c r="M565" s="120"/>
      <c r="N565" s="132">
        <f t="shared" si="219"/>
        <v>11433.517698278791</v>
      </c>
      <c r="O565" s="124">
        <f t="shared" ref="O565:O628" si="232">IF(AND($L$12&lt;&gt;"",$M$12&lt;&gt;"",$N$12&lt;&gt;"",$O$12&lt;&gt;""),10^($L$12+$M$12/(1+EXP($N$12+$O$12*LOG10($C565)))),1)</f>
        <v>2153754.3627779754</v>
      </c>
      <c r="P565" s="124">
        <f t="shared" ref="P565:P628" si="233">IF(AND($L$13&lt;&gt;"",$M$13&lt;&gt;"",$N$13&lt;&gt;"",$O$13&lt;&gt;""),10^($L$13+$M$13/(1+EXP($N$13+$O$13*LOG10($C565)))),1)</f>
        <v>1</v>
      </c>
      <c r="Q565" s="124">
        <f t="shared" ref="Q565:Q628" si="234">IF(AND($L$14&lt;&gt;"",$M$14&lt;&gt;"",$N$14&lt;&gt;"",$O$14&lt;&gt;""),10^($L$14+$M$14/(1+EXP($N$14+$O$14*LOG10($C565)))),1)</f>
        <v>1</v>
      </c>
      <c r="R565" s="124">
        <f t="shared" ref="R565:R628" si="235">IF(OR($C$28="",$C$28=0),1,$C$28+($N565^2*$F$29^2*$C$29)/($N565^2*$F$29^2+1)+($N565^2*$F$30^2*$C$30)/($N565^2*$F$30^2+1)+($N565^2*$F$31^2*$C$31)/($N565^2*$F$31^2+1)+($N565^2*$F$32^2*$C$32)/($N565^2*$F$32^2+1)+($N565^2*$F$33^2*$C$33)/($N565^2*$F$33^2+1)+($N565^2*$F$34^2*$C$34)/($N565^2*$F$34^2+1)+($N565^2*$F$35^2*$C$35)/($N565^2*$F$35^2+1)+($N565^2*$F$36^2*$C$36)/($N565^2*$F$36^2+1)+($N565^2*$F$37^2*$C$37)/($N565^2*$F$37^2+1)+($N565^2*$F$38^2*$C$38)/($N565^2*$F$38^2+1)+($N565^2*$F$39^2*$C$39)/($N565^2*$F$39^2+1)+($N565^2*$F$40^2*$C$40)/($N565^2*$F$40^2+1)+($N565^2*$F$41^2*$C$41)/($N565^2*$F$41^2+1)+($N565^2*$F$42^2*$C$42)/($N565^2*$F$42^2+1))</f>
        <v>2061173.2349458532</v>
      </c>
      <c r="S565" s="124">
        <f t="shared" ref="S565:S628" si="236">IF(OR($C$28="",$C$28=0),0,($N565*$F$29*$C$29)/($N565^2*$F$29^2+1)+($N565*$F$30*$C$30)/($N565^2*$F$30^2+1)+($N565*$F$31*$C$31)/($N565^2*$F$31^2+1)+($N565*$F$32*$C$32)/($N565^2*$F$32^2+1)+($N565*$F$33*$C$33)/($N565^2*$F$33^2+1)+($N565*$F$34*$C$34)/($N565^2*$F$34^2+1)+($N565*$F$35*$C$35)/($N565^2*$F$35^2+1)+($N565*$F$36*$C$36)/($N565^2*$F$36^2+1)+($N565*$F$37*$C$37)/($N565^2*$F$37^2+1)+($N565*$F$38*$C$38)/($N565^2*$F$38^2+1)+($N565*$F$39*$C$39)/($N565^2*$F$39^2+1)+($N565*$F$40*$C$40)/($N565^2*$F$40^2+1)+($N565*$F$41*$C$41)/($N565^2*$F$41^2+1)+($N565*$F$42*$C$42)/($N565^2*$F$42^2+1))</f>
        <v>448067.36993855058</v>
      </c>
      <c r="T565" s="124">
        <f t="shared" ref="T565:T628" si="237">SQRT(R565^2+S565^2)</f>
        <v>2109312.5592146851</v>
      </c>
      <c r="U565" s="124">
        <f t="shared" ref="U565:U628" si="238">IF(OR($D$28="",$D$28=0),1,$D$28+($N565^2*$F$29^2*$D$29)/($N565^2*$F$29^2+1)+($N565^2*$F$30^2*$D$30)/($N565^2*$F$30^2+1)+($N565^2*$F$31^2*$D$31)/($N565^2*$F$31^2+1)+($N565^2*$F$32^2*$D$32)/($N565^2*$F$32^2+1)+($N565^2*$F$33^2*$D$33)/($N565^2*$F$33^2+1)+($N565^2*$F$34^2*$D$34)/($N565^2*$F$34^2+1)+($N565^2*$F$35^2*$D$35)/($N565^2*$F$35^2+1)+($N565^2*$F$36^2*$D$36)/($N565^2*$F$36^2+1)+($N565^2*$F$37^2*$D$37)/($N565^2*$F$37^2+1)+($N565^2*$F$38^2*$D$38)/($N565^2*$F$38^2+1)+($N565^2*$F$39^2*$D$39)/($N565^2*$F$39^2+1)+($N565^2*$F$40^2*$D$40)/($N565^2*$F$40^2+1)+($N565^2*$F$41^2*$D$41)/($N565^2*$F$41^2+1)+($N565^2*$F$42^2*$D$42)/($N565^2*$F$42^2+1))</f>
        <v>1</v>
      </c>
      <c r="V565" s="124">
        <f t="shared" ref="V565:V628" si="239">IF(OR($D$28="",$D$28=0),0,($N565*$F$29*$D$29)/($N565^2*$F$29^2+1)+($N565*$F$30*$D$30)/($N565^2*$F$30^2+1)+($N565*$F$31*$D$31)/($N565^2*$F$31^2+1)+($N565*$F$32*$D$32)/($N565^2*$F$32^2+1)+($N565*$F$33*$D$33)/($N565^2*$F$33^2+1)+($N565*$F$34*$D$34)/($N565^2*$F$34^2+1)+($N565*$F$35*$D$35)/($N565^2*$F$35^2+1)+($N565*$F$36*$D$36)/($N565^2*$F$36^2+1)+($N565*$F$37*$D$37)/($N565^2*$F$37^2+1)+($N565*$F$38*$D$38)/($N565^2*$F$38^2+1)+($N565*$F$39*$D$39)/($N565^2*$F$39^2+1)+($N565*$F$40*$D$40)/($N565^2*$F$40^2+1)+($N565*$F$41*$D$41)/($N565^2*$F$41^2+1)+($N565*$F$42*$D$42)/($N565^2*$F$42^2+1))</f>
        <v>0</v>
      </c>
      <c r="W565" s="124">
        <f t="shared" ref="W565:W628" si="240">SQRT(U565^2+V565^2)</f>
        <v>1</v>
      </c>
      <c r="X565" s="124">
        <f t="shared" ref="X565:X628" si="241">IF(OR($E$28="",$E$28=0),1,$E$28+($N565^2*$F$29^2*$E$29)/($N565^2*$F$29^2+1)+($N565^2*$F$30^2*$E$30)/($N565^2*$F$30^2+1)+($N565^2*$F$31^2*$E$31)/($N565^2*$F$31^2+1)+($N565^2*$F$32^2*$E$32)/($N565^2*$F$32^2+1)+($N565^2*$F$33^2*$E$33)/($N565^2*$F$33^2+1)+($N565^2*$F$34^2*$E$34)/($N565^2*$F$34^2+1)+($N565^2*$F$35^2*$E$35)/($N565^2*$F$35^2+1)+($N565^2*$F$36^2*$E$36)/($N565^2*$F$36^2+1)+($N565^2*$F$37^2*$E$37)/($N565^2*$F$37^2+1)+($N565^2*$F$38^2*$E$38)/($N565^2*$F$38^2+1)+($N565^2*$F$39^2*$E$39)/($N565^2*$F$39^2+1)+($N565^2*$F$40^2*$E$40)/($N565^2*$F$40^2+1)+($N565^2*$F$41^2*$E$41)/($N565^2*$F$41^2+1)+($N565^2*$F$42^2*$E$42)/($N565^2*$F$42^2+1))</f>
        <v>1</v>
      </c>
      <c r="Y565" s="124">
        <f t="shared" ref="Y565:Y628" si="242">IF(OR($E$28="",$E$28=0),0,($N565*$F$29*$E$29)/($N565^2*$F$29^2+1)+($N565*$F$30*$E$30)/($N565^2*$F$30^2+1)+($N565*$F$31*$E$31)/($N565^2*$F$31^2+1)+($N565*$F$32*$E$32)/($N565^2*$F$32^2+1)+($N565*$F$33*$E$33)/($N565^2*$F$33^2+1)+($N565*$F$34*$E$34)/($N565^2*$F$34^2+1)+($N565*$F$35*$E$35)/($N565^2*$F$35^2+1)+($N565*$F$36*$E$36)/($N565^2*$F$36^2+1)+($N565*$F$37*$E$37)/($N565^2*$F$37^2+1)+($N565*$F$38*$E$38)/($N565^2*$F$38^2+1)+($N565*$F$39*$E$39)/($N565^2*$F$39^2+1)+($N565*$F$40*$E$40)/($N565^2*$F$40^2+1)+($N565*$F$41*$E$41)/($N565^2*$F$41^2+1)+($N565*$F$42*$E$42)/($N565^2*$F$42^2+1))</f>
        <v>0</v>
      </c>
      <c r="Z565" s="124">
        <f t="shared" ref="Z565:Z628" si="243">SQRT(X565^2+Y565^2)</f>
        <v>1</v>
      </c>
      <c r="AA565" s="124">
        <f t="shared" si="220"/>
        <v>8.1997220469808284E-5</v>
      </c>
      <c r="AB565" s="124">
        <f t="shared" ref="AB565:AB628" si="244">(LOG10(P565)-LOG10(W565))^2</f>
        <v>0</v>
      </c>
      <c r="AC565" s="124">
        <f t="shared" ref="AC565:AC628" si="245">(LOG10(Q565)-LOG10(Z565))^2</f>
        <v>0</v>
      </c>
    </row>
    <row r="566" spans="2:29" s="114" customFormat="1">
      <c r="B566" s="115">
        <f t="shared" si="221"/>
        <v>3.2799999999999416</v>
      </c>
      <c r="C566" s="124">
        <f t="shared" si="222"/>
        <v>1905.4607179629929</v>
      </c>
      <c r="D566" s="124">
        <f t="shared" si="223"/>
        <v>4563.4929604254176</v>
      </c>
      <c r="E566" s="124">
        <f t="shared" si="224"/>
        <v>1</v>
      </c>
      <c r="F566" s="124">
        <f t="shared" si="225"/>
        <v>1</v>
      </c>
      <c r="G566" s="124">
        <f t="shared" si="226"/>
        <v>4544.7027176055371</v>
      </c>
      <c r="H566" s="124">
        <f t="shared" si="227"/>
        <v>1</v>
      </c>
      <c r="I566" s="124">
        <f t="shared" si="228"/>
        <v>1</v>
      </c>
      <c r="J566" s="124">
        <f t="shared" si="229"/>
        <v>3.2109232607506492E-6</v>
      </c>
      <c r="K566" s="124">
        <f t="shared" si="230"/>
        <v>0</v>
      </c>
      <c r="L566" s="124">
        <f t="shared" si="231"/>
        <v>0</v>
      </c>
      <c r="M566" s="120"/>
      <c r="N566" s="132">
        <f t="shared" si="219"/>
        <v>11972.362786512942</v>
      </c>
      <c r="O566" s="124">
        <f t="shared" si="232"/>
        <v>2165842.770221523</v>
      </c>
      <c r="P566" s="124">
        <f t="shared" si="233"/>
        <v>1</v>
      </c>
      <c r="Q566" s="124">
        <f t="shared" si="234"/>
        <v>1</v>
      </c>
      <c r="R566" s="124">
        <f t="shared" si="235"/>
        <v>2076908.476237939</v>
      </c>
      <c r="S566" s="124">
        <f t="shared" si="236"/>
        <v>445630.90319274878</v>
      </c>
      <c r="T566" s="124">
        <f t="shared" si="237"/>
        <v>2124178.8344085775</v>
      </c>
      <c r="U566" s="124">
        <f t="shared" si="238"/>
        <v>1</v>
      </c>
      <c r="V566" s="124">
        <f t="shared" si="239"/>
        <v>0</v>
      </c>
      <c r="W566" s="124">
        <f t="shared" si="240"/>
        <v>1</v>
      </c>
      <c r="X566" s="124">
        <f t="shared" si="241"/>
        <v>1</v>
      </c>
      <c r="Y566" s="124">
        <f t="shared" si="242"/>
        <v>0</v>
      </c>
      <c r="Z566" s="124">
        <f t="shared" si="243"/>
        <v>1</v>
      </c>
      <c r="AA566" s="124">
        <f t="shared" si="220"/>
        <v>7.1163541303896735E-5</v>
      </c>
      <c r="AB566" s="124">
        <f t="shared" si="244"/>
        <v>0</v>
      </c>
      <c r="AC566" s="124">
        <f t="shared" si="245"/>
        <v>0</v>
      </c>
    </row>
    <row r="567" spans="2:29" s="114" customFormat="1">
      <c r="B567" s="115">
        <f t="shared" si="221"/>
        <v>3.2999999999999416</v>
      </c>
      <c r="C567" s="124">
        <f t="shared" si="222"/>
        <v>1995.2623149686128</v>
      </c>
      <c r="D567" s="124">
        <f t="shared" si="223"/>
        <v>4511.2771191400789</v>
      </c>
      <c r="E567" s="124">
        <f t="shared" si="224"/>
        <v>1</v>
      </c>
      <c r="F567" s="124">
        <f t="shared" si="225"/>
        <v>1</v>
      </c>
      <c r="G567" s="124">
        <f t="shared" si="226"/>
        <v>4483.5083935163148</v>
      </c>
      <c r="H567" s="124">
        <f t="shared" si="227"/>
        <v>1</v>
      </c>
      <c r="I567" s="124">
        <f t="shared" si="228"/>
        <v>1</v>
      </c>
      <c r="J567" s="124">
        <f t="shared" si="229"/>
        <v>7.1905423524736281E-6</v>
      </c>
      <c r="K567" s="124">
        <f t="shared" si="230"/>
        <v>0</v>
      </c>
      <c r="L567" s="124">
        <f t="shared" si="231"/>
        <v>0</v>
      </c>
      <c r="M567" s="120"/>
      <c r="N567" s="132">
        <f t="shared" si="219"/>
        <v>12536.602861379915</v>
      </c>
      <c r="O567" s="124">
        <f t="shared" si="232"/>
        <v>2177882.7953727609</v>
      </c>
      <c r="P567" s="124">
        <f t="shared" si="233"/>
        <v>1</v>
      </c>
      <c r="Q567" s="124">
        <f t="shared" si="234"/>
        <v>1</v>
      </c>
      <c r="R567" s="124">
        <f t="shared" si="235"/>
        <v>2092422.5542003156</v>
      </c>
      <c r="S567" s="124">
        <f t="shared" si="236"/>
        <v>442800.47743462597</v>
      </c>
      <c r="T567" s="124">
        <f t="shared" si="237"/>
        <v>2138762.3542933669</v>
      </c>
      <c r="U567" s="124">
        <f t="shared" si="238"/>
        <v>1</v>
      </c>
      <c r="V567" s="124">
        <f t="shared" si="239"/>
        <v>0</v>
      </c>
      <c r="W567" s="124">
        <f t="shared" si="240"/>
        <v>1</v>
      </c>
      <c r="X567" s="124">
        <f t="shared" si="241"/>
        <v>1</v>
      </c>
      <c r="Y567" s="124">
        <f t="shared" si="242"/>
        <v>0</v>
      </c>
      <c r="Z567" s="124">
        <f t="shared" si="243"/>
        <v>1</v>
      </c>
      <c r="AA567" s="124">
        <f t="shared" si="220"/>
        <v>6.1967957575638017E-5</v>
      </c>
      <c r="AB567" s="124">
        <f t="shared" si="244"/>
        <v>0</v>
      </c>
      <c r="AC567" s="124">
        <f t="shared" si="245"/>
        <v>0</v>
      </c>
    </row>
    <row r="568" spans="2:29" s="114" customFormat="1">
      <c r="B568" s="115">
        <f t="shared" si="221"/>
        <v>3.3199999999999417</v>
      </c>
      <c r="C568" s="124">
        <f t="shared" si="222"/>
        <v>2089.2961308537597</v>
      </c>
      <c r="D568" s="124">
        <f t="shared" si="223"/>
        <v>4460.0509616078789</v>
      </c>
      <c r="E568" s="124">
        <f t="shared" si="224"/>
        <v>1</v>
      </c>
      <c r="F568" s="124">
        <f t="shared" si="225"/>
        <v>1</v>
      </c>
      <c r="G568" s="124">
        <f t="shared" si="226"/>
        <v>4424.0720791691838</v>
      </c>
      <c r="H568" s="124">
        <f t="shared" si="227"/>
        <v>1</v>
      </c>
      <c r="I568" s="124">
        <f t="shared" si="228"/>
        <v>1</v>
      </c>
      <c r="J568" s="124">
        <f t="shared" si="229"/>
        <v>1.2373699699484189E-5</v>
      </c>
      <c r="K568" s="124">
        <f t="shared" si="230"/>
        <v>0</v>
      </c>
      <c r="L568" s="124">
        <f t="shared" si="231"/>
        <v>0</v>
      </c>
      <c r="M568" s="120"/>
      <c r="N568" s="132">
        <f t="shared" si="219"/>
        <v>13127.434751727502</v>
      </c>
      <c r="O568" s="124">
        <f t="shared" si="232"/>
        <v>2189873.8087101476</v>
      </c>
      <c r="P568" s="124">
        <f t="shared" si="233"/>
        <v>1</v>
      </c>
      <c r="Q568" s="124">
        <f t="shared" si="234"/>
        <v>1</v>
      </c>
      <c r="R568" s="124">
        <f t="shared" si="235"/>
        <v>2107670.3320810068</v>
      </c>
      <c r="S568" s="124">
        <f t="shared" si="236"/>
        <v>439604.89509502705</v>
      </c>
      <c r="T568" s="124">
        <f t="shared" si="237"/>
        <v>2153027.3320434117</v>
      </c>
      <c r="U568" s="124">
        <f t="shared" si="238"/>
        <v>1</v>
      </c>
      <c r="V568" s="124">
        <f t="shared" si="239"/>
        <v>0</v>
      </c>
      <c r="W568" s="124">
        <f t="shared" si="240"/>
        <v>1</v>
      </c>
      <c r="X568" s="124">
        <f t="shared" si="241"/>
        <v>1</v>
      </c>
      <c r="Y568" s="124">
        <f t="shared" si="242"/>
        <v>0</v>
      </c>
      <c r="Z568" s="124">
        <f t="shared" si="243"/>
        <v>1</v>
      </c>
      <c r="AA568" s="124">
        <f t="shared" si="220"/>
        <v>5.4310212385924921E-5</v>
      </c>
      <c r="AB568" s="124">
        <f t="shared" si="244"/>
        <v>0</v>
      </c>
      <c r="AC568" s="124">
        <f t="shared" si="245"/>
        <v>0</v>
      </c>
    </row>
    <row r="569" spans="2:29" s="114" customFormat="1">
      <c r="B569" s="115">
        <f t="shared" si="221"/>
        <v>3.3399999999999417</v>
      </c>
      <c r="C569" s="124">
        <f t="shared" si="222"/>
        <v>2187.7616239492613</v>
      </c>
      <c r="D569" s="124">
        <f t="shared" si="223"/>
        <v>4409.7929213236475</v>
      </c>
      <c r="E569" s="124">
        <f t="shared" si="224"/>
        <v>1</v>
      </c>
      <c r="F569" s="124">
        <f t="shared" si="225"/>
        <v>1</v>
      </c>
      <c r="G569" s="124">
        <f t="shared" si="226"/>
        <v>4366.4772239803524</v>
      </c>
      <c r="H569" s="124">
        <f t="shared" si="227"/>
        <v>1</v>
      </c>
      <c r="I569" s="124">
        <f t="shared" si="228"/>
        <v>1</v>
      </c>
      <c r="J569" s="124">
        <f t="shared" si="229"/>
        <v>1.8378341705880719E-5</v>
      </c>
      <c r="K569" s="124">
        <f t="shared" si="230"/>
        <v>0</v>
      </c>
      <c r="L569" s="124">
        <f t="shared" si="231"/>
        <v>0</v>
      </c>
      <c r="M569" s="120"/>
      <c r="N569" s="132">
        <f t="shared" si="219"/>
        <v>13746.111691209349</v>
      </c>
      <c r="O569" s="124">
        <f t="shared" si="232"/>
        <v>2201815.1968074739</v>
      </c>
      <c r="P569" s="124">
        <f t="shared" si="233"/>
        <v>1</v>
      </c>
      <c r="Q569" s="124">
        <f t="shared" si="234"/>
        <v>1</v>
      </c>
      <c r="R569" s="124">
        <f t="shared" si="235"/>
        <v>2122611.3901453414</v>
      </c>
      <c r="S569" s="124">
        <f t="shared" si="236"/>
        <v>436078.33237533283</v>
      </c>
      <c r="T569" s="124">
        <f t="shared" si="237"/>
        <v>2166943.3369476898</v>
      </c>
      <c r="U569" s="124">
        <f t="shared" si="238"/>
        <v>1</v>
      </c>
      <c r="V569" s="124">
        <f t="shared" si="239"/>
        <v>0</v>
      </c>
      <c r="W569" s="124">
        <f t="shared" si="240"/>
        <v>1</v>
      </c>
      <c r="X569" s="124">
        <f t="shared" si="241"/>
        <v>1</v>
      </c>
      <c r="Y569" s="124">
        <f t="shared" si="242"/>
        <v>0</v>
      </c>
      <c r="Z569" s="124">
        <f t="shared" si="243"/>
        <v>1</v>
      </c>
      <c r="AA569" s="124">
        <f t="shared" si="220"/>
        <v>4.8070783429452834E-5</v>
      </c>
      <c r="AB569" s="124">
        <f t="shared" si="244"/>
        <v>0</v>
      </c>
      <c r="AC569" s="124">
        <f t="shared" si="245"/>
        <v>0</v>
      </c>
    </row>
    <row r="570" spans="2:29" s="114" customFormat="1">
      <c r="B570" s="115">
        <f t="shared" si="221"/>
        <v>3.3599999999999417</v>
      </c>
      <c r="C570" s="124">
        <f t="shared" si="222"/>
        <v>2290.8676527674675</v>
      </c>
      <c r="D570" s="124">
        <f t="shared" si="223"/>
        <v>4360.4819499218556</v>
      </c>
      <c r="E570" s="124">
        <f t="shared" si="224"/>
        <v>1</v>
      </c>
      <c r="F570" s="124">
        <f t="shared" si="225"/>
        <v>1</v>
      </c>
      <c r="G570" s="124">
        <f t="shared" si="226"/>
        <v>4310.7920293448378</v>
      </c>
      <c r="H570" s="124">
        <f t="shared" si="227"/>
        <v>1</v>
      </c>
      <c r="I570" s="124">
        <f t="shared" si="228"/>
        <v>1</v>
      </c>
      <c r="J570" s="124">
        <f t="shared" si="229"/>
        <v>2.4774728832399076E-5</v>
      </c>
      <c r="K570" s="124">
        <f t="shared" si="230"/>
        <v>0</v>
      </c>
      <c r="L570" s="124">
        <f t="shared" si="231"/>
        <v>0</v>
      </c>
      <c r="M570" s="120"/>
      <c r="N570" s="132">
        <f t="shared" si="219"/>
        <v>14393.945976561537</v>
      </c>
      <c r="O570" s="124">
        <f t="shared" si="232"/>
        <v>2213706.3622751595</v>
      </c>
      <c r="P570" s="124">
        <f t="shared" si="233"/>
        <v>1</v>
      </c>
      <c r="Q570" s="124">
        <f t="shared" si="234"/>
        <v>1</v>
      </c>
      <c r="R570" s="124">
        <f t="shared" si="235"/>
        <v>2137210.6652113982</v>
      </c>
      <c r="S570" s="124">
        <f t="shared" si="236"/>
        <v>432259.50971692731</v>
      </c>
      <c r="T570" s="124">
        <f t="shared" si="237"/>
        <v>2180485.6594882859</v>
      </c>
      <c r="U570" s="124">
        <f t="shared" si="238"/>
        <v>1</v>
      </c>
      <c r="V570" s="124">
        <f t="shared" si="239"/>
        <v>0</v>
      </c>
      <c r="W570" s="124">
        <f t="shared" si="240"/>
        <v>1</v>
      </c>
      <c r="X570" s="124">
        <f t="shared" si="241"/>
        <v>1</v>
      </c>
      <c r="Y570" s="124">
        <f t="shared" si="242"/>
        <v>0</v>
      </c>
      <c r="Z570" s="124">
        <f t="shared" si="243"/>
        <v>1</v>
      </c>
      <c r="AA570" s="124">
        <f t="shared" si="220"/>
        <v>4.3122579513073032E-5</v>
      </c>
      <c r="AB570" s="124">
        <f t="shared" si="244"/>
        <v>0</v>
      </c>
      <c r="AC570" s="124">
        <f t="shared" si="245"/>
        <v>0</v>
      </c>
    </row>
    <row r="571" spans="2:29" s="114" customFormat="1">
      <c r="B571" s="115">
        <f t="shared" si="221"/>
        <v>3.3799999999999417</v>
      </c>
      <c r="C571" s="124">
        <f t="shared" si="222"/>
        <v>2398.8329190191703</v>
      </c>
      <c r="D571" s="124">
        <f t="shared" si="223"/>
        <v>4312.0975040390204</v>
      </c>
      <c r="E571" s="124">
        <f t="shared" si="224"/>
        <v>1</v>
      </c>
      <c r="F571" s="124">
        <f t="shared" si="225"/>
        <v>1</v>
      </c>
      <c r="G571" s="124">
        <f t="shared" si="226"/>
        <v>4257.0682305846403</v>
      </c>
      <c r="H571" s="124">
        <f t="shared" si="227"/>
        <v>1</v>
      </c>
      <c r="I571" s="124">
        <f t="shared" si="228"/>
        <v>1</v>
      </c>
      <c r="J571" s="124">
        <f t="shared" si="229"/>
        <v>3.1113654649734594E-5</v>
      </c>
      <c r="K571" s="124">
        <f t="shared" si="230"/>
        <v>0</v>
      </c>
      <c r="L571" s="124">
        <f t="shared" si="231"/>
        <v>0</v>
      </c>
      <c r="M571" s="120"/>
      <c r="N571" s="132">
        <f t="shared" si="219"/>
        <v>15072.311751159968</v>
      </c>
      <c r="O571" s="124">
        <f t="shared" si="232"/>
        <v>2225546.7236956093</v>
      </c>
      <c r="P571" s="124">
        <f t="shared" si="233"/>
        <v>1</v>
      </c>
      <c r="Q571" s="124">
        <f t="shared" si="234"/>
        <v>1</v>
      </c>
      <c r="R571" s="124">
        <f t="shared" si="235"/>
        <v>2151438.9313138747</v>
      </c>
      <c r="S571" s="124">
        <f t="shared" si="236"/>
        <v>428190.79452219279</v>
      </c>
      <c r="T571" s="124">
        <f t="shared" si="237"/>
        <v>2193635.52845192</v>
      </c>
      <c r="U571" s="124">
        <f t="shared" si="238"/>
        <v>1</v>
      </c>
      <c r="V571" s="124">
        <f t="shared" si="239"/>
        <v>0</v>
      </c>
      <c r="W571" s="124">
        <f t="shared" si="240"/>
        <v>1</v>
      </c>
      <c r="X571" s="124">
        <f t="shared" si="241"/>
        <v>1</v>
      </c>
      <c r="Y571" s="124">
        <f t="shared" si="242"/>
        <v>0</v>
      </c>
      <c r="Z571" s="124">
        <f t="shared" si="243"/>
        <v>1</v>
      </c>
      <c r="AA571" s="124">
        <f t="shared" si="220"/>
        <v>3.9341057365683169E-5</v>
      </c>
      <c r="AB571" s="124">
        <f t="shared" si="244"/>
        <v>0</v>
      </c>
      <c r="AC571" s="124">
        <f t="shared" si="245"/>
        <v>0</v>
      </c>
    </row>
    <row r="572" spans="2:29" s="114" customFormat="1">
      <c r="B572" s="115">
        <f t="shared" si="221"/>
        <v>3.3999999999999417</v>
      </c>
      <c r="C572" s="124">
        <f t="shared" si="222"/>
        <v>2511.8864315092442</v>
      </c>
      <c r="D572" s="124">
        <f t="shared" si="223"/>
        <v>4264.6195325130911</v>
      </c>
      <c r="E572" s="124">
        <f t="shared" si="224"/>
        <v>1</v>
      </c>
      <c r="F572" s="124">
        <f t="shared" si="225"/>
        <v>1</v>
      </c>
      <c r="G572" s="124">
        <f t="shared" si="226"/>
        <v>4205.3400950376827</v>
      </c>
      <c r="H572" s="124">
        <f t="shared" si="227"/>
        <v>1</v>
      </c>
      <c r="I572" s="124">
        <f t="shared" si="228"/>
        <v>1</v>
      </c>
      <c r="J572" s="124">
        <f t="shared" si="229"/>
        <v>3.6956281232992382E-5</v>
      </c>
      <c r="K572" s="124">
        <f t="shared" si="230"/>
        <v>0</v>
      </c>
      <c r="L572" s="124">
        <f t="shared" si="231"/>
        <v>0</v>
      </c>
      <c r="M572" s="120"/>
      <c r="N572" s="132">
        <f t="shared" si="219"/>
        <v>15782.647919762645</v>
      </c>
      <c r="O572" s="124">
        <f t="shared" si="232"/>
        <v>2237335.7155527901</v>
      </c>
      <c r="P572" s="124">
        <f t="shared" si="233"/>
        <v>1</v>
      </c>
      <c r="Q572" s="124">
        <f t="shared" si="234"/>
        <v>1</v>
      </c>
      <c r="R572" s="124">
        <f t="shared" si="235"/>
        <v>2165273.1181813441</v>
      </c>
      <c r="S572" s="124">
        <f t="shared" si="236"/>
        <v>423917.26907318388</v>
      </c>
      <c r="T572" s="124">
        <f t="shared" si="237"/>
        <v>2206380.1864903579</v>
      </c>
      <c r="U572" s="124">
        <f t="shared" si="238"/>
        <v>1</v>
      </c>
      <c r="V572" s="124">
        <f t="shared" si="239"/>
        <v>0</v>
      </c>
      <c r="W572" s="124">
        <f t="shared" si="240"/>
        <v>1</v>
      </c>
      <c r="X572" s="124">
        <f t="shared" si="241"/>
        <v>1</v>
      </c>
      <c r="Y572" s="124">
        <f t="shared" si="242"/>
        <v>0</v>
      </c>
      <c r="Z572" s="124">
        <f t="shared" si="243"/>
        <v>1</v>
      </c>
      <c r="AA572" s="124">
        <f t="shared" si="220"/>
        <v>3.661226144273919E-5</v>
      </c>
      <c r="AB572" s="124">
        <f t="shared" si="244"/>
        <v>0</v>
      </c>
      <c r="AC572" s="124">
        <f t="shared" si="245"/>
        <v>0</v>
      </c>
    </row>
    <row r="573" spans="2:29" s="114" customFormat="1">
      <c r="B573" s="115">
        <f t="shared" si="221"/>
        <v>3.4199999999999418</v>
      </c>
      <c r="C573" s="124">
        <f t="shared" si="222"/>
        <v>2630.2679918950321</v>
      </c>
      <c r="D573" s="124">
        <f t="shared" si="223"/>
        <v>4218.0284639112897</v>
      </c>
      <c r="E573" s="124">
        <f t="shared" si="224"/>
        <v>1</v>
      </c>
      <c r="F573" s="124">
        <f t="shared" si="225"/>
        <v>1</v>
      </c>
      <c r="G573" s="124">
        <f t="shared" si="226"/>
        <v>4155.623674321565</v>
      </c>
      <c r="H573" s="124">
        <f t="shared" si="227"/>
        <v>1</v>
      </c>
      <c r="I573" s="124">
        <f t="shared" si="228"/>
        <v>1</v>
      </c>
      <c r="J573" s="124">
        <f t="shared" si="229"/>
        <v>4.1903539716330725E-5</v>
      </c>
      <c r="K573" s="124">
        <f t="shared" si="230"/>
        <v>0</v>
      </c>
      <c r="L573" s="124">
        <f t="shared" si="231"/>
        <v>0</v>
      </c>
      <c r="M573" s="120"/>
      <c r="N573" s="132">
        <f t="shared" si="219"/>
        <v>16526.461200619622</v>
      </c>
      <c r="O573" s="124">
        <f t="shared" si="232"/>
        <v>2249072.7881562342</v>
      </c>
      <c r="P573" s="124">
        <f t="shared" si="233"/>
        <v>1</v>
      </c>
      <c r="Q573" s="124">
        <f t="shared" si="234"/>
        <v>1</v>
      </c>
      <c r="R573" s="124">
        <f t="shared" si="235"/>
        <v>2178696.4714068938</v>
      </c>
      <c r="S573" s="124">
        <f t="shared" si="236"/>
        <v>419485.79493119137</v>
      </c>
      <c r="T573" s="124">
        <f t="shared" si="237"/>
        <v>2218712.8355580186</v>
      </c>
      <c r="U573" s="124">
        <f t="shared" si="238"/>
        <v>1</v>
      </c>
      <c r="V573" s="124">
        <f t="shared" si="239"/>
        <v>0</v>
      </c>
      <c r="W573" s="124">
        <f t="shared" si="240"/>
        <v>1</v>
      </c>
      <c r="X573" s="124">
        <f t="shared" si="241"/>
        <v>1</v>
      </c>
      <c r="Y573" s="124">
        <f t="shared" si="242"/>
        <v>0</v>
      </c>
      <c r="Z573" s="124">
        <f t="shared" si="243"/>
        <v>1</v>
      </c>
      <c r="AA573" s="124">
        <f t="shared" si="220"/>
        <v>3.4838504921273237E-5</v>
      </c>
      <c r="AB573" s="124">
        <f t="shared" si="244"/>
        <v>0</v>
      </c>
      <c r="AC573" s="124">
        <f t="shared" si="245"/>
        <v>0</v>
      </c>
    </row>
    <row r="574" spans="2:29" s="114" customFormat="1">
      <c r="B574" s="115">
        <f t="shared" si="221"/>
        <v>3.4399999999999418</v>
      </c>
      <c r="C574" s="124">
        <f t="shared" si="222"/>
        <v>2754.2287033377993</v>
      </c>
      <c r="D574" s="124">
        <f t="shared" si="223"/>
        <v>4172.3051943784494</v>
      </c>
      <c r="E574" s="124">
        <f t="shared" si="224"/>
        <v>1</v>
      </c>
      <c r="F574" s="124">
        <f t="shared" si="225"/>
        <v>1</v>
      </c>
      <c r="G574" s="124">
        <f t="shared" si="226"/>
        <v>4107.91634589777</v>
      </c>
      <c r="H574" s="124">
        <f t="shared" si="227"/>
        <v>1</v>
      </c>
      <c r="I574" s="124">
        <f t="shared" si="228"/>
        <v>1</v>
      </c>
      <c r="J574" s="124">
        <f t="shared" si="229"/>
        <v>4.5622967013881342E-5</v>
      </c>
      <c r="K574" s="124">
        <f t="shared" si="230"/>
        <v>0</v>
      </c>
      <c r="L574" s="124">
        <f t="shared" si="231"/>
        <v>0</v>
      </c>
      <c r="M574" s="120"/>
      <c r="N574" s="132">
        <f t="shared" si="219"/>
        <v>17305.329321424342</v>
      </c>
      <c r="O574" s="124">
        <f t="shared" si="232"/>
        <v>2260757.40755963</v>
      </c>
      <c r="P574" s="124">
        <f t="shared" si="233"/>
        <v>1</v>
      </c>
      <c r="Q574" s="124">
        <f t="shared" si="234"/>
        <v>1</v>
      </c>
      <c r="R574" s="124">
        <f t="shared" si="235"/>
        <v>2191698.5643925709</v>
      </c>
      <c r="S574" s="124">
        <f t="shared" si="236"/>
        <v>414944.10186750616</v>
      </c>
      <c r="T574" s="124">
        <f t="shared" si="237"/>
        <v>2230632.4674484339</v>
      </c>
      <c r="U574" s="124">
        <f t="shared" si="238"/>
        <v>1</v>
      </c>
      <c r="V574" s="124">
        <f t="shared" si="239"/>
        <v>0</v>
      </c>
      <c r="W574" s="124">
        <f t="shared" si="240"/>
        <v>1</v>
      </c>
      <c r="X574" s="124">
        <f t="shared" si="241"/>
        <v>1</v>
      </c>
      <c r="Y574" s="124">
        <f t="shared" si="242"/>
        <v>0</v>
      </c>
      <c r="Z574" s="124">
        <f t="shared" si="243"/>
        <v>1</v>
      </c>
      <c r="AA574" s="124">
        <f t="shared" si="220"/>
        <v>3.3941615748499747E-5</v>
      </c>
      <c r="AB574" s="124">
        <f t="shared" si="244"/>
        <v>0</v>
      </c>
      <c r="AC574" s="124">
        <f t="shared" si="245"/>
        <v>0</v>
      </c>
    </row>
    <row r="575" spans="2:29" s="114" customFormat="1">
      <c r="B575" s="115">
        <f t="shared" si="221"/>
        <v>3.4599999999999418</v>
      </c>
      <c r="C575" s="124">
        <f t="shared" si="222"/>
        <v>2884.0315031262212</v>
      </c>
      <c r="D575" s="124">
        <f t="shared" si="223"/>
        <v>4127.4310757978919</v>
      </c>
      <c r="E575" s="124">
        <f t="shared" si="224"/>
        <v>1</v>
      </c>
      <c r="F575" s="124">
        <f t="shared" si="225"/>
        <v>1</v>
      </c>
      <c r="G575" s="124">
        <f t="shared" si="226"/>
        <v>4062.1966742789182</v>
      </c>
      <c r="H575" s="124">
        <f t="shared" si="227"/>
        <v>1</v>
      </c>
      <c r="I575" s="124">
        <f t="shared" si="228"/>
        <v>1</v>
      </c>
      <c r="J575" s="124">
        <f t="shared" si="229"/>
        <v>4.7870947762934567E-5</v>
      </c>
      <c r="K575" s="124">
        <f t="shared" si="230"/>
        <v>0</v>
      </c>
      <c r="L575" s="124">
        <f t="shared" si="231"/>
        <v>0</v>
      </c>
      <c r="M575" s="120"/>
      <c r="N575" s="132">
        <f t="shared" si="219"/>
        <v>18120.90436588573</v>
      </c>
      <c r="O575" s="124">
        <f t="shared" si="232"/>
        <v>2272389.0554741584</v>
      </c>
      <c r="P575" s="124">
        <f t="shared" si="233"/>
        <v>1</v>
      </c>
      <c r="Q575" s="124">
        <f t="shared" si="234"/>
        <v>1</v>
      </c>
      <c r="R575" s="124">
        <f t="shared" si="235"/>
        <v>2204275.1770428652</v>
      </c>
      <c r="S575" s="124">
        <f t="shared" si="236"/>
        <v>410339.92497992446</v>
      </c>
      <c r="T575" s="124">
        <f t="shared" si="237"/>
        <v>2242143.5971319689</v>
      </c>
      <c r="U575" s="124">
        <f t="shared" si="238"/>
        <v>1</v>
      </c>
      <c r="V575" s="124">
        <f t="shared" si="239"/>
        <v>0</v>
      </c>
      <c r="W575" s="124">
        <f t="shared" si="240"/>
        <v>1</v>
      </c>
      <c r="X575" s="124">
        <f t="shared" si="241"/>
        <v>1</v>
      </c>
      <c r="Y575" s="124">
        <f t="shared" si="242"/>
        <v>0</v>
      </c>
      <c r="Z575" s="124">
        <f t="shared" si="243"/>
        <v>1</v>
      </c>
      <c r="AA575" s="124">
        <f t="shared" si="220"/>
        <v>3.3863851650654117E-5</v>
      </c>
      <c r="AB575" s="124">
        <f t="shared" si="244"/>
        <v>0</v>
      </c>
      <c r="AC575" s="124">
        <f t="shared" si="245"/>
        <v>0</v>
      </c>
    </row>
    <row r="576" spans="2:29" s="114" customFormat="1">
      <c r="B576" s="115">
        <f t="shared" si="221"/>
        <v>3.4799999999999418</v>
      </c>
      <c r="C576" s="124">
        <f t="shared" si="222"/>
        <v>3019.9517204016156</v>
      </c>
      <c r="D576" s="124">
        <f t="shared" si="223"/>
        <v>4083.3879042571334</v>
      </c>
      <c r="E576" s="124">
        <f t="shared" si="224"/>
        <v>1</v>
      </c>
      <c r="F576" s="124">
        <f t="shared" si="225"/>
        <v>1</v>
      </c>
      <c r="G576" s="124">
        <f t="shared" si="226"/>
        <v>4018.4246156159625</v>
      </c>
      <c r="H576" s="124">
        <f t="shared" si="227"/>
        <v>1</v>
      </c>
      <c r="I576" s="124">
        <f t="shared" si="228"/>
        <v>1</v>
      </c>
      <c r="J576" s="124">
        <f t="shared" si="229"/>
        <v>4.8508612812956783E-5</v>
      </c>
      <c r="K576" s="124">
        <f t="shared" si="230"/>
        <v>0</v>
      </c>
      <c r="L576" s="124">
        <f t="shared" si="231"/>
        <v>0</v>
      </c>
      <c r="M576" s="120"/>
      <c r="N576" s="132">
        <f t="shared" si="219"/>
        <v>18974.916278019144</v>
      </c>
      <c r="O576" s="124">
        <f t="shared" si="232"/>
        <v>2283967.2291767662</v>
      </c>
      <c r="P576" s="124">
        <f t="shared" si="233"/>
        <v>1</v>
      </c>
      <c r="Q576" s="124">
        <f t="shared" si="234"/>
        <v>1</v>
      </c>
      <c r="R576" s="124">
        <f t="shared" si="235"/>
        <v>2216428.0596076432</v>
      </c>
      <c r="S576" s="124">
        <f t="shared" si="236"/>
        <v>405720.20853891439</v>
      </c>
      <c r="T576" s="124">
        <f t="shared" si="237"/>
        <v>2253255.9177849647</v>
      </c>
      <c r="U576" s="124">
        <f t="shared" si="238"/>
        <v>1</v>
      </c>
      <c r="V576" s="124">
        <f t="shared" si="239"/>
        <v>0</v>
      </c>
      <c r="W576" s="124">
        <f t="shared" si="240"/>
        <v>1</v>
      </c>
      <c r="X576" s="124">
        <f t="shared" si="241"/>
        <v>1</v>
      </c>
      <c r="Y576" s="124">
        <f t="shared" si="242"/>
        <v>0</v>
      </c>
      <c r="Z576" s="124">
        <f t="shared" si="243"/>
        <v>1</v>
      </c>
      <c r="AA576" s="124">
        <f t="shared" si="220"/>
        <v>3.4566732135777047E-5</v>
      </c>
      <c r="AB576" s="124">
        <f t="shared" si="244"/>
        <v>0</v>
      </c>
      <c r="AC576" s="124">
        <f t="shared" si="245"/>
        <v>0</v>
      </c>
    </row>
    <row r="577" spans="2:29" s="114" customFormat="1">
      <c r="B577" s="115">
        <f t="shared" si="221"/>
        <v>3.4999999999999418</v>
      </c>
      <c r="C577" s="124">
        <f t="shared" si="222"/>
        <v>3162.2776601679589</v>
      </c>
      <c r="D577" s="124">
        <f t="shared" si="223"/>
        <v>4040.1579088107355</v>
      </c>
      <c r="E577" s="124">
        <f t="shared" si="224"/>
        <v>1</v>
      </c>
      <c r="F577" s="124">
        <f t="shared" si="225"/>
        <v>1</v>
      </c>
      <c r="G577" s="124">
        <f t="shared" si="226"/>
        <v>3976.5420810825503</v>
      </c>
      <c r="H577" s="124">
        <f t="shared" si="227"/>
        <v>1</v>
      </c>
      <c r="I577" s="124">
        <f t="shared" si="228"/>
        <v>1</v>
      </c>
      <c r="J577" s="124">
        <f t="shared" si="229"/>
        <v>4.7510100432800888E-5</v>
      </c>
      <c r="K577" s="124">
        <f t="shared" si="230"/>
        <v>0</v>
      </c>
      <c r="L577" s="124">
        <f t="shared" si="231"/>
        <v>0</v>
      </c>
      <c r="M577" s="120"/>
      <c r="N577" s="132">
        <f t="shared" si="219"/>
        <v>19869.176531589561</v>
      </c>
      <c r="O577" s="124">
        <f t="shared" si="232"/>
        <v>2295491.4414135669</v>
      </c>
      <c r="P577" s="124">
        <f t="shared" si="233"/>
        <v>1</v>
      </c>
      <c r="Q577" s="124">
        <f t="shared" si="234"/>
        <v>1</v>
      </c>
      <c r="R577" s="124">
        <f t="shared" si="235"/>
        <v>2228164.6020063842</v>
      </c>
      <c r="S577" s="124">
        <f t="shared" si="236"/>
        <v>401130.38972229866</v>
      </c>
      <c r="T577" s="124">
        <f t="shared" si="237"/>
        <v>2263983.8964076205</v>
      </c>
      <c r="U577" s="124">
        <f t="shared" si="238"/>
        <v>1</v>
      </c>
      <c r="V577" s="124">
        <f t="shared" si="239"/>
        <v>0</v>
      </c>
      <c r="W577" s="124">
        <f t="shared" si="240"/>
        <v>1</v>
      </c>
      <c r="X577" s="124">
        <f t="shared" si="241"/>
        <v>1</v>
      </c>
      <c r="Y577" s="124">
        <f t="shared" si="242"/>
        <v>0</v>
      </c>
      <c r="Z577" s="124">
        <f t="shared" si="243"/>
        <v>1</v>
      </c>
      <c r="AA577" s="124">
        <f t="shared" si="220"/>
        <v>3.6028138926968347E-5</v>
      </c>
      <c r="AB577" s="124">
        <f t="shared" si="244"/>
        <v>0</v>
      </c>
      <c r="AC577" s="124">
        <f t="shared" si="245"/>
        <v>0</v>
      </c>
    </row>
    <row r="578" spans="2:29" s="114" customFormat="1">
      <c r="B578" s="115">
        <f t="shared" si="221"/>
        <v>3.5199999999999418</v>
      </c>
      <c r="C578" s="124">
        <f t="shared" si="222"/>
        <v>3311.3112148254704</v>
      </c>
      <c r="D578" s="124">
        <f t="shared" si="223"/>
        <v>3997.7237405329802</v>
      </c>
      <c r="E578" s="124">
        <f t="shared" si="224"/>
        <v>1</v>
      </c>
      <c r="F578" s="124">
        <f t="shared" si="225"/>
        <v>1</v>
      </c>
      <c r="G578" s="124">
        <f t="shared" si="226"/>
        <v>3936.473864627128</v>
      </c>
      <c r="H578" s="124">
        <f t="shared" si="227"/>
        <v>1</v>
      </c>
      <c r="I578" s="124">
        <f t="shared" si="228"/>
        <v>1</v>
      </c>
      <c r="J578" s="124">
        <f t="shared" si="229"/>
        <v>4.4962481255992774E-5</v>
      </c>
      <c r="K578" s="124">
        <f t="shared" si="230"/>
        <v>0</v>
      </c>
      <c r="L578" s="124">
        <f t="shared" si="231"/>
        <v>0</v>
      </c>
      <c r="M578" s="120"/>
      <c r="N578" s="132">
        <f t="shared" si="219"/>
        <v>20805.581972490381</v>
      </c>
      <c r="O578" s="124">
        <f t="shared" si="232"/>
        <v>2306961.2202984784</v>
      </c>
      <c r="P578" s="124">
        <f t="shared" si="233"/>
        <v>1</v>
      </c>
      <c r="Q578" s="124">
        <f t="shared" si="234"/>
        <v>1</v>
      </c>
      <c r="R578" s="124">
        <f t="shared" si="235"/>
        <v>2239497.4294985924</v>
      </c>
      <c r="S578" s="124">
        <f t="shared" si="236"/>
        <v>396613.77013151097</v>
      </c>
      <c r="T578" s="124">
        <f t="shared" si="237"/>
        <v>2274346.3279344095</v>
      </c>
      <c r="U578" s="124">
        <f t="shared" si="238"/>
        <v>1</v>
      </c>
      <c r="V578" s="124">
        <f t="shared" si="239"/>
        <v>0</v>
      </c>
      <c r="W578" s="124">
        <f t="shared" si="240"/>
        <v>1</v>
      </c>
      <c r="X578" s="124">
        <f t="shared" si="241"/>
        <v>1</v>
      </c>
      <c r="Y578" s="124">
        <f t="shared" si="242"/>
        <v>0</v>
      </c>
      <c r="Z578" s="124">
        <f t="shared" si="243"/>
        <v>1</v>
      </c>
      <c r="AA578" s="124">
        <f t="shared" si="220"/>
        <v>3.8238098933892744E-5</v>
      </c>
      <c r="AB578" s="124">
        <f t="shared" si="244"/>
        <v>0</v>
      </c>
      <c r="AC578" s="124">
        <f t="shared" si="245"/>
        <v>0</v>
      </c>
    </row>
    <row r="579" spans="2:29" s="114" customFormat="1">
      <c r="B579" s="115">
        <f t="shared" si="221"/>
        <v>3.5399999999999419</v>
      </c>
      <c r="C579" s="124">
        <f t="shared" si="222"/>
        <v>3467.3685045248544</v>
      </c>
      <c r="D579" s="124">
        <f t="shared" si="223"/>
        <v>3956.0684618531418</v>
      </c>
      <c r="E579" s="124">
        <f t="shared" si="224"/>
        <v>1</v>
      </c>
      <c r="F579" s="124">
        <f t="shared" si="225"/>
        <v>1</v>
      </c>
      <c r="G579" s="124">
        <f t="shared" si="226"/>
        <v>3898.1289295699162</v>
      </c>
      <c r="H579" s="124">
        <f t="shared" si="227"/>
        <v>1</v>
      </c>
      <c r="I579" s="124">
        <f t="shared" si="228"/>
        <v>1</v>
      </c>
      <c r="J579" s="124">
        <f t="shared" si="229"/>
        <v>4.1057331258413647E-5</v>
      </c>
      <c r="K579" s="124">
        <f t="shared" si="230"/>
        <v>0</v>
      </c>
      <c r="L579" s="124">
        <f t="shared" si="231"/>
        <v>0</v>
      </c>
      <c r="M579" s="120"/>
      <c r="N579" s="132">
        <f t="shared" si="219"/>
        <v>21786.118842207819</v>
      </c>
      <c r="O579" s="124">
        <f t="shared" si="232"/>
        <v>2318376.1092072963</v>
      </c>
      <c r="P579" s="124">
        <f t="shared" si="233"/>
        <v>1</v>
      </c>
      <c r="Q579" s="124">
        <f t="shared" si="234"/>
        <v>1</v>
      </c>
      <c r="R579" s="124">
        <f t="shared" si="235"/>
        <v>2250443.9448840572</v>
      </c>
      <c r="S579" s="124">
        <f t="shared" si="236"/>
        <v>392210.97815607139</v>
      </c>
      <c r="T579" s="124">
        <f t="shared" si="237"/>
        <v>2284365.8639656347</v>
      </c>
      <c r="U579" s="124">
        <f t="shared" si="238"/>
        <v>1</v>
      </c>
      <c r="V579" s="124">
        <f t="shared" si="239"/>
        <v>0</v>
      </c>
      <c r="W579" s="124">
        <f t="shared" si="240"/>
        <v>1</v>
      </c>
      <c r="X579" s="124">
        <f t="shared" si="241"/>
        <v>1</v>
      </c>
      <c r="Y579" s="124">
        <f t="shared" si="242"/>
        <v>0</v>
      </c>
      <c r="Z579" s="124">
        <f t="shared" si="243"/>
        <v>1</v>
      </c>
      <c r="AA579" s="124">
        <f t="shared" si="220"/>
        <v>4.119368947774347E-5</v>
      </c>
      <c r="AB579" s="124">
        <f t="shared" si="244"/>
        <v>0</v>
      </c>
      <c r="AC579" s="124">
        <f t="shared" si="245"/>
        <v>0</v>
      </c>
    </row>
    <row r="580" spans="2:29" s="114" customFormat="1">
      <c r="B580" s="115">
        <f t="shared" si="221"/>
        <v>3.5599999999999419</v>
      </c>
      <c r="C580" s="124">
        <f t="shared" si="222"/>
        <v>3630.7805477005286</v>
      </c>
      <c r="D580" s="124">
        <f t="shared" si="223"/>
        <v>3915.1755361660871</v>
      </c>
      <c r="E580" s="124">
        <f t="shared" si="224"/>
        <v>1</v>
      </c>
      <c r="F580" s="124">
        <f t="shared" si="225"/>
        <v>1</v>
      </c>
      <c r="G580" s="124">
        <f t="shared" si="226"/>
        <v>3861.4020365637757</v>
      </c>
      <c r="H580" s="124">
        <f t="shared" si="227"/>
        <v>1</v>
      </c>
      <c r="I580" s="124">
        <f t="shared" si="228"/>
        <v>1</v>
      </c>
      <c r="J580" s="124">
        <f t="shared" si="229"/>
        <v>3.6074643156225984E-5</v>
      </c>
      <c r="K580" s="124">
        <f t="shared" si="230"/>
        <v>0</v>
      </c>
      <c r="L580" s="124">
        <f t="shared" si="231"/>
        <v>0</v>
      </c>
      <c r="M580" s="120"/>
      <c r="N580" s="132">
        <f t="shared" si="219"/>
        <v>22812.866990905412</v>
      </c>
      <c r="O580" s="124">
        <f t="shared" si="232"/>
        <v>2329735.6666674754</v>
      </c>
      <c r="P580" s="124">
        <f t="shared" si="233"/>
        <v>1</v>
      </c>
      <c r="Q580" s="124">
        <f t="shared" si="234"/>
        <v>1</v>
      </c>
      <c r="R580" s="124">
        <f t="shared" si="235"/>
        <v>2261025.8357622535</v>
      </c>
      <c r="S580" s="124">
        <f t="shared" si="236"/>
        <v>387959.52109887364</v>
      </c>
      <c r="T580" s="124">
        <f t="shared" si="237"/>
        <v>2294068.529925744</v>
      </c>
      <c r="U580" s="124">
        <f t="shared" si="238"/>
        <v>1</v>
      </c>
      <c r="V580" s="124">
        <f t="shared" si="239"/>
        <v>0</v>
      </c>
      <c r="W580" s="124">
        <f t="shared" si="240"/>
        <v>1</v>
      </c>
      <c r="X580" s="124">
        <f t="shared" si="241"/>
        <v>1</v>
      </c>
      <c r="Y580" s="124">
        <f t="shared" si="242"/>
        <v>0</v>
      </c>
      <c r="Z580" s="124">
        <f t="shared" si="243"/>
        <v>1</v>
      </c>
      <c r="AA580" s="124">
        <f t="shared" si="220"/>
        <v>4.4893500087545815E-5</v>
      </c>
      <c r="AB580" s="124">
        <f t="shared" si="244"/>
        <v>0</v>
      </c>
      <c r="AC580" s="124">
        <f t="shared" si="245"/>
        <v>0</v>
      </c>
    </row>
    <row r="581" spans="2:29" s="114" customFormat="1">
      <c r="B581" s="115">
        <f t="shared" si="221"/>
        <v>3.5799999999999419</v>
      </c>
      <c r="C581" s="124">
        <f t="shared" si="222"/>
        <v>3801.8939632051038</v>
      </c>
      <c r="D581" s="124">
        <f t="shared" si="223"/>
        <v>3875.0288177115103</v>
      </c>
      <c r="E581" s="124">
        <f t="shared" si="224"/>
        <v>1</v>
      </c>
      <c r="F581" s="124">
        <f t="shared" si="225"/>
        <v>1</v>
      </c>
      <c r="G581" s="124">
        <f t="shared" si="226"/>
        <v>3826.175683098098</v>
      </c>
      <c r="H581" s="124">
        <f t="shared" si="227"/>
        <v>1</v>
      </c>
      <c r="I581" s="124">
        <f t="shared" si="228"/>
        <v>1</v>
      </c>
      <c r="J581" s="124">
        <f t="shared" si="229"/>
        <v>3.0360423353391681E-5</v>
      </c>
      <c r="K581" s="124">
        <f t="shared" si="230"/>
        <v>0</v>
      </c>
      <c r="L581" s="124">
        <f t="shared" si="231"/>
        <v>0</v>
      </c>
      <c r="M581" s="120"/>
      <c r="N581" s="132">
        <f t="shared" si="219"/>
        <v>23888.004289065073</v>
      </c>
      <c r="O581" s="124">
        <f t="shared" si="232"/>
        <v>2341039.4662435581</v>
      </c>
      <c r="P581" s="124">
        <f t="shared" si="233"/>
        <v>1</v>
      </c>
      <c r="Q581" s="124">
        <f t="shared" si="234"/>
        <v>1</v>
      </c>
      <c r="R581" s="124">
        <f t="shared" si="235"/>
        <v>2271268.5630180128</v>
      </c>
      <c r="S581" s="124">
        <f t="shared" si="236"/>
        <v>383893.42263712065</v>
      </c>
      <c r="T581" s="124">
        <f t="shared" si="237"/>
        <v>2303483.2418096624</v>
      </c>
      <c r="U581" s="124">
        <f t="shared" si="238"/>
        <v>1</v>
      </c>
      <c r="V581" s="124">
        <f t="shared" si="239"/>
        <v>0</v>
      </c>
      <c r="W581" s="124">
        <f t="shared" si="240"/>
        <v>1</v>
      </c>
      <c r="X581" s="124">
        <f t="shared" si="241"/>
        <v>1</v>
      </c>
      <c r="Y581" s="124">
        <f t="shared" si="242"/>
        <v>0</v>
      </c>
      <c r="Z581" s="124">
        <f t="shared" si="243"/>
        <v>1</v>
      </c>
      <c r="AA581" s="124">
        <f t="shared" si="220"/>
        <v>4.9332055996285199E-5</v>
      </c>
      <c r="AB581" s="124">
        <f t="shared" si="244"/>
        <v>0</v>
      </c>
      <c r="AC581" s="124">
        <f t="shared" si="245"/>
        <v>0</v>
      </c>
    </row>
    <row r="582" spans="2:29" s="114" customFormat="1">
      <c r="B582" s="115">
        <f t="shared" si="221"/>
        <v>3.5999999999999419</v>
      </c>
      <c r="C582" s="124">
        <f t="shared" si="222"/>
        <v>3981.0717055344467</v>
      </c>
      <c r="D582" s="124">
        <f t="shared" si="223"/>
        <v>3835.6125417148128</v>
      </c>
      <c r="E582" s="124">
        <f t="shared" si="224"/>
        <v>1</v>
      </c>
      <c r="F582" s="124">
        <f t="shared" si="225"/>
        <v>1</v>
      </c>
      <c r="G582" s="124">
        <f t="shared" si="226"/>
        <v>3792.3223125741242</v>
      </c>
      <c r="H582" s="124">
        <f t="shared" si="227"/>
        <v>1</v>
      </c>
      <c r="I582" s="124">
        <f t="shared" si="228"/>
        <v>1</v>
      </c>
      <c r="J582" s="124">
        <f t="shared" si="229"/>
        <v>2.4299859234032302E-5</v>
      </c>
      <c r="K582" s="124">
        <f t="shared" si="230"/>
        <v>0</v>
      </c>
      <c r="L582" s="124">
        <f t="shared" si="231"/>
        <v>0</v>
      </c>
      <c r="M582" s="120"/>
      <c r="N582" s="132">
        <f t="shared" si="219"/>
        <v>25013.811247042413</v>
      </c>
      <c r="O582" s="124">
        <f t="shared" si="232"/>
        <v>2352287.0964186443</v>
      </c>
      <c r="P582" s="124">
        <f t="shared" si="233"/>
        <v>1</v>
      </c>
      <c r="Q582" s="124">
        <f t="shared" si="234"/>
        <v>1</v>
      </c>
      <c r="R582" s="124">
        <f t="shared" si="235"/>
        <v>2281200.8438945943</v>
      </c>
      <c r="S582" s="124">
        <f t="shared" si="236"/>
        <v>380042.93873466889</v>
      </c>
      <c r="T582" s="124">
        <f t="shared" si="237"/>
        <v>2312641.3309174194</v>
      </c>
      <c r="U582" s="124">
        <f t="shared" si="238"/>
        <v>1</v>
      </c>
      <c r="V582" s="124">
        <f t="shared" si="239"/>
        <v>0</v>
      </c>
      <c r="W582" s="124">
        <f t="shared" si="240"/>
        <v>1</v>
      </c>
      <c r="X582" s="124">
        <f t="shared" si="241"/>
        <v>1</v>
      </c>
      <c r="Y582" s="124">
        <f t="shared" si="242"/>
        <v>0</v>
      </c>
      <c r="Z582" s="124">
        <f t="shared" si="243"/>
        <v>1</v>
      </c>
      <c r="AA582" s="124">
        <f t="shared" si="220"/>
        <v>5.4494562790489942E-5</v>
      </c>
      <c r="AB582" s="124">
        <f t="shared" si="244"/>
        <v>0</v>
      </c>
      <c r="AC582" s="124">
        <f t="shared" si="245"/>
        <v>0</v>
      </c>
    </row>
    <row r="583" spans="2:29" s="114" customFormat="1">
      <c r="B583" s="115">
        <f t="shared" si="221"/>
        <v>3.6199999999999419</v>
      </c>
      <c r="C583" s="124">
        <f t="shared" si="222"/>
        <v>4168.6938347028026</v>
      </c>
      <c r="D583" s="124">
        <f t="shared" si="223"/>
        <v>3796.9113147831536</v>
      </c>
      <c r="E583" s="124">
        <f t="shared" si="224"/>
        <v>1</v>
      </c>
      <c r="F583" s="124">
        <f t="shared" si="225"/>
        <v>1</v>
      </c>
      <c r="G583" s="124">
        <f t="shared" si="226"/>
        <v>3759.706739655815</v>
      </c>
      <c r="H583" s="124">
        <f t="shared" si="227"/>
        <v>1</v>
      </c>
      <c r="I583" s="124">
        <f t="shared" si="228"/>
        <v>1</v>
      </c>
      <c r="J583" s="124">
        <f t="shared" si="229"/>
        <v>1.8288302126537952E-5</v>
      </c>
      <c r="K583" s="124">
        <f t="shared" si="230"/>
        <v>0</v>
      </c>
      <c r="L583" s="124">
        <f t="shared" si="231"/>
        <v>0</v>
      </c>
      <c r="M583" s="120"/>
      <c r="N583" s="132">
        <f t="shared" si="219"/>
        <v>26192.675852334778</v>
      </c>
      <c r="O583" s="124">
        <f t="shared" si="232"/>
        <v>2363478.1604719306</v>
      </c>
      <c r="P583" s="124">
        <f t="shared" si="233"/>
        <v>1</v>
      </c>
      <c r="Q583" s="124">
        <f t="shared" si="234"/>
        <v>1</v>
      </c>
      <c r="R583" s="124">
        <f t="shared" si="235"/>
        <v>2290854.1400073166</v>
      </c>
      <c r="S583" s="124">
        <f t="shared" si="236"/>
        <v>376434.34353546816</v>
      </c>
      <c r="T583" s="124">
        <f t="shared" si="237"/>
        <v>2321576.0822729114</v>
      </c>
      <c r="U583" s="124">
        <f t="shared" si="238"/>
        <v>1</v>
      </c>
      <c r="V583" s="124">
        <f t="shared" si="239"/>
        <v>0</v>
      </c>
      <c r="W583" s="124">
        <f t="shared" si="240"/>
        <v>1</v>
      </c>
      <c r="X583" s="124">
        <f t="shared" si="241"/>
        <v>1</v>
      </c>
      <c r="Y583" s="124">
        <f t="shared" si="242"/>
        <v>0</v>
      </c>
      <c r="Z583" s="124">
        <f t="shared" si="243"/>
        <v>1</v>
      </c>
      <c r="AA583" s="124">
        <f t="shared" si="220"/>
        <v>6.0352276120673317E-5</v>
      </c>
      <c r="AB583" s="124">
        <f t="shared" si="244"/>
        <v>0</v>
      </c>
      <c r="AC583" s="124">
        <f t="shared" si="245"/>
        <v>0</v>
      </c>
    </row>
    <row r="584" spans="2:29" s="114" customFormat="1">
      <c r="B584" s="115">
        <f t="shared" si="221"/>
        <v>3.6399999999999419</v>
      </c>
      <c r="C584" s="124">
        <f t="shared" si="222"/>
        <v>4365.158322401081</v>
      </c>
      <c r="D584" s="124">
        <f t="shared" si="223"/>
        <v>3758.9101055501105</v>
      </c>
      <c r="E584" s="124">
        <f t="shared" si="224"/>
        <v>1</v>
      </c>
      <c r="F584" s="124">
        <f t="shared" si="225"/>
        <v>1</v>
      </c>
      <c r="G584" s="124">
        <f t="shared" si="226"/>
        <v>3728.1887287715108</v>
      </c>
      <c r="H584" s="124">
        <f t="shared" si="227"/>
        <v>1</v>
      </c>
      <c r="I584" s="124">
        <f t="shared" si="228"/>
        <v>1</v>
      </c>
      <c r="J584" s="124">
        <f t="shared" si="229"/>
        <v>1.2702456192767874E-5</v>
      </c>
      <c r="K584" s="124">
        <f t="shared" si="230"/>
        <v>0</v>
      </c>
      <c r="L584" s="124">
        <f t="shared" si="231"/>
        <v>0</v>
      </c>
      <c r="M584" s="120"/>
      <c r="N584" s="132">
        <f t="shared" si="219"/>
        <v>27427.098634823164</v>
      </c>
      <c r="O584" s="124">
        <f t="shared" si="232"/>
        <v>2374612.2763525466</v>
      </c>
      <c r="P584" s="124">
        <f t="shared" si="233"/>
        <v>1</v>
      </c>
      <c r="Q584" s="124">
        <f t="shared" si="234"/>
        <v>1</v>
      </c>
      <c r="R584" s="124">
        <f t="shared" si="235"/>
        <v>2300262.1576485797</v>
      </c>
      <c r="S584" s="124">
        <f t="shared" si="236"/>
        <v>373089.77599741373</v>
      </c>
      <c r="T584" s="124">
        <f t="shared" si="237"/>
        <v>2330322.2899126853</v>
      </c>
      <c r="U584" s="124">
        <f t="shared" si="238"/>
        <v>1</v>
      </c>
      <c r="V584" s="124">
        <f t="shared" si="239"/>
        <v>0</v>
      </c>
      <c r="W584" s="124">
        <f t="shared" si="240"/>
        <v>1</v>
      </c>
      <c r="X584" s="124">
        <f t="shared" si="241"/>
        <v>1</v>
      </c>
      <c r="Y584" s="124">
        <f t="shared" si="242"/>
        <v>0</v>
      </c>
      <c r="Z584" s="124">
        <f t="shared" si="243"/>
        <v>1</v>
      </c>
      <c r="AA584" s="124">
        <f t="shared" si="220"/>
        <v>6.6858740391031175E-5</v>
      </c>
      <c r="AB584" s="124">
        <f t="shared" si="244"/>
        <v>0</v>
      </c>
      <c r="AC584" s="124">
        <f t="shared" si="245"/>
        <v>0</v>
      </c>
    </row>
    <row r="585" spans="2:29" s="114" customFormat="1">
      <c r="B585" s="115">
        <f t="shared" si="221"/>
        <v>3.659999999999942</v>
      </c>
      <c r="C585" s="124">
        <f t="shared" si="222"/>
        <v>4570.8818961481438</v>
      </c>
      <c r="D585" s="124">
        <f t="shared" si="223"/>
        <v>3721.5942355626994</v>
      </c>
      <c r="E585" s="124">
        <f t="shared" si="224"/>
        <v>1</v>
      </c>
      <c r="F585" s="124">
        <f t="shared" si="225"/>
        <v>1</v>
      </c>
      <c r="G585" s="124">
        <f t="shared" si="226"/>
        <v>3697.6256549669574</v>
      </c>
      <c r="H585" s="124">
        <f t="shared" si="227"/>
        <v>1</v>
      </c>
      <c r="I585" s="124">
        <f t="shared" si="228"/>
        <v>1</v>
      </c>
      <c r="J585" s="124">
        <f t="shared" si="229"/>
        <v>7.8740792637155061E-6</v>
      </c>
      <c r="K585" s="124">
        <f t="shared" si="230"/>
        <v>0</v>
      </c>
      <c r="L585" s="124">
        <f t="shared" si="231"/>
        <v>0</v>
      </c>
      <c r="M585" s="120"/>
      <c r="N585" s="132">
        <f t="shared" si="219"/>
        <v>28719.697970731184</v>
      </c>
      <c r="O585" s="124">
        <f t="shared" si="232"/>
        <v>2385689.0765497773</v>
      </c>
      <c r="P585" s="124">
        <f t="shared" si="233"/>
        <v>1</v>
      </c>
      <c r="Q585" s="124">
        <f t="shared" si="234"/>
        <v>1</v>
      </c>
      <c r="R585" s="124">
        <f t="shared" si="235"/>
        <v>2309460.3649056284</v>
      </c>
      <c r="S585" s="124">
        <f t="shared" si="236"/>
        <v>370027.13797910162</v>
      </c>
      <c r="T585" s="124">
        <f t="shared" si="237"/>
        <v>2338915.8300184817</v>
      </c>
      <c r="U585" s="124">
        <f t="shared" si="238"/>
        <v>1</v>
      </c>
      <c r="V585" s="124">
        <f t="shared" si="239"/>
        <v>0</v>
      </c>
      <c r="W585" s="124">
        <f t="shared" si="240"/>
        <v>1</v>
      </c>
      <c r="X585" s="124">
        <f t="shared" si="241"/>
        <v>1</v>
      </c>
      <c r="Y585" s="124">
        <f t="shared" si="242"/>
        <v>0</v>
      </c>
      <c r="Z585" s="124">
        <f t="shared" si="243"/>
        <v>1</v>
      </c>
      <c r="AA585" s="124">
        <f t="shared" si="220"/>
        <v>7.3947079920581196E-5</v>
      </c>
      <c r="AB585" s="124">
        <f t="shared" si="244"/>
        <v>0</v>
      </c>
      <c r="AC585" s="124">
        <f t="shared" si="245"/>
        <v>0</v>
      </c>
    </row>
    <row r="586" spans="2:29" s="114" customFormat="1">
      <c r="B586" s="115">
        <f t="shared" si="221"/>
        <v>3.679999999999942</v>
      </c>
      <c r="C586" s="124">
        <f t="shared" si="222"/>
        <v>4786.3009232257473</v>
      </c>
      <c r="D586" s="124">
        <f t="shared" si="223"/>
        <v>3684.9493704044594</v>
      </c>
      <c r="E586" s="124">
        <f t="shared" si="224"/>
        <v>1</v>
      </c>
      <c r="F586" s="124">
        <f t="shared" si="225"/>
        <v>1</v>
      </c>
      <c r="G586" s="124">
        <f t="shared" si="226"/>
        <v>3667.8751713874817</v>
      </c>
      <c r="H586" s="124">
        <f t="shared" si="227"/>
        <v>1</v>
      </c>
      <c r="I586" s="124">
        <f t="shared" si="228"/>
        <v>1</v>
      </c>
      <c r="J586" s="124">
        <f t="shared" si="229"/>
        <v>4.0682014320710241E-6</v>
      </c>
      <c r="K586" s="124">
        <f t="shared" si="230"/>
        <v>0</v>
      </c>
      <c r="L586" s="124">
        <f t="shared" si="231"/>
        <v>0</v>
      </c>
      <c r="M586" s="120"/>
      <c r="N586" s="132">
        <f t="shared" si="219"/>
        <v>30073.215636552104</v>
      </c>
      <c r="O586" s="124">
        <f t="shared" si="232"/>
        <v>2396708.2079599709</v>
      </c>
      <c r="P586" s="124">
        <f t="shared" si="233"/>
        <v>1</v>
      </c>
      <c r="Q586" s="124">
        <f t="shared" si="234"/>
        <v>1</v>
      </c>
      <c r="R586" s="124">
        <f t="shared" si="235"/>
        <v>2318485.5275822235</v>
      </c>
      <c r="S586" s="124">
        <f t="shared" si="236"/>
        <v>367260.03505655198</v>
      </c>
      <c r="T586" s="124">
        <f t="shared" si="237"/>
        <v>2347393.2510250518</v>
      </c>
      <c r="U586" s="124">
        <f t="shared" si="238"/>
        <v>1</v>
      </c>
      <c r="V586" s="124">
        <f t="shared" si="239"/>
        <v>0</v>
      </c>
      <c r="W586" s="124">
        <f t="shared" si="240"/>
        <v>1</v>
      </c>
      <c r="X586" s="124">
        <f t="shared" si="241"/>
        <v>1</v>
      </c>
      <c r="Y586" s="124">
        <f t="shared" si="242"/>
        <v>0</v>
      </c>
      <c r="Z586" s="124">
        <f t="shared" si="243"/>
        <v>1</v>
      </c>
      <c r="AA586" s="124">
        <f t="shared" si="220"/>
        <v>8.1528467778882398E-5</v>
      </c>
      <c r="AB586" s="124">
        <f t="shared" si="244"/>
        <v>0</v>
      </c>
      <c r="AC586" s="124">
        <f t="shared" si="245"/>
        <v>0</v>
      </c>
    </row>
    <row r="587" spans="2:29" s="114" customFormat="1">
      <c r="B587" s="115">
        <f t="shared" si="221"/>
        <v>3.699999999999942</v>
      </c>
      <c r="C587" s="124">
        <f t="shared" si="222"/>
        <v>5011.8723362720557</v>
      </c>
      <c r="D587" s="124">
        <f t="shared" si="223"/>
        <v>3648.9615110487366</v>
      </c>
      <c r="E587" s="124">
        <f t="shared" si="224"/>
        <v>1</v>
      </c>
      <c r="F587" s="124">
        <f t="shared" si="225"/>
        <v>1</v>
      </c>
      <c r="G587" s="124">
        <f t="shared" si="226"/>
        <v>3638.7978059801421</v>
      </c>
      <c r="H587" s="124">
        <f t="shared" si="227"/>
        <v>1</v>
      </c>
      <c r="I587" s="124">
        <f t="shared" si="228"/>
        <v>1</v>
      </c>
      <c r="J587" s="124">
        <f t="shared" si="229"/>
        <v>1.4673889444028383E-6</v>
      </c>
      <c r="K587" s="124">
        <f t="shared" si="230"/>
        <v>0</v>
      </c>
      <c r="L587" s="124">
        <f t="shared" si="231"/>
        <v>0</v>
      </c>
      <c r="M587" s="120"/>
      <c r="N587" s="132">
        <f t="shared" si="219"/>
        <v>31490.522624724406</v>
      </c>
      <c r="O587" s="124">
        <f t="shared" si="232"/>
        <v>2407669.3317500805</v>
      </c>
      <c r="P587" s="124">
        <f t="shared" si="233"/>
        <v>1</v>
      </c>
      <c r="Q587" s="124">
        <f t="shared" si="234"/>
        <v>1</v>
      </c>
      <c r="R587" s="124">
        <f t="shared" si="235"/>
        <v>2327375.2637736523</v>
      </c>
      <c r="S587" s="124">
        <f t="shared" si="236"/>
        <v>364797.75240296376</v>
      </c>
      <c r="T587" s="124">
        <f t="shared" si="237"/>
        <v>2355791.3784084809</v>
      </c>
      <c r="U587" s="124">
        <f t="shared" si="238"/>
        <v>1</v>
      </c>
      <c r="V587" s="124">
        <f t="shared" si="239"/>
        <v>0</v>
      </c>
      <c r="W587" s="124">
        <f t="shared" si="240"/>
        <v>1</v>
      </c>
      <c r="X587" s="124">
        <f t="shared" si="241"/>
        <v>1</v>
      </c>
      <c r="Y587" s="124">
        <f t="shared" si="242"/>
        <v>0</v>
      </c>
      <c r="Z587" s="124">
        <f t="shared" si="243"/>
        <v>1</v>
      </c>
      <c r="AA587" s="124">
        <f t="shared" si="220"/>
        <v>8.9491842641156735E-5</v>
      </c>
      <c r="AB587" s="124">
        <f t="shared" si="244"/>
        <v>0</v>
      </c>
      <c r="AC587" s="124">
        <f t="shared" si="245"/>
        <v>0</v>
      </c>
    </row>
    <row r="588" spans="2:29" s="114" customFormat="1">
      <c r="B588" s="115">
        <f t="shared" si="221"/>
        <v>3.719999999999942</v>
      </c>
      <c r="C588" s="124">
        <f t="shared" si="222"/>
        <v>5248.0746024970267</v>
      </c>
      <c r="D588" s="124">
        <f t="shared" si="223"/>
        <v>3613.6169854361397</v>
      </c>
      <c r="E588" s="124">
        <f t="shared" si="224"/>
        <v>1</v>
      </c>
      <c r="F588" s="124">
        <f t="shared" si="225"/>
        <v>1</v>
      </c>
      <c r="G588" s="124">
        <f t="shared" si="226"/>
        <v>3610.2594118727875</v>
      </c>
      <c r="H588" s="124">
        <f t="shared" si="227"/>
        <v>1</v>
      </c>
      <c r="I588" s="124">
        <f t="shared" si="228"/>
        <v>1</v>
      </c>
      <c r="J588" s="124">
        <f t="shared" si="229"/>
        <v>1.6298181014357486E-7</v>
      </c>
      <c r="K588" s="124">
        <f t="shared" si="230"/>
        <v>0</v>
      </c>
      <c r="L588" s="124">
        <f t="shared" si="231"/>
        <v>0</v>
      </c>
      <c r="M588" s="120"/>
      <c r="N588" s="132">
        <f t="shared" si="219"/>
        <v>32974.625233391664</v>
      </c>
      <c r="O588" s="124">
        <f t="shared" si="232"/>
        <v>2418572.1232181876</v>
      </c>
      <c r="P588" s="124">
        <f t="shared" si="233"/>
        <v>1</v>
      </c>
      <c r="Q588" s="124">
        <f t="shared" si="234"/>
        <v>1</v>
      </c>
      <c r="R588" s="124">
        <f t="shared" si="235"/>
        <v>2336167.6152489483</v>
      </c>
      <c r="S588" s="124">
        <f t="shared" si="236"/>
        <v>362645.25949262519</v>
      </c>
      <c r="T588" s="124">
        <f t="shared" si="237"/>
        <v>2364146.9308760045</v>
      </c>
      <c r="U588" s="124">
        <f t="shared" si="238"/>
        <v>1</v>
      </c>
      <c r="V588" s="124">
        <f t="shared" si="239"/>
        <v>0</v>
      </c>
      <c r="W588" s="124">
        <f t="shared" si="240"/>
        <v>1</v>
      </c>
      <c r="X588" s="124">
        <f t="shared" si="241"/>
        <v>1</v>
      </c>
      <c r="Y588" s="124">
        <f t="shared" si="242"/>
        <v>0</v>
      </c>
      <c r="Z588" s="124">
        <f t="shared" si="243"/>
        <v>1</v>
      </c>
      <c r="AA588" s="124">
        <f t="shared" si="220"/>
        <v>9.7704892856493206E-5</v>
      </c>
      <c r="AB588" s="124">
        <f t="shared" si="244"/>
        <v>0</v>
      </c>
      <c r="AC588" s="124">
        <f t="shared" si="245"/>
        <v>0</v>
      </c>
    </row>
    <row r="589" spans="2:29" s="114" customFormat="1">
      <c r="B589" s="115">
        <f t="shared" si="221"/>
        <v>3.739999999999942</v>
      </c>
      <c r="C589" s="124">
        <f t="shared" si="222"/>
        <v>5495.408738575512</v>
      </c>
      <c r="D589" s="124">
        <f t="shared" si="223"/>
        <v>3578.9024402704731</v>
      </c>
      <c r="E589" s="124">
        <f t="shared" si="224"/>
        <v>1</v>
      </c>
      <c r="F589" s="124">
        <f t="shared" si="225"/>
        <v>1</v>
      </c>
      <c r="G589" s="124">
        <f t="shared" si="226"/>
        <v>3582.1334014114045</v>
      </c>
      <c r="H589" s="124">
        <f t="shared" si="227"/>
        <v>1</v>
      </c>
      <c r="I589" s="124">
        <f t="shared" si="228"/>
        <v>1</v>
      </c>
      <c r="J589" s="124">
        <f t="shared" si="229"/>
        <v>1.5358204551349925E-7</v>
      </c>
      <c r="K589" s="124">
        <f t="shared" si="230"/>
        <v>0</v>
      </c>
      <c r="L589" s="124">
        <f t="shared" si="231"/>
        <v>0</v>
      </c>
      <c r="M589" s="120"/>
      <c r="N589" s="132">
        <f t="shared" si="219"/>
        <v>34528.671443163963</v>
      </c>
      <c r="O589" s="124">
        <f t="shared" si="232"/>
        <v>2429416.2716510789</v>
      </c>
      <c r="P589" s="124">
        <f t="shared" si="233"/>
        <v>1</v>
      </c>
      <c r="Q589" s="124">
        <f t="shared" si="234"/>
        <v>1</v>
      </c>
      <c r="R589" s="124">
        <f t="shared" si="235"/>
        <v>2344900.6325777206</v>
      </c>
      <c r="S589" s="124">
        <f t="shared" si="236"/>
        <v>360803.23907662625</v>
      </c>
      <c r="T589" s="124">
        <f t="shared" si="237"/>
        <v>2372496.1441468308</v>
      </c>
      <c r="U589" s="124">
        <f t="shared" si="238"/>
        <v>1</v>
      </c>
      <c r="V589" s="124">
        <f t="shared" si="239"/>
        <v>0</v>
      </c>
      <c r="W589" s="124">
        <f t="shared" si="240"/>
        <v>1</v>
      </c>
      <c r="X589" s="124">
        <f t="shared" si="241"/>
        <v>1</v>
      </c>
      <c r="Y589" s="124">
        <f t="shared" si="242"/>
        <v>0</v>
      </c>
      <c r="Z589" s="124">
        <f t="shared" si="243"/>
        <v>1</v>
      </c>
      <c r="AA589" s="124">
        <f t="shared" si="220"/>
        <v>1.0601627905555709E-4</v>
      </c>
      <c r="AB589" s="124">
        <f t="shared" si="244"/>
        <v>0</v>
      </c>
      <c r="AC589" s="124">
        <f t="shared" si="245"/>
        <v>0</v>
      </c>
    </row>
    <row r="590" spans="2:29" s="114" customFormat="1">
      <c r="B590" s="115">
        <f t="shared" si="221"/>
        <v>3.7599999999999421</v>
      </c>
      <c r="C590" s="124">
        <f t="shared" si="222"/>
        <v>5754.3993733708103</v>
      </c>
      <c r="D590" s="124">
        <f t="shared" si="223"/>
        <v>3544.8048330275187</v>
      </c>
      <c r="E590" s="124">
        <f t="shared" si="224"/>
        <v>1</v>
      </c>
      <c r="F590" s="124">
        <f t="shared" si="225"/>
        <v>1</v>
      </c>
      <c r="G590" s="124">
        <f t="shared" si="226"/>
        <v>3554.3027028798215</v>
      </c>
      <c r="H590" s="124">
        <f t="shared" si="227"/>
        <v>1</v>
      </c>
      <c r="I590" s="124">
        <f t="shared" si="228"/>
        <v>1</v>
      </c>
      <c r="J590" s="124">
        <f t="shared" si="229"/>
        <v>1.3504361370534869E-6</v>
      </c>
      <c r="K590" s="124">
        <f t="shared" si="230"/>
        <v>0</v>
      </c>
      <c r="L590" s="124">
        <f t="shared" si="231"/>
        <v>0</v>
      </c>
      <c r="M590" s="120"/>
      <c r="N590" s="132">
        <f t="shared" si="219"/>
        <v>36155.957594406893</v>
      </c>
      <c r="O590" s="124">
        <f t="shared" si="232"/>
        <v>2440201.4801790048</v>
      </c>
      <c r="P590" s="124">
        <f t="shared" si="233"/>
        <v>1</v>
      </c>
      <c r="Q590" s="124">
        <f t="shared" si="234"/>
        <v>1</v>
      </c>
      <c r="R590" s="124">
        <f t="shared" si="235"/>
        <v>2353611.9702160526</v>
      </c>
      <c r="S590" s="124">
        <f t="shared" si="236"/>
        <v>359268.13771717297</v>
      </c>
      <c r="T590" s="124">
        <f t="shared" si="237"/>
        <v>2380874.3984349645</v>
      </c>
      <c r="U590" s="124">
        <f t="shared" si="238"/>
        <v>1</v>
      </c>
      <c r="V590" s="124">
        <f t="shared" si="239"/>
        <v>0</v>
      </c>
      <c r="W590" s="124">
        <f t="shared" si="240"/>
        <v>1</v>
      </c>
      <c r="X590" s="124">
        <f t="shared" si="241"/>
        <v>1</v>
      </c>
      <c r="Y590" s="124">
        <f t="shared" si="242"/>
        <v>0</v>
      </c>
      <c r="Z590" s="124">
        <f t="shared" si="243"/>
        <v>1</v>
      </c>
      <c r="AA590" s="124">
        <f t="shared" si="220"/>
        <v>1.1425902127065487E-4</v>
      </c>
      <c r="AB590" s="124">
        <f t="shared" si="244"/>
        <v>0</v>
      </c>
      <c r="AC590" s="124">
        <f t="shared" si="245"/>
        <v>0</v>
      </c>
    </row>
    <row r="591" spans="2:29" s="114" customFormat="1">
      <c r="B591" s="115">
        <f t="shared" si="221"/>
        <v>3.7799999999999421</v>
      </c>
      <c r="C591" s="124">
        <f t="shared" si="222"/>
        <v>6025.595860742782</v>
      </c>
      <c r="D591" s="124">
        <f t="shared" si="223"/>
        <v>3511.3114241712369</v>
      </c>
      <c r="E591" s="124">
        <f t="shared" si="224"/>
        <v>1</v>
      </c>
      <c r="F591" s="124">
        <f t="shared" si="225"/>
        <v>1</v>
      </c>
      <c r="G591" s="124">
        <f t="shared" si="226"/>
        <v>3526.6613910869837</v>
      </c>
      <c r="H591" s="124">
        <f t="shared" si="227"/>
        <v>1</v>
      </c>
      <c r="I591" s="124">
        <f t="shared" si="228"/>
        <v>1</v>
      </c>
      <c r="J591" s="124">
        <f t="shared" si="229"/>
        <v>3.5888037389583636E-6</v>
      </c>
      <c r="K591" s="124">
        <f t="shared" si="230"/>
        <v>0</v>
      </c>
      <c r="L591" s="124">
        <f t="shared" si="231"/>
        <v>0</v>
      </c>
      <c r="M591" s="120"/>
      <c r="N591" s="132">
        <f t="shared" si="219"/>
        <v>37859.935379221177</v>
      </c>
      <c r="O591" s="124">
        <f t="shared" si="232"/>
        <v>2450927.4656277751</v>
      </c>
      <c r="P591" s="124">
        <f t="shared" si="233"/>
        <v>1</v>
      </c>
      <c r="Q591" s="124">
        <f t="shared" si="234"/>
        <v>1</v>
      </c>
      <c r="R591" s="124">
        <f t="shared" si="235"/>
        <v>2362338.4875376755</v>
      </c>
      <c r="S591" s="124">
        <f t="shared" si="236"/>
        <v>358032.23706068232</v>
      </c>
      <c r="T591" s="124">
        <f t="shared" si="237"/>
        <v>2389315.8461108631</v>
      </c>
      <c r="U591" s="124">
        <f t="shared" si="238"/>
        <v>1</v>
      </c>
      <c r="V591" s="124">
        <f t="shared" si="239"/>
        <v>0</v>
      </c>
      <c r="W591" s="124">
        <f t="shared" si="240"/>
        <v>1</v>
      </c>
      <c r="X591" s="124">
        <f t="shared" si="241"/>
        <v>1</v>
      </c>
      <c r="Y591" s="124">
        <f t="shared" si="242"/>
        <v>0</v>
      </c>
      <c r="Z591" s="124">
        <f t="shared" si="243"/>
        <v>1</v>
      </c>
      <c r="AA591" s="124">
        <f t="shared" si="220"/>
        <v>1.2225493292272263E-4</v>
      </c>
      <c r="AB591" s="124">
        <f t="shared" si="244"/>
        <v>0</v>
      </c>
      <c r="AC591" s="124">
        <f t="shared" si="245"/>
        <v>0</v>
      </c>
    </row>
    <row r="592" spans="2:29" s="114" customFormat="1">
      <c r="B592" s="115">
        <f t="shared" si="221"/>
        <v>3.7999999999999421</v>
      </c>
      <c r="C592" s="124">
        <f t="shared" si="222"/>
        <v>6309.573444801098</v>
      </c>
      <c r="D592" s="124">
        <f t="shared" si="223"/>
        <v>3478.4097695718865</v>
      </c>
      <c r="E592" s="124">
        <f t="shared" si="224"/>
        <v>1</v>
      </c>
      <c r="F592" s="124">
        <f t="shared" si="225"/>
        <v>1</v>
      </c>
      <c r="G592" s="124">
        <f t="shared" si="226"/>
        <v>3499.1159576346199</v>
      </c>
      <c r="H592" s="124">
        <f t="shared" si="227"/>
        <v>1</v>
      </c>
      <c r="I592" s="124">
        <f t="shared" si="228"/>
        <v>1</v>
      </c>
      <c r="J592" s="124">
        <f t="shared" si="229"/>
        <v>6.6439840164885812E-6</v>
      </c>
      <c r="K592" s="124">
        <f t="shared" si="230"/>
        <v>0</v>
      </c>
      <c r="L592" s="124">
        <f t="shared" si="231"/>
        <v>0</v>
      </c>
      <c r="M592" s="120"/>
      <c r="N592" s="132">
        <f t="shared" si="219"/>
        <v>39644.219162944748</v>
      </c>
      <c r="O592" s="124">
        <f t="shared" si="232"/>
        <v>2461593.958368443</v>
      </c>
      <c r="P592" s="124">
        <f t="shared" si="233"/>
        <v>1</v>
      </c>
      <c r="Q592" s="124">
        <f t="shared" si="234"/>
        <v>1</v>
      </c>
      <c r="R592" s="124">
        <f t="shared" si="235"/>
        <v>2371115.852054216</v>
      </c>
      <c r="S592" s="124">
        <f t="shared" si="236"/>
        <v>357083.74688454712</v>
      </c>
      <c r="T592" s="124">
        <f t="shared" si="237"/>
        <v>2397853.0368127022</v>
      </c>
      <c r="U592" s="124">
        <f t="shared" si="238"/>
        <v>1</v>
      </c>
      <c r="V592" s="124">
        <f t="shared" si="239"/>
        <v>0</v>
      </c>
      <c r="W592" s="124">
        <f t="shared" si="240"/>
        <v>1</v>
      </c>
      <c r="X592" s="124">
        <f t="shared" si="241"/>
        <v>1</v>
      </c>
      <c r="Y592" s="124">
        <f t="shared" si="242"/>
        <v>0</v>
      </c>
      <c r="Z592" s="124">
        <f t="shared" si="243"/>
        <v>1</v>
      </c>
      <c r="AA592" s="124">
        <f t="shared" si="220"/>
        <v>1.2981994167769002E-4</v>
      </c>
      <c r="AB592" s="124">
        <f t="shared" si="244"/>
        <v>0</v>
      </c>
      <c r="AC592" s="124">
        <f t="shared" si="245"/>
        <v>0</v>
      </c>
    </row>
    <row r="593" spans="2:29" s="114" customFormat="1">
      <c r="B593" s="115">
        <f t="shared" si="221"/>
        <v>3.8199999999999421</v>
      </c>
      <c r="C593" s="124">
        <f t="shared" si="222"/>
        <v>6606.934480075085</v>
      </c>
      <c r="D593" s="124">
        <f t="shared" si="223"/>
        <v>3446.0877131210946</v>
      </c>
      <c r="E593" s="124">
        <f t="shared" si="224"/>
        <v>1</v>
      </c>
      <c r="F593" s="124">
        <f t="shared" si="225"/>
        <v>1</v>
      </c>
      <c r="G593" s="124">
        <f t="shared" si="226"/>
        <v>3471.586202901934</v>
      </c>
      <c r="H593" s="124">
        <f t="shared" si="227"/>
        <v>1</v>
      </c>
      <c r="I593" s="124">
        <f t="shared" si="228"/>
        <v>1</v>
      </c>
      <c r="J593" s="124">
        <f t="shared" si="229"/>
        <v>1.0250411314153474E-5</v>
      </c>
      <c r="K593" s="124">
        <f t="shared" si="230"/>
        <v>0</v>
      </c>
      <c r="L593" s="124">
        <f t="shared" si="231"/>
        <v>0</v>
      </c>
      <c r="M593" s="120"/>
      <c r="N593" s="132">
        <f t="shared" si="219"/>
        <v>41512.593650705974</v>
      </c>
      <c r="O593" s="124">
        <f t="shared" si="232"/>
        <v>2472200.7021645564</v>
      </c>
      <c r="P593" s="124">
        <f t="shared" si="233"/>
        <v>1</v>
      </c>
      <c r="Q593" s="124">
        <f t="shared" si="234"/>
        <v>1</v>
      </c>
      <c r="R593" s="124">
        <f t="shared" si="235"/>
        <v>2379978.1417943104</v>
      </c>
      <c r="S593" s="124">
        <f t="shared" si="236"/>
        <v>356406.9226784624</v>
      </c>
      <c r="T593" s="124">
        <f t="shared" si="237"/>
        <v>2406516.5384746124</v>
      </c>
      <c r="U593" s="124">
        <f t="shared" si="238"/>
        <v>1</v>
      </c>
      <c r="V593" s="124">
        <f t="shared" si="239"/>
        <v>0</v>
      </c>
      <c r="W593" s="124">
        <f t="shared" si="240"/>
        <v>1</v>
      </c>
      <c r="X593" s="124">
        <f t="shared" si="241"/>
        <v>1</v>
      </c>
      <c r="Y593" s="124">
        <f t="shared" si="242"/>
        <v>0</v>
      </c>
      <c r="Z593" s="124">
        <f t="shared" si="243"/>
        <v>1</v>
      </c>
      <c r="AA593" s="124">
        <f t="shared" si="220"/>
        <v>1.3677009619256604E-4</v>
      </c>
      <c r="AB593" s="124">
        <f t="shared" si="244"/>
        <v>0</v>
      </c>
      <c r="AC593" s="124">
        <f t="shared" si="245"/>
        <v>0</v>
      </c>
    </row>
    <row r="594" spans="2:29" s="114" customFormat="1">
      <c r="B594" s="115">
        <f t="shared" si="221"/>
        <v>3.8399999999999421</v>
      </c>
      <c r="C594" s="124">
        <f t="shared" si="222"/>
        <v>6918.3097091884474</v>
      </c>
      <c r="D594" s="124">
        <f t="shared" si="223"/>
        <v>3414.3333795384988</v>
      </c>
      <c r="E594" s="124">
        <f t="shared" si="224"/>
        <v>1</v>
      </c>
      <c r="F594" s="124">
        <f t="shared" si="225"/>
        <v>1</v>
      </c>
      <c r="G594" s="124">
        <f t="shared" si="226"/>
        <v>3444.005748573994</v>
      </c>
      <c r="H594" s="124">
        <f t="shared" si="227"/>
        <v>1</v>
      </c>
      <c r="I594" s="124">
        <f t="shared" si="228"/>
        <v>1</v>
      </c>
      <c r="J594" s="124">
        <f t="shared" si="229"/>
        <v>1.4122141692486135E-5</v>
      </c>
      <c r="K594" s="124">
        <f t="shared" si="230"/>
        <v>0</v>
      </c>
      <c r="L594" s="124">
        <f t="shared" si="231"/>
        <v>0</v>
      </c>
      <c r="M594" s="120"/>
      <c r="N594" s="132">
        <f t="shared" si="219"/>
        <v>43469.02191529073</v>
      </c>
      <c r="O594" s="124">
        <f t="shared" si="232"/>
        <v>2482747.4540171777</v>
      </c>
      <c r="P594" s="124">
        <f t="shared" si="233"/>
        <v>1</v>
      </c>
      <c r="Q594" s="124">
        <f t="shared" si="234"/>
        <v>1</v>
      </c>
      <c r="R594" s="124">
        <f t="shared" si="235"/>
        <v>2388957.4449788001</v>
      </c>
      <c r="S594" s="124">
        <f t="shared" si="236"/>
        <v>355982.21202878677</v>
      </c>
      <c r="T594" s="124">
        <f t="shared" si="237"/>
        <v>2415334.5543010277</v>
      </c>
      <c r="U594" s="124">
        <f t="shared" si="238"/>
        <v>1</v>
      </c>
      <c r="V594" s="124">
        <f t="shared" si="239"/>
        <v>0</v>
      </c>
      <c r="W594" s="124">
        <f t="shared" si="240"/>
        <v>1</v>
      </c>
      <c r="X594" s="124">
        <f t="shared" si="241"/>
        <v>1</v>
      </c>
      <c r="Y594" s="124">
        <f t="shared" si="242"/>
        <v>0</v>
      </c>
      <c r="Z594" s="124">
        <f t="shared" si="243"/>
        <v>1</v>
      </c>
      <c r="AA594" s="124">
        <f t="shared" si="220"/>
        <v>1.4292801904600255E-4</v>
      </c>
      <c r="AB594" s="124">
        <f t="shared" si="244"/>
        <v>0</v>
      </c>
      <c r="AC594" s="124">
        <f t="shared" si="245"/>
        <v>0</v>
      </c>
    </row>
    <row r="595" spans="2:29" s="114" customFormat="1">
      <c r="B595" s="115">
        <f t="shared" si="221"/>
        <v>3.8599999999999421</v>
      </c>
      <c r="C595" s="124">
        <f t="shared" si="222"/>
        <v>7244.3596007489386</v>
      </c>
      <c r="D595" s="124">
        <f t="shared" si="223"/>
        <v>3383.1351673652184</v>
      </c>
      <c r="E595" s="124">
        <f t="shared" si="224"/>
        <v>1</v>
      </c>
      <c r="F595" s="124">
        <f t="shared" si="225"/>
        <v>1</v>
      </c>
      <c r="G595" s="124">
        <f t="shared" si="226"/>
        <v>3416.3221857881249</v>
      </c>
      <c r="H595" s="124">
        <f t="shared" si="227"/>
        <v>1</v>
      </c>
      <c r="I595" s="124">
        <f t="shared" si="228"/>
        <v>1</v>
      </c>
      <c r="J595" s="124">
        <f t="shared" si="229"/>
        <v>1.7973120076658766E-5</v>
      </c>
      <c r="K595" s="124">
        <f t="shared" si="230"/>
        <v>0</v>
      </c>
      <c r="L595" s="124">
        <f t="shared" si="231"/>
        <v>0</v>
      </c>
      <c r="M595" s="120"/>
      <c r="N595" s="132">
        <f t="shared" si="219"/>
        <v>45517.653803351102</v>
      </c>
      <c r="O595" s="124">
        <f t="shared" si="232"/>
        <v>2493233.9840079551</v>
      </c>
      <c r="P595" s="124">
        <f t="shared" si="233"/>
        <v>1</v>
      </c>
      <c r="Q595" s="124">
        <f t="shared" si="234"/>
        <v>1</v>
      </c>
      <c r="R595" s="124">
        <f t="shared" si="235"/>
        <v>2398083.4566992768</v>
      </c>
      <c r="S595" s="124">
        <f t="shared" si="236"/>
        <v>355786.43527267873</v>
      </c>
      <c r="T595" s="124">
        <f t="shared" si="237"/>
        <v>2424332.5375902522</v>
      </c>
      <c r="U595" s="124">
        <f t="shared" si="238"/>
        <v>1</v>
      </c>
      <c r="V595" s="124">
        <f t="shared" si="239"/>
        <v>0</v>
      </c>
      <c r="W595" s="124">
        <f t="shared" si="240"/>
        <v>1</v>
      </c>
      <c r="X595" s="124">
        <f t="shared" si="241"/>
        <v>1</v>
      </c>
      <c r="Y595" s="124">
        <f t="shared" si="242"/>
        <v>0</v>
      </c>
      <c r="Z595" s="124">
        <f t="shared" si="243"/>
        <v>1</v>
      </c>
      <c r="AA595" s="124">
        <f t="shared" si="220"/>
        <v>1.4812953143878652E-4</v>
      </c>
      <c r="AB595" s="124">
        <f t="shared" si="244"/>
        <v>0</v>
      </c>
      <c r="AC595" s="124">
        <f t="shared" si="245"/>
        <v>0</v>
      </c>
    </row>
    <row r="596" spans="2:29" s="114" customFormat="1">
      <c r="B596" s="115">
        <f t="shared" si="221"/>
        <v>3.8799999999999422</v>
      </c>
      <c r="C596" s="124">
        <f t="shared" si="222"/>
        <v>7585.7757502908289</v>
      </c>
      <c r="D596" s="124">
        <f t="shared" si="223"/>
        <v>3352.481742139199</v>
      </c>
      <c r="E596" s="124">
        <f t="shared" si="224"/>
        <v>1</v>
      </c>
      <c r="F596" s="124">
        <f t="shared" si="225"/>
        <v>1</v>
      </c>
      <c r="G596" s="124">
        <f t="shared" si="226"/>
        <v>3388.4968885866938</v>
      </c>
      <c r="H596" s="124">
        <f t="shared" si="227"/>
        <v>1</v>
      </c>
      <c r="I596" s="124">
        <f t="shared" si="228"/>
        <v>1</v>
      </c>
      <c r="J596" s="124">
        <f t="shared" si="229"/>
        <v>2.1535816788851381E-5</v>
      </c>
      <c r="K596" s="124">
        <f t="shared" si="230"/>
        <v>0</v>
      </c>
      <c r="L596" s="124">
        <f t="shared" si="231"/>
        <v>0</v>
      </c>
      <c r="M596" s="120"/>
      <c r="N596" s="132">
        <f t="shared" si="219"/>
        <v>47662.834737786536</v>
      </c>
      <c r="O596" s="124">
        <f t="shared" si="232"/>
        <v>2503660.0751400962</v>
      </c>
      <c r="P596" s="124">
        <f t="shared" si="233"/>
        <v>1</v>
      </c>
      <c r="Q596" s="124">
        <f t="shared" si="234"/>
        <v>1</v>
      </c>
      <c r="R596" s="124">
        <f t="shared" si="235"/>
        <v>2407383.074224669</v>
      </c>
      <c r="S596" s="124">
        <f t="shared" si="236"/>
        <v>355793.00668569654</v>
      </c>
      <c r="T596" s="124">
        <f t="shared" si="237"/>
        <v>2433532.8084227396</v>
      </c>
      <c r="U596" s="124">
        <f t="shared" si="238"/>
        <v>1</v>
      </c>
      <c r="V596" s="124">
        <f t="shared" si="239"/>
        <v>0</v>
      </c>
      <c r="W596" s="124">
        <f t="shared" si="240"/>
        <v>1</v>
      </c>
      <c r="X596" s="124">
        <f t="shared" si="241"/>
        <v>1</v>
      </c>
      <c r="Y596" s="124">
        <f t="shared" si="242"/>
        <v>0</v>
      </c>
      <c r="Z596" s="124">
        <f t="shared" si="243"/>
        <v>1</v>
      </c>
      <c r="AA596" s="124">
        <f t="shared" si="220"/>
        <v>1.5223014719157951E-4</v>
      </c>
      <c r="AB596" s="124">
        <f t="shared" si="244"/>
        <v>0</v>
      </c>
      <c r="AC596" s="124">
        <f t="shared" si="245"/>
        <v>0</v>
      </c>
    </row>
    <row r="597" spans="2:29" s="114" customFormat="1">
      <c r="B597" s="115">
        <f t="shared" si="221"/>
        <v>3.8999999999999422</v>
      </c>
      <c r="C597" s="124">
        <f t="shared" si="222"/>
        <v>7943.2823472417713</v>
      </c>
      <c r="D597" s="124">
        <f t="shared" si="223"/>
        <v>3322.3620297476818</v>
      </c>
      <c r="E597" s="124">
        <f t="shared" si="224"/>
        <v>1</v>
      </c>
      <c r="F597" s="124">
        <f t="shared" si="225"/>
        <v>1</v>
      </c>
      <c r="G597" s="124">
        <f t="shared" si="226"/>
        <v>3360.5045343735223</v>
      </c>
      <c r="H597" s="124">
        <f t="shared" si="227"/>
        <v>1</v>
      </c>
      <c r="I597" s="124">
        <f t="shared" si="228"/>
        <v>1</v>
      </c>
      <c r="J597" s="124">
        <f t="shared" si="229"/>
        <v>2.4577113855947787E-5</v>
      </c>
      <c r="K597" s="124">
        <f t="shared" si="230"/>
        <v>0</v>
      </c>
      <c r="L597" s="124">
        <f t="shared" si="231"/>
        <v>0</v>
      </c>
      <c r="M597" s="120"/>
      <c r="N597" s="132">
        <f t="shared" si="219"/>
        <v>49909.114934968471</v>
      </c>
      <c r="O597" s="124">
        <f t="shared" si="232"/>
        <v>2514025.5231776848</v>
      </c>
      <c r="P597" s="124">
        <f t="shared" si="233"/>
        <v>1</v>
      </c>
      <c r="Q597" s="124">
        <f t="shared" si="234"/>
        <v>1</v>
      </c>
      <c r="R597" s="124">
        <f t="shared" si="235"/>
        <v>2416879.9947497561</v>
      </c>
      <c r="S597" s="124">
        <f t="shared" si="236"/>
        <v>355972.20277157647</v>
      </c>
      <c r="T597" s="124">
        <f t="shared" si="237"/>
        <v>2442954.1784830163</v>
      </c>
      <c r="U597" s="124">
        <f t="shared" si="238"/>
        <v>1</v>
      </c>
      <c r="V597" s="124">
        <f t="shared" si="239"/>
        <v>0</v>
      </c>
      <c r="W597" s="124">
        <f t="shared" si="240"/>
        <v>1</v>
      </c>
      <c r="X597" s="124">
        <f t="shared" si="241"/>
        <v>1</v>
      </c>
      <c r="Y597" s="124">
        <f t="shared" si="242"/>
        <v>0</v>
      </c>
      <c r="Z597" s="124">
        <f t="shared" si="243"/>
        <v>1</v>
      </c>
      <c r="AA597" s="124">
        <f t="shared" si="220"/>
        <v>1.5511111551521844E-4</v>
      </c>
      <c r="AB597" s="124">
        <f t="shared" si="244"/>
        <v>0</v>
      </c>
      <c r="AC597" s="124">
        <f t="shared" si="245"/>
        <v>0</v>
      </c>
    </row>
    <row r="598" spans="2:29" s="114" customFormat="1">
      <c r="B598" s="115">
        <f t="shared" si="221"/>
        <v>3.9199999999999422</v>
      </c>
      <c r="C598" s="124">
        <f t="shared" si="222"/>
        <v>8317.6377110256162</v>
      </c>
      <c r="D598" s="124">
        <f t="shared" si="223"/>
        <v>3292.7652099522647</v>
      </c>
      <c r="E598" s="124">
        <f t="shared" si="224"/>
        <v>1</v>
      </c>
      <c r="F598" s="124">
        <f t="shared" si="225"/>
        <v>1</v>
      </c>
      <c r="G598" s="124">
        <f t="shared" si="226"/>
        <v>3332.332381718224</v>
      </c>
      <c r="H598" s="124">
        <f t="shared" si="227"/>
        <v>1</v>
      </c>
      <c r="I598" s="124">
        <f t="shared" si="228"/>
        <v>1</v>
      </c>
      <c r="J598" s="124">
        <f t="shared" si="229"/>
        <v>2.6910663000890288E-5</v>
      </c>
      <c r="K598" s="124">
        <f t="shared" si="230"/>
        <v>0</v>
      </c>
      <c r="L598" s="124">
        <f t="shared" si="231"/>
        <v>0</v>
      </c>
      <c r="M598" s="120"/>
      <c r="N598" s="132">
        <f t="shared" si="219"/>
        <v>52261.259056358998</v>
      </c>
      <c r="O598" s="124">
        <f t="shared" si="232"/>
        <v>2524330.1364832064</v>
      </c>
      <c r="P598" s="124">
        <f t="shared" si="233"/>
        <v>1</v>
      </c>
      <c r="Q598" s="124">
        <f t="shared" si="234"/>
        <v>1</v>
      </c>
      <c r="R598" s="124">
        <f t="shared" si="235"/>
        <v>2426594.3217590684</v>
      </c>
      <c r="S598" s="124">
        <f t="shared" si="236"/>
        <v>356291.48395189381</v>
      </c>
      <c r="T598" s="124">
        <f t="shared" si="237"/>
        <v>2452611.5925539443</v>
      </c>
      <c r="U598" s="124">
        <f t="shared" si="238"/>
        <v>1</v>
      </c>
      <c r="V598" s="124">
        <f t="shared" si="239"/>
        <v>0</v>
      </c>
      <c r="W598" s="124">
        <f t="shared" si="240"/>
        <v>1</v>
      </c>
      <c r="X598" s="124">
        <f t="shared" si="241"/>
        <v>1</v>
      </c>
      <c r="Y598" s="124">
        <f t="shared" si="242"/>
        <v>0</v>
      </c>
      <c r="Z598" s="124">
        <f t="shared" si="243"/>
        <v>1</v>
      </c>
      <c r="AA598" s="124">
        <f t="shared" si="220"/>
        <v>1.5668468773554482E-4</v>
      </c>
      <c r="AB598" s="124">
        <f t="shared" si="244"/>
        <v>0</v>
      </c>
      <c r="AC598" s="124">
        <f t="shared" si="245"/>
        <v>0</v>
      </c>
    </row>
    <row r="599" spans="2:29" s="114" customFormat="1">
      <c r="B599" s="115">
        <f t="shared" si="221"/>
        <v>3.9399999999999422</v>
      </c>
      <c r="C599" s="124">
        <f t="shared" si="222"/>
        <v>8709.6358995596584</v>
      </c>
      <c r="D599" s="124">
        <f t="shared" si="223"/>
        <v>3263.680710082017</v>
      </c>
      <c r="E599" s="124">
        <f t="shared" si="224"/>
        <v>1</v>
      </c>
      <c r="F599" s="124">
        <f t="shared" si="225"/>
        <v>1</v>
      </c>
      <c r="G599" s="124">
        <f t="shared" si="226"/>
        <v>3303.9793606744697</v>
      </c>
      <c r="H599" s="124">
        <f t="shared" si="227"/>
        <v>1</v>
      </c>
      <c r="I599" s="124">
        <f t="shared" si="228"/>
        <v>1</v>
      </c>
      <c r="J599" s="124">
        <f t="shared" si="229"/>
        <v>2.8405287530947097E-5</v>
      </c>
      <c r="K599" s="124">
        <f t="shared" si="230"/>
        <v>0</v>
      </c>
      <c r="L599" s="124">
        <f t="shared" si="231"/>
        <v>0</v>
      </c>
      <c r="M599" s="120"/>
      <c r="N599" s="132">
        <f t="shared" si="219"/>
        <v>54724.256314997103</v>
      </c>
      <c r="O599" s="124">
        <f t="shared" si="232"/>
        <v>2534573.7358536045</v>
      </c>
      <c r="P599" s="124">
        <f t="shared" si="233"/>
        <v>1</v>
      </c>
      <c r="Q599" s="124">
        <f t="shared" si="234"/>
        <v>1</v>
      </c>
      <c r="R599" s="124">
        <f t="shared" si="235"/>
        <v>2436542.1885801116</v>
      </c>
      <c r="S599" s="124">
        <f t="shared" si="236"/>
        <v>356715.87503664562</v>
      </c>
      <c r="T599" s="124">
        <f t="shared" si="237"/>
        <v>2462515.7973572314</v>
      </c>
      <c r="U599" s="124">
        <f t="shared" si="238"/>
        <v>1</v>
      </c>
      <c r="V599" s="124">
        <f t="shared" si="239"/>
        <v>0</v>
      </c>
      <c r="W599" s="124">
        <f t="shared" si="240"/>
        <v>1</v>
      </c>
      <c r="X599" s="124">
        <f t="shared" si="241"/>
        <v>1</v>
      </c>
      <c r="Y599" s="124">
        <f t="shared" si="242"/>
        <v>0</v>
      </c>
      <c r="Z599" s="124">
        <f t="shared" si="243"/>
        <v>1</v>
      </c>
      <c r="AA599" s="124">
        <f t="shared" si="220"/>
        <v>1.5689829632809714E-4</v>
      </c>
      <c r="AB599" s="124">
        <f t="shared" si="244"/>
        <v>0</v>
      </c>
      <c r="AC599" s="124">
        <f t="shared" si="245"/>
        <v>0</v>
      </c>
    </row>
    <row r="600" spans="2:29" s="114" customFormat="1">
      <c r="B600" s="115">
        <f t="shared" si="221"/>
        <v>3.9599999999999422</v>
      </c>
      <c r="C600" s="124">
        <f t="shared" si="222"/>
        <v>9120.1083935578936</v>
      </c>
      <c r="D600" s="124">
        <f t="shared" si="223"/>
        <v>3235.0981988902076</v>
      </c>
      <c r="E600" s="124">
        <f t="shared" si="224"/>
        <v>1</v>
      </c>
      <c r="F600" s="124">
        <f t="shared" si="225"/>
        <v>1</v>
      </c>
      <c r="G600" s="124">
        <f t="shared" si="226"/>
        <v>3275.4550316517575</v>
      </c>
      <c r="H600" s="124">
        <f t="shared" si="227"/>
        <v>1</v>
      </c>
      <c r="I600" s="124">
        <f t="shared" si="228"/>
        <v>1</v>
      </c>
      <c r="J600" s="124">
        <f t="shared" si="229"/>
        <v>2.8989324853461185E-5</v>
      </c>
      <c r="K600" s="124">
        <f t="shared" si="230"/>
        <v>0</v>
      </c>
      <c r="L600" s="124">
        <f t="shared" si="231"/>
        <v>0</v>
      </c>
      <c r="M600" s="120"/>
      <c r="N600" s="132">
        <f t="shared" si="219"/>
        <v>57303.331058288175</v>
      </c>
      <c r="O600" s="124">
        <f t="shared" si="232"/>
        <v>2544756.1543549015</v>
      </c>
      <c r="P600" s="124">
        <f t="shared" si="233"/>
        <v>1</v>
      </c>
      <c r="Q600" s="124">
        <f t="shared" si="234"/>
        <v>1</v>
      </c>
      <c r="R600" s="124">
        <f t="shared" si="235"/>
        <v>2446735.409982644</v>
      </c>
      <c r="S600" s="124">
        <f t="shared" si="236"/>
        <v>357208.40824972762</v>
      </c>
      <c r="T600" s="124">
        <f t="shared" si="237"/>
        <v>2472673.0502408203</v>
      </c>
      <c r="U600" s="124">
        <f t="shared" si="238"/>
        <v>1</v>
      </c>
      <c r="V600" s="124">
        <f t="shared" si="239"/>
        <v>0</v>
      </c>
      <c r="W600" s="124">
        <f t="shared" si="240"/>
        <v>1</v>
      </c>
      <c r="X600" s="124">
        <f t="shared" si="241"/>
        <v>1</v>
      </c>
      <c r="Y600" s="124">
        <f t="shared" si="242"/>
        <v>0</v>
      </c>
      <c r="Z600" s="124">
        <f t="shared" si="243"/>
        <v>1</v>
      </c>
      <c r="AA600" s="124">
        <f t="shared" si="220"/>
        <v>1.5573736829295365E-4</v>
      </c>
      <c r="AB600" s="124">
        <f t="shared" si="244"/>
        <v>0</v>
      </c>
      <c r="AC600" s="124">
        <f t="shared" si="245"/>
        <v>0</v>
      </c>
    </row>
    <row r="601" spans="2:29" s="114" customFormat="1">
      <c r="B601" s="115">
        <f t="shared" si="221"/>
        <v>3.9799999999999423</v>
      </c>
      <c r="C601" s="124">
        <f t="shared" si="222"/>
        <v>9549.9258602130976</v>
      </c>
      <c r="D601" s="124">
        <f t="shared" si="223"/>
        <v>3207.0075805705005</v>
      </c>
      <c r="E601" s="124">
        <f t="shared" si="224"/>
        <v>1</v>
      </c>
      <c r="F601" s="124">
        <f t="shared" si="225"/>
        <v>1</v>
      </c>
      <c r="G601" s="124">
        <f t="shared" si="226"/>
        <v>3246.7784660346351</v>
      </c>
      <c r="H601" s="124">
        <f t="shared" si="227"/>
        <v>1</v>
      </c>
      <c r="I601" s="124">
        <f t="shared" si="228"/>
        <v>1</v>
      </c>
      <c r="J601" s="124">
        <f t="shared" si="229"/>
        <v>2.8651080320496003E-5</v>
      </c>
      <c r="K601" s="124">
        <f t="shared" si="230"/>
        <v>0</v>
      </c>
      <c r="L601" s="124">
        <f t="shared" si="231"/>
        <v>0</v>
      </c>
      <c r="M601" s="120"/>
      <c r="N601" s="132">
        <f t="shared" si="219"/>
        <v>60003.953849545309</v>
      </c>
      <c r="O601" s="124">
        <f t="shared" si="232"/>
        <v>2554877.2371554975</v>
      </c>
      <c r="P601" s="124">
        <f t="shared" si="233"/>
        <v>1</v>
      </c>
      <c r="Q601" s="124">
        <f t="shared" si="234"/>
        <v>1</v>
      </c>
      <c r="R601" s="124">
        <f t="shared" si="235"/>
        <v>2457181.1746617798</v>
      </c>
      <c r="S601" s="124">
        <f t="shared" si="236"/>
        <v>357730.63027807535</v>
      </c>
      <c r="T601" s="124">
        <f t="shared" si="237"/>
        <v>2483084.8815438012</v>
      </c>
      <c r="U601" s="124">
        <f t="shared" si="238"/>
        <v>1</v>
      </c>
      <c r="V601" s="124">
        <f t="shared" si="239"/>
        <v>0</v>
      </c>
      <c r="W601" s="124">
        <f t="shared" si="240"/>
        <v>1</v>
      </c>
      <c r="X601" s="124">
        <f t="shared" si="241"/>
        <v>1</v>
      </c>
      <c r="Y601" s="124">
        <f t="shared" si="242"/>
        <v>0</v>
      </c>
      <c r="Z601" s="124">
        <f t="shared" si="243"/>
        <v>1</v>
      </c>
      <c r="AA601" s="124">
        <f t="shared" si="220"/>
        <v>1.5322655080109331E-4</v>
      </c>
      <c r="AB601" s="124">
        <f t="shared" si="244"/>
        <v>0</v>
      </c>
      <c r="AC601" s="124">
        <f t="shared" si="245"/>
        <v>0</v>
      </c>
    </row>
    <row r="602" spans="2:29" s="114" customFormat="1">
      <c r="B602" s="115">
        <f t="shared" si="221"/>
        <v>3.9999999999999423</v>
      </c>
      <c r="C602" s="124">
        <f t="shared" si="222"/>
        <v>9999.9999999986758</v>
      </c>
      <c r="D602" s="124">
        <f t="shared" si="223"/>
        <v>3179.3989889282975</v>
      </c>
      <c r="E602" s="124">
        <f t="shared" si="224"/>
        <v>1</v>
      </c>
      <c r="F602" s="124">
        <f t="shared" si="225"/>
        <v>1</v>
      </c>
      <c r="G602" s="124">
        <f t="shared" si="226"/>
        <v>3217.9770957300266</v>
      </c>
      <c r="H602" s="124">
        <f t="shared" si="227"/>
        <v>1</v>
      </c>
      <c r="I602" s="124">
        <f t="shared" si="228"/>
        <v>1</v>
      </c>
      <c r="J602" s="124">
        <f t="shared" si="229"/>
        <v>2.7435772936819164E-5</v>
      </c>
      <c r="K602" s="124">
        <f t="shared" si="230"/>
        <v>0</v>
      </c>
      <c r="L602" s="124">
        <f t="shared" si="231"/>
        <v>0</v>
      </c>
      <c r="M602" s="120"/>
      <c r="N602" s="132">
        <f t="shared" si="219"/>
        <v>62831.85307178754</v>
      </c>
      <c r="O602" s="124">
        <f t="shared" si="232"/>
        <v>2564936.841358366</v>
      </c>
      <c r="P602" s="124">
        <f t="shared" si="233"/>
        <v>1</v>
      </c>
      <c r="Q602" s="124">
        <f t="shared" si="234"/>
        <v>1</v>
      </c>
      <c r="R602" s="124">
        <f t="shared" si="235"/>
        <v>2467881.7929207464</v>
      </c>
      <c r="S602" s="124">
        <f t="shared" si="236"/>
        <v>358243.17185145395</v>
      </c>
      <c r="T602" s="124">
        <f t="shared" si="237"/>
        <v>2493747.9251135043</v>
      </c>
      <c r="U602" s="124">
        <f t="shared" si="238"/>
        <v>1</v>
      </c>
      <c r="V602" s="124">
        <f t="shared" si="239"/>
        <v>0</v>
      </c>
      <c r="W602" s="124">
        <f t="shared" si="240"/>
        <v>1</v>
      </c>
      <c r="X602" s="124">
        <f t="shared" si="241"/>
        <v>1</v>
      </c>
      <c r="Y602" s="124">
        <f t="shared" si="242"/>
        <v>0</v>
      </c>
      <c r="Z602" s="124">
        <f t="shared" si="243"/>
        <v>1</v>
      </c>
      <c r="AA602" s="124">
        <f t="shared" si="220"/>
        <v>1.4942920490402408E-4</v>
      </c>
      <c r="AB602" s="124">
        <f t="shared" si="244"/>
        <v>0</v>
      </c>
      <c r="AC602" s="124">
        <f t="shared" si="245"/>
        <v>0</v>
      </c>
    </row>
    <row r="603" spans="2:29" s="114" customFormat="1">
      <c r="B603" s="115">
        <f t="shared" si="221"/>
        <v>4.0199999999999418</v>
      </c>
      <c r="C603" s="124">
        <f t="shared" si="222"/>
        <v>10471.285480507608</v>
      </c>
      <c r="D603" s="124">
        <f t="shared" si="223"/>
        <v>3152.2627817032562</v>
      </c>
      <c r="E603" s="124">
        <f t="shared" si="224"/>
        <v>1</v>
      </c>
      <c r="F603" s="124">
        <f t="shared" si="225"/>
        <v>1</v>
      </c>
      <c r="G603" s="124">
        <f t="shared" si="226"/>
        <v>3189.0855704487635</v>
      </c>
      <c r="H603" s="124">
        <f t="shared" si="227"/>
        <v>1</v>
      </c>
      <c r="I603" s="124">
        <f t="shared" si="228"/>
        <v>1</v>
      </c>
      <c r="J603" s="124">
        <f t="shared" si="229"/>
        <v>2.5439496242740789E-5</v>
      </c>
      <c r="K603" s="124">
        <f t="shared" si="230"/>
        <v>0</v>
      </c>
      <c r="L603" s="124">
        <f t="shared" si="231"/>
        <v>0</v>
      </c>
      <c r="M603" s="120"/>
      <c r="N603" s="132">
        <f t="shared" si="219"/>
        <v>65793.02707840834</v>
      </c>
      <c r="O603" s="124">
        <f t="shared" si="232"/>
        <v>2574934.8358320948</v>
      </c>
      <c r="P603" s="124">
        <f t="shared" si="233"/>
        <v>1</v>
      </c>
      <c r="Q603" s="124">
        <f t="shared" si="234"/>
        <v>1</v>
      </c>
      <c r="R603" s="124">
        <f t="shared" si="235"/>
        <v>2478834.5146396197</v>
      </c>
      <c r="S603" s="124">
        <f t="shared" si="236"/>
        <v>358706.37484297575</v>
      </c>
      <c r="T603" s="124">
        <f t="shared" si="237"/>
        <v>2504653.8312352924</v>
      </c>
      <c r="U603" s="124">
        <f t="shared" si="238"/>
        <v>1</v>
      </c>
      <c r="V603" s="124">
        <f t="shared" si="239"/>
        <v>0</v>
      </c>
      <c r="W603" s="124">
        <f t="shared" si="240"/>
        <v>1</v>
      </c>
      <c r="X603" s="124">
        <f t="shared" si="241"/>
        <v>1</v>
      </c>
      <c r="Y603" s="124">
        <f t="shared" si="242"/>
        <v>0</v>
      </c>
      <c r="Z603" s="124">
        <f t="shared" si="243"/>
        <v>1</v>
      </c>
      <c r="AA603" s="124">
        <f t="shared" si="220"/>
        <v>1.444451201592452E-4</v>
      </c>
      <c r="AB603" s="124">
        <f t="shared" si="244"/>
        <v>0</v>
      </c>
      <c r="AC603" s="124">
        <f t="shared" si="245"/>
        <v>0</v>
      </c>
    </row>
    <row r="604" spans="2:29" s="114" customFormat="1">
      <c r="B604" s="115">
        <f t="shared" si="221"/>
        <v>4.0399999999999414</v>
      </c>
      <c r="C604" s="124">
        <f t="shared" si="222"/>
        <v>10964.781961430375</v>
      </c>
      <c r="D604" s="124">
        <f t="shared" si="223"/>
        <v>3125.5895350390133</v>
      </c>
      <c r="E604" s="124">
        <f t="shared" si="224"/>
        <v>1</v>
      </c>
      <c r="F604" s="124">
        <f t="shared" si="225"/>
        <v>1</v>
      </c>
      <c r="G604" s="124">
        <f t="shared" si="226"/>
        <v>3160.1446517566706</v>
      </c>
      <c r="H604" s="124">
        <f t="shared" si="227"/>
        <v>1</v>
      </c>
      <c r="I604" s="124">
        <f t="shared" si="228"/>
        <v>1</v>
      </c>
      <c r="J604" s="124">
        <f t="shared" si="229"/>
        <v>2.2800799179292851E-5</v>
      </c>
      <c r="K604" s="124">
        <f t="shared" si="230"/>
        <v>0</v>
      </c>
      <c r="L604" s="124">
        <f t="shared" si="231"/>
        <v>0</v>
      </c>
      <c r="M604" s="120"/>
      <c r="N604" s="132">
        <f t="shared" si="219"/>
        <v>68893.756916487095</v>
      </c>
      <c r="O604" s="124">
        <f t="shared" si="232"/>
        <v>2584871.1010410842</v>
      </c>
      <c r="P604" s="124">
        <f t="shared" si="233"/>
        <v>1</v>
      </c>
      <c r="Q604" s="124">
        <f t="shared" si="234"/>
        <v>1</v>
      </c>
      <c r="R604" s="124">
        <f t="shared" si="235"/>
        <v>2490031.432490401</v>
      </c>
      <c r="S604" s="124">
        <f t="shared" si="236"/>
        <v>359080.96797629062</v>
      </c>
      <c r="T604" s="124">
        <f t="shared" si="237"/>
        <v>2515789.2750294069</v>
      </c>
      <c r="U604" s="124">
        <f t="shared" si="238"/>
        <v>1</v>
      </c>
      <c r="V604" s="124">
        <f t="shared" si="239"/>
        <v>0</v>
      </c>
      <c r="W604" s="124">
        <f t="shared" si="240"/>
        <v>1</v>
      </c>
      <c r="X604" s="124">
        <f t="shared" si="241"/>
        <v>1</v>
      </c>
      <c r="Y604" s="124">
        <f t="shared" si="242"/>
        <v>0</v>
      </c>
      <c r="Z604" s="124">
        <f t="shared" si="243"/>
        <v>1</v>
      </c>
      <c r="AA604" s="124">
        <f t="shared" si="220"/>
        <v>1.3840651378493765E-4</v>
      </c>
      <c r="AB604" s="124">
        <f t="shared" si="244"/>
        <v>0</v>
      </c>
      <c r="AC604" s="124">
        <f t="shared" si="245"/>
        <v>0</v>
      </c>
    </row>
    <row r="605" spans="2:29" s="114" customFormat="1">
      <c r="B605" s="115">
        <f t="shared" si="221"/>
        <v>4.059999999999941</v>
      </c>
      <c r="C605" s="124">
        <f t="shared" si="222"/>
        <v>11481.53621496728</v>
      </c>
      <c r="D605" s="124">
        <f t="shared" si="223"/>
        <v>3099.3700380962214</v>
      </c>
      <c r="E605" s="124">
        <f t="shared" si="224"/>
        <v>1</v>
      </c>
      <c r="F605" s="124">
        <f t="shared" si="225"/>
        <v>1</v>
      </c>
      <c r="G605" s="124">
        <f t="shared" si="226"/>
        <v>3131.200162774664</v>
      </c>
      <c r="H605" s="124">
        <f t="shared" si="227"/>
        <v>1</v>
      </c>
      <c r="I605" s="124">
        <f t="shared" si="228"/>
        <v>1</v>
      </c>
      <c r="J605" s="124">
        <f t="shared" si="229"/>
        <v>1.9690523499561174E-5</v>
      </c>
      <c r="K605" s="124">
        <f t="shared" si="230"/>
        <v>0</v>
      </c>
      <c r="L605" s="124">
        <f t="shared" si="231"/>
        <v>0</v>
      </c>
      <c r="M605" s="120"/>
      <c r="N605" s="132">
        <f t="shared" si="219"/>
        <v>72140.619649732733</v>
      </c>
      <c r="O605" s="124">
        <f t="shared" si="232"/>
        <v>2594745.5288748546</v>
      </c>
      <c r="P605" s="124">
        <f t="shared" si="233"/>
        <v>1</v>
      </c>
      <c r="Q605" s="124">
        <f t="shared" si="234"/>
        <v>1</v>
      </c>
      <c r="R605" s="124">
        <f t="shared" si="235"/>
        <v>2501459.484186443</v>
      </c>
      <c r="S605" s="124">
        <f t="shared" si="236"/>
        <v>359328.77816833591</v>
      </c>
      <c r="T605" s="124">
        <f t="shared" si="237"/>
        <v>2527136.0710983202</v>
      </c>
      <c r="U605" s="124">
        <f t="shared" si="238"/>
        <v>1</v>
      </c>
      <c r="V605" s="124">
        <f t="shared" si="239"/>
        <v>0</v>
      </c>
      <c r="W605" s="124">
        <f t="shared" si="240"/>
        <v>1</v>
      </c>
      <c r="X605" s="124">
        <f t="shared" si="241"/>
        <v>1</v>
      </c>
      <c r="Y605" s="124">
        <f t="shared" si="242"/>
        <v>0</v>
      </c>
      <c r="Z605" s="124">
        <f t="shared" si="243"/>
        <v>1</v>
      </c>
      <c r="AA605" s="124">
        <f t="shared" si="220"/>
        <v>1.3147249429223167E-4</v>
      </c>
      <c r="AB605" s="124">
        <f t="shared" si="244"/>
        <v>0</v>
      </c>
      <c r="AC605" s="124">
        <f t="shared" si="245"/>
        <v>0</v>
      </c>
    </row>
    <row r="606" spans="2:29" s="114" customFormat="1">
      <c r="B606" s="115">
        <f t="shared" si="221"/>
        <v>4.0799999999999406</v>
      </c>
      <c r="C606" s="124">
        <f t="shared" si="222"/>
        <v>12022.644346172487</v>
      </c>
      <c r="D606" s="124">
        <f t="shared" si="223"/>
        <v>3073.5952878051385</v>
      </c>
      <c r="E606" s="124">
        <f t="shared" si="224"/>
        <v>1</v>
      </c>
      <c r="F606" s="124">
        <f t="shared" si="225"/>
        <v>1</v>
      </c>
      <c r="G606" s="124">
        <f t="shared" si="226"/>
        <v>3102.3020028099645</v>
      </c>
      <c r="H606" s="124">
        <f t="shared" si="227"/>
        <v>1</v>
      </c>
      <c r="I606" s="124">
        <f t="shared" si="228"/>
        <v>1</v>
      </c>
      <c r="J606" s="124">
        <f t="shared" si="229"/>
        <v>1.6300530373524795E-5</v>
      </c>
      <c r="K606" s="124">
        <f t="shared" si="230"/>
        <v>0</v>
      </c>
      <c r="L606" s="124">
        <f t="shared" si="231"/>
        <v>0</v>
      </c>
      <c r="M606" s="120"/>
      <c r="N606" s="132">
        <f t="shared" si="219"/>
        <v>75540.502309316696</v>
      </c>
      <c r="O606" s="124">
        <f t="shared" si="232"/>
        <v>2604558.022476648</v>
      </c>
      <c r="P606" s="124">
        <f t="shared" si="233"/>
        <v>1</v>
      </c>
      <c r="Q606" s="124">
        <f t="shared" si="234"/>
        <v>1</v>
      </c>
      <c r="R606" s="124">
        <f t="shared" si="235"/>
        <v>2513100.565249152</v>
      </c>
      <c r="S606" s="124">
        <f t="shared" si="236"/>
        <v>359413.46061867144</v>
      </c>
      <c r="T606" s="124">
        <f t="shared" si="237"/>
        <v>2538671.4018812077</v>
      </c>
      <c r="U606" s="124">
        <f t="shared" si="238"/>
        <v>1</v>
      </c>
      <c r="V606" s="124">
        <f t="shared" si="239"/>
        <v>0</v>
      </c>
      <c r="W606" s="124">
        <f t="shared" si="240"/>
        <v>1</v>
      </c>
      <c r="X606" s="124">
        <f t="shared" si="241"/>
        <v>1</v>
      </c>
      <c r="Y606" s="124">
        <f t="shared" si="242"/>
        <v>0</v>
      </c>
      <c r="Z606" s="124">
        <f t="shared" si="243"/>
        <v>1</v>
      </c>
      <c r="AA606" s="124">
        <f t="shared" si="220"/>
        <v>1.2382228130819041E-4</v>
      </c>
      <c r="AB606" s="124">
        <f t="shared" si="244"/>
        <v>0</v>
      </c>
      <c r="AC606" s="124">
        <f t="shared" si="245"/>
        <v>0</v>
      </c>
    </row>
    <row r="607" spans="2:29" s="114" customFormat="1">
      <c r="B607" s="115">
        <f t="shared" si="221"/>
        <v>4.0999999999999401</v>
      </c>
      <c r="C607" s="124">
        <f t="shared" si="222"/>
        <v>12589.254117939949</v>
      </c>
      <c r="D607" s="124">
        <f t="shared" si="223"/>
        <v>3048.2564837541304</v>
      </c>
      <c r="E607" s="124">
        <f t="shared" si="224"/>
        <v>1</v>
      </c>
      <c r="F607" s="124">
        <f t="shared" si="225"/>
        <v>1</v>
      </c>
      <c r="G607" s="124">
        <f t="shared" si="226"/>
        <v>3073.5032279409352</v>
      </c>
      <c r="H607" s="124">
        <f t="shared" si="227"/>
        <v>1</v>
      </c>
      <c r="I607" s="124">
        <f t="shared" si="228"/>
        <v>1</v>
      </c>
      <c r="J607" s="124">
        <f t="shared" si="229"/>
        <v>1.2831922846947699E-5</v>
      </c>
      <c r="K607" s="124">
        <f t="shared" si="230"/>
        <v>0</v>
      </c>
      <c r="L607" s="124">
        <f t="shared" si="231"/>
        <v>0</v>
      </c>
      <c r="M607" s="120"/>
      <c r="N607" s="132">
        <f t="shared" si="219"/>
        <v>79100.616502190387</v>
      </c>
      <c r="O607" s="124">
        <f t="shared" si="232"/>
        <v>2614308.4960714458</v>
      </c>
      <c r="P607" s="124">
        <f t="shared" si="233"/>
        <v>1</v>
      </c>
      <c r="Q607" s="124">
        <f t="shared" si="234"/>
        <v>1</v>
      </c>
      <c r="R607" s="124">
        <f t="shared" si="235"/>
        <v>2524931.7603376429</v>
      </c>
      <c r="S607" s="124">
        <f t="shared" si="236"/>
        <v>359301.22730922431</v>
      </c>
      <c r="T607" s="124">
        <f t="shared" si="237"/>
        <v>2550368.162894852</v>
      </c>
      <c r="U607" s="124">
        <f t="shared" si="238"/>
        <v>1</v>
      </c>
      <c r="V607" s="124">
        <f t="shared" si="239"/>
        <v>0</v>
      </c>
      <c r="W607" s="124">
        <f t="shared" si="240"/>
        <v>1</v>
      </c>
      <c r="X607" s="124">
        <f t="shared" si="241"/>
        <v>1</v>
      </c>
      <c r="Y607" s="124">
        <f t="shared" si="242"/>
        <v>0</v>
      </c>
      <c r="Z607" s="124">
        <f t="shared" si="243"/>
        <v>1</v>
      </c>
      <c r="AA607" s="124">
        <f t="shared" si="220"/>
        <v>1.1564756934479303E-4</v>
      </c>
      <c r="AB607" s="124">
        <f t="shared" si="244"/>
        <v>0</v>
      </c>
      <c r="AC607" s="124">
        <f t="shared" si="245"/>
        <v>0</v>
      </c>
    </row>
    <row r="608" spans="2:29" s="114" customFormat="1">
      <c r="B608" s="115">
        <f t="shared" si="221"/>
        <v>4.1199999999999397</v>
      </c>
      <c r="C608" s="124">
        <f t="shared" si="222"/>
        <v>13182.567385562264</v>
      </c>
      <c r="D608" s="124">
        <f t="shared" si="223"/>
        <v>3023.3450232104642</v>
      </c>
      <c r="E608" s="124">
        <f t="shared" si="224"/>
        <v>1</v>
      </c>
      <c r="F608" s="124">
        <f t="shared" si="225"/>
        <v>1</v>
      </c>
      <c r="G608" s="124">
        <f t="shared" si="226"/>
        <v>3044.8591922020864</v>
      </c>
      <c r="H608" s="124">
        <f t="shared" si="227"/>
        <v>1</v>
      </c>
      <c r="I608" s="124">
        <f t="shared" si="228"/>
        <v>1</v>
      </c>
      <c r="J608" s="124">
        <f t="shared" si="229"/>
        <v>9.4833336150803402E-6</v>
      </c>
      <c r="K608" s="124">
        <f t="shared" si="230"/>
        <v>0</v>
      </c>
      <c r="L608" s="124">
        <f t="shared" si="231"/>
        <v>0</v>
      </c>
      <c r="M608" s="120"/>
      <c r="N608" s="132">
        <f t="shared" si="219"/>
        <v>82828.513707869628</v>
      </c>
      <c r="O608" s="124">
        <f t="shared" si="232"/>
        <v>2623996.8747934378</v>
      </c>
      <c r="P608" s="124">
        <f t="shared" si="233"/>
        <v>1</v>
      </c>
      <c r="Q608" s="124">
        <f t="shared" si="234"/>
        <v>1</v>
      </c>
      <c r="R608" s="124">
        <f t="shared" si="235"/>
        <v>2536925.6967221317</v>
      </c>
      <c r="S608" s="124">
        <f t="shared" si="236"/>
        <v>358961.55094452668</v>
      </c>
      <c r="T608" s="124">
        <f t="shared" si="237"/>
        <v>2562195.4230201826</v>
      </c>
      <c r="U608" s="124">
        <f t="shared" si="238"/>
        <v>1</v>
      </c>
      <c r="V608" s="124">
        <f t="shared" si="239"/>
        <v>0</v>
      </c>
      <c r="W608" s="124">
        <f t="shared" si="240"/>
        <v>1</v>
      </c>
      <c r="X608" s="124">
        <f t="shared" si="241"/>
        <v>1</v>
      </c>
      <c r="Y608" s="124">
        <f t="shared" si="242"/>
        <v>0</v>
      </c>
      <c r="Z608" s="124">
        <f t="shared" si="243"/>
        <v>1</v>
      </c>
      <c r="AA608" s="124">
        <f t="shared" si="220"/>
        <v>1.0714449283242815E-4</v>
      </c>
      <c r="AB608" s="124">
        <f t="shared" si="244"/>
        <v>0</v>
      </c>
      <c r="AC608" s="124">
        <f t="shared" si="245"/>
        <v>0</v>
      </c>
    </row>
    <row r="609" spans="2:29" s="114" customFormat="1">
      <c r="B609" s="115">
        <f t="shared" si="221"/>
        <v>4.1399999999999393</v>
      </c>
      <c r="C609" s="124">
        <f t="shared" si="222"/>
        <v>13803.842646026929</v>
      </c>
      <c r="D609" s="124">
        <f t="shared" si="223"/>
        <v>2998.8524962699844</v>
      </c>
      <c r="E609" s="124">
        <f t="shared" si="224"/>
        <v>1</v>
      </c>
      <c r="F609" s="124">
        <f t="shared" si="225"/>
        <v>1</v>
      </c>
      <c r="G609" s="124">
        <f t="shared" si="226"/>
        <v>3016.4267398038273</v>
      </c>
      <c r="H609" s="124">
        <f t="shared" si="227"/>
        <v>1</v>
      </c>
      <c r="I609" s="124">
        <f t="shared" si="228"/>
        <v>1</v>
      </c>
      <c r="J609" s="124">
        <f t="shared" si="229"/>
        <v>6.4398059461117236E-6</v>
      </c>
      <c r="K609" s="124">
        <f t="shared" si="230"/>
        <v>0</v>
      </c>
      <c r="L609" s="124">
        <f t="shared" si="231"/>
        <v>0</v>
      </c>
      <c r="M609" s="120"/>
      <c r="N609" s="132">
        <f t="shared" si="219"/>
        <v>86732.101296135384</v>
      </c>
      <c r="O609" s="124">
        <f t="shared" si="232"/>
        <v>2633623.0945131537</v>
      </c>
      <c r="P609" s="124">
        <f t="shared" si="233"/>
        <v>1</v>
      </c>
      <c r="Q609" s="124">
        <f t="shared" si="234"/>
        <v>1</v>
      </c>
      <c r="R609" s="124">
        <f t="shared" si="235"/>
        <v>2549051.0182054355</v>
      </c>
      <c r="S609" s="124">
        <f t="shared" si="236"/>
        <v>358367.81986072758</v>
      </c>
      <c r="T609" s="124">
        <f t="shared" si="237"/>
        <v>2574118.9925343189</v>
      </c>
      <c r="U609" s="124">
        <f t="shared" si="238"/>
        <v>1</v>
      </c>
      <c r="V609" s="124">
        <f t="shared" si="239"/>
        <v>0</v>
      </c>
      <c r="W609" s="124">
        <f t="shared" si="240"/>
        <v>1</v>
      </c>
      <c r="X609" s="124">
        <f t="shared" si="241"/>
        <v>1</v>
      </c>
      <c r="Y609" s="124">
        <f t="shared" si="242"/>
        <v>0</v>
      </c>
      <c r="Z609" s="124">
        <f t="shared" si="243"/>
        <v>1</v>
      </c>
      <c r="AA609" s="124">
        <f t="shared" si="220"/>
        <v>9.8505683993775715E-5</v>
      </c>
      <c r="AB609" s="124">
        <f t="shared" si="244"/>
        <v>0</v>
      </c>
      <c r="AC609" s="124">
        <f t="shared" si="245"/>
        <v>0</v>
      </c>
    </row>
    <row r="610" spans="2:29" s="114" customFormat="1">
      <c r="B610" s="115">
        <f t="shared" si="221"/>
        <v>4.1599999999999389</v>
      </c>
      <c r="C610" s="124">
        <f t="shared" si="222"/>
        <v>14454.397707457263</v>
      </c>
      <c r="D610" s="124">
        <f t="shared" si="223"/>
        <v>2974.7706811321455</v>
      </c>
      <c r="E610" s="124">
        <f t="shared" si="224"/>
        <v>1</v>
      </c>
      <c r="F610" s="124">
        <f t="shared" si="225"/>
        <v>1</v>
      </c>
      <c r="G610" s="124">
        <f t="shared" si="226"/>
        <v>2988.2634367948717</v>
      </c>
      <c r="H610" s="124">
        <f t="shared" si="227"/>
        <v>1</v>
      </c>
      <c r="I610" s="124">
        <f t="shared" si="228"/>
        <v>1</v>
      </c>
      <c r="J610" s="124">
        <f t="shared" si="229"/>
        <v>3.862751943382794E-6</v>
      </c>
      <c r="K610" s="124">
        <f t="shared" si="230"/>
        <v>0</v>
      </c>
      <c r="L610" s="124">
        <f t="shared" si="231"/>
        <v>0</v>
      </c>
      <c r="M610" s="120"/>
      <c r="N610" s="132">
        <f t="shared" si="219"/>
        <v>90819.659299625768</v>
      </c>
      <c r="O610" s="124">
        <f t="shared" si="232"/>
        <v>2643187.1016641832</v>
      </c>
      <c r="P610" s="124">
        <f t="shared" si="233"/>
        <v>1</v>
      </c>
      <c r="Q610" s="124">
        <f t="shared" si="234"/>
        <v>1</v>
      </c>
      <c r="R610" s="124">
        <f t="shared" si="235"/>
        <v>2561272.9720303393</v>
      </c>
      <c r="S610" s="124">
        <f t="shared" si="236"/>
        <v>357497.91931666603</v>
      </c>
      <c r="T610" s="124">
        <f t="shared" si="237"/>
        <v>2586102.0860686982</v>
      </c>
      <c r="U610" s="124">
        <f t="shared" si="238"/>
        <v>1</v>
      </c>
      <c r="V610" s="124">
        <f t="shared" si="239"/>
        <v>0</v>
      </c>
      <c r="W610" s="124">
        <f t="shared" si="240"/>
        <v>1</v>
      </c>
      <c r="X610" s="124">
        <f t="shared" si="241"/>
        <v>1</v>
      </c>
      <c r="Y610" s="124">
        <f t="shared" si="242"/>
        <v>0</v>
      </c>
      <c r="Z610" s="124">
        <f t="shared" si="243"/>
        <v>1</v>
      </c>
      <c r="AA610" s="124">
        <f t="shared" si="220"/>
        <v>8.9912908638924589E-5</v>
      </c>
      <c r="AB610" s="124">
        <f t="shared" si="244"/>
        <v>0</v>
      </c>
      <c r="AC610" s="124">
        <f t="shared" si="245"/>
        <v>0</v>
      </c>
    </row>
    <row r="611" spans="2:29" s="114" customFormat="1">
      <c r="B611" s="115">
        <f t="shared" si="221"/>
        <v>4.1799999999999384</v>
      </c>
      <c r="C611" s="124">
        <f t="shared" si="222"/>
        <v>15135.612484359945</v>
      </c>
      <c r="D611" s="124">
        <f t="shared" si="223"/>
        <v>2951.0915394972867</v>
      </c>
      <c r="E611" s="124">
        <f t="shared" si="224"/>
        <v>1</v>
      </c>
      <c r="F611" s="124">
        <f t="shared" si="225"/>
        <v>1</v>
      </c>
      <c r="G611" s="124">
        <f t="shared" si="226"/>
        <v>2960.4268305348369</v>
      </c>
      <c r="H611" s="124">
        <f t="shared" si="227"/>
        <v>1</v>
      </c>
      <c r="I611" s="124">
        <f t="shared" si="228"/>
        <v>1</v>
      </c>
      <c r="J611" s="124">
        <f t="shared" si="229"/>
        <v>1.8814252711548554E-6</v>
      </c>
      <c r="K611" s="124">
        <f t="shared" si="230"/>
        <v>0</v>
      </c>
      <c r="L611" s="124">
        <f t="shared" si="231"/>
        <v>0</v>
      </c>
      <c r="M611" s="120"/>
      <c r="N611" s="132">
        <f t="shared" si="219"/>
        <v>95099.857976894316</v>
      </c>
      <c r="O611" s="124">
        <f t="shared" si="232"/>
        <v>2652688.8530698032</v>
      </c>
      <c r="P611" s="124">
        <f t="shared" si="233"/>
        <v>1</v>
      </c>
      <c r="Q611" s="124">
        <f t="shared" si="234"/>
        <v>1</v>
      </c>
      <c r="R611" s="124">
        <f t="shared" si="235"/>
        <v>2573554.0954597145</v>
      </c>
      <c r="S611" s="124">
        <f t="shared" si="236"/>
        <v>356334.71600577678</v>
      </c>
      <c r="T611" s="124">
        <f t="shared" si="237"/>
        <v>2598106.0625171536</v>
      </c>
      <c r="U611" s="124">
        <f t="shared" si="238"/>
        <v>1</v>
      </c>
      <c r="V611" s="124">
        <f t="shared" si="239"/>
        <v>0</v>
      </c>
      <c r="W611" s="124">
        <f t="shared" si="240"/>
        <v>1</v>
      </c>
      <c r="X611" s="124">
        <f t="shared" si="241"/>
        <v>1</v>
      </c>
      <c r="Y611" s="124">
        <f t="shared" si="242"/>
        <v>0</v>
      </c>
      <c r="Z611" s="124">
        <f t="shared" si="243"/>
        <v>1</v>
      </c>
      <c r="AA611" s="124">
        <f t="shared" si="220"/>
        <v>8.153071672555987E-5</v>
      </c>
      <c r="AB611" s="124">
        <f t="shared" si="244"/>
        <v>0</v>
      </c>
      <c r="AC611" s="124">
        <f t="shared" si="245"/>
        <v>0</v>
      </c>
    </row>
    <row r="612" spans="2:29" s="114" customFormat="1">
      <c r="B612" s="115">
        <f t="shared" si="221"/>
        <v>4.199999999999938</v>
      </c>
      <c r="C612" s="124">
        <f t="shared" si="222"/>
        <v>15848.931924608894</v>
      </c>
      <c r="D612" s="124">
        <f t="shared" si="223"/>
        <v>2927.8072120827142</v>
      </c>
      <c r="E612" s="124">
        <f t="shared" si="224"/>
        <v>1</v>
      </c>
      <c r="F612" s="124">
        <f t="shared" si="225"/>
        <v>1</v>
      </c>
      <c r="G612" s="124">
        <f t="shared" si="226"/>
        <v>2932.9737269334873</v>
      </c>
      <c r="H612" s="124">
        <f t="shared" si="227"/>
        <v>1</v>
      </c>
      <c r="I612" s="124">
        <f t="shared" si="228"/>
        <v>1</v>
      </c>
      <c r="J612" s="124">
        <f t="shared" si="229"/>
        <v>5.862909970879027E-7</v>
      </c>
      <c r="K612" s="124">
        <f t="shared" si="230"/>
        <v>0</v>
      </c>
      <c r="L612" s="124">
        <f t="shared" si="231"/>
        <v>0</v>
      </c>
      <c r="M612" s="120"/>
      <c r="N612" s="132">
        <f t="shared" si="219"/>
        <v>99581.776203192087</v>
      </c>
      <c r="O612" s="124">
        <f t="shared" si="232"/>
        <v>2662128.315769427</v>
      </c>
      <c r="P612" s="124">
        <f t="shared" si="233"/>
        <v>1</v>
      </c>
      <c r="Q612" s="124">
        <f t="shared" si="234"/>
        <v>1</v>
      </c>
      <c r="R612" s="124">
        <f t="shared" si="235"/>
        <v>2585854.9832359073</v>
      </c>
      <c r="S612" s="124">
        <f t="shared" si="236"/>
        <v>354866.4256163878</v>
      </c>
      <c r="T612" s="124">
        <f t="shared" si="237"/>
        <v>2610091.219546881</v>
      </c>
      <c r="U612" s="124">
        <f t="shared" si="238"/>
        <v>1</v>
      </c>
      <c r="V612" s="124">
        <f t="shared" si="239"/>
        <v>0</v>
      </c>
      <c r="W612" s="124">
        <f t="shared" si="240"/>
        <v>1</v>
      </c>
      <c r="X612" s="124">
        <f t="shared" si="241"/>
        <v>1</v>
      </c>
      <c r="Y612" s="124">
        <f t="shared" si="242"/>
        <v>0</v>
      </c>
      <c r="Z612" s="124">
        <f t="shared" si="243"/>
        <v>1</v>
      </c>
      <c r="AA612" s="124">
        <f t="shared" si="220"/>
        <v>7.350145844337804E-5</v>
      </c>
      <c r="AB612" s="124">
        <f t="shared" si="244"/>
        <v>0</v>
      </c>
      <c r="AC612" s="124">
        <f t="shared" si="245"/>
        <v>0</v>
      </c>
    </row>
    <row r="613" spans="2:29" s="114" customFormat="1">
      <c r="B613" s="115">
        <f t="shared" si="221"/>
        <v>4.2199999999999376</v>
      </c>
      <c r="C613" s="124">
        <f t="shared" si="222"/>
        <v>16595.869074373226</v>
      </c>
      <c r="D613" s="124">
        <f t="shared" si="223"/>
        <v>2904.9100142546281</v>
      </c>
      <c r="E613" s="124">
        <f t="shared" si="224"/>
        <v>1</v>
      </c>
      <c r="F613" s="124">
        <f t="shared" si="225"/>
        <v>1</v>
      </c>
      <c r="G613" s="124">
        <f t="shared" si="226"/>
        <v>2905.9594781881892</v>
      </c>
      <c r="H613" s="124">
        <f t="shared" si="227"/>
        <v>1</v>
      </c>
      <c r="I613" s="124">
        <f t="shared" si="228"/>
        <v>1</v>
      </c>
      <c r="J613" s="124">
        <f t="shared" si="229"/>
        <v>2.4608288861135103E-8</v>
      </c>
      <c r="K613" s="124">
        <f t="shared" si="230"/>
        <v>0</v>
      </c>
      <c r="L613" s="124">
        <f t="shared" si="231"/>
        <v>0</v>
      </c>
      <c r="M613" s="120"/>
      <c r="N613" s="132">
        <f t="shared" si="219"/>
        <v>104274.92072797794</v>
      </c>
      <c r="O613" s="124">
        <f t="shared" si="232"/>
        <v>2671505.4668449876</v>
      </c>
      <c r="P613" s="124">
        <f t="shared" si="233"/>
        <v>1</v>
      </c>
      <c r="Q613" s="124">
        <f t="shared" si="234"/>
        <v>1</v>
      </c>
      <c r="R613" s="124">
        <f t="shared" si="235"/>
        <v>2598135.1124735526</v>
      </c>
      <c r="S613" s="124">
        <f t="shared" si="236"/>
        <v>353086.8476961375</v>
      </c>
      <c r="T613" s="124">
        <f t="shared" si="237"/>
        <v>2622017.6171574355</v>
      </c>
      <c r="U613" s="124">
        <f t="shared" si="238"/>
        <v>1</v>
      </c>
      <c r="V613" s="124">
        <f t="shared" si="239"/>
        <v>0</v>
      </c>
      <c r="W613" s="124">
        <f t="shared" si="240"/>
        <v>1</v>
      </c>
      <c r="X613" s="124">
        <f t="shared" si="241"/>
        <v>1</v>
      </c>
      <c r="Y613" s="124">
        <f t="shared" si="242"/>
        <v>0</v>
      </c>
      <c r="Z613" s="124">
        <f t="shared" si="243"/>
        <v>1</v>
      </c>
      <c r="AA613" s="124">
        <f t="shared" si="220"/>
        <v>6.5941901162101441E-5</v>
      </c>
      <c r="AB613" s="124">
        <f t="shared" si="244"/>
        <v>0</v>
      </c>
      <c r="AC613" s="124">
        <f t="shared" si="245"/>
        <v>0</v>
      </c>
    </row>
    <row r="614" spans="2:29" s="114" customFormat="1">
      <c r="B614" s="115">
        <f t="shared" si="221"/>
        <v>4.2399999999999372</v>
      </c>
      <c r="C614" s="124">
        <f t="shared" si="222"/>
        <v>17378.008287491259</v>
      </c>
      <c r="D614" s="124">
        <f t="shared" si="223"/>
        <v>2882.3924317727165</v>
      </c>
      <c r="E614" s="124">
        <f t="shared" si="224"/>
        <v>1</v>
      </c>
      <c r="F614" s="124">
        <f t="shared" si="225"/>
        <v>1</v>
      </c>
      <c r="G614" s="124">
        <f t="shared" si="226"/>
        <v>2879.4372772513648</v>
      </c>
      <c r="H614" s="124">
        <f t="shared" si="227"/>
        <v>1</v>
      </c>
      <c r="I614" s="124">
        <f t="shared" si="228"/>
        <v>1</v>
      </c>
      <c r="J614" s="124">
        <f t="shared" si="229"/>
        <v>1.9845783169425537E-7</v>
      </c>
      <c r="K614" s="124">
        <f t="shared" si="230"/>
        <v>0</v>
      </c>
      <c r="L614" s="124">
        <f t="shared" si="231"/>
        <v>0</v>
      </c>
      <c r="M614" s="120"/>
      <c r="N614" s="132">
        <f t="shared" si="219"/>
        <v>109189.24634001016</v>
      </c>
      <c r="O614" s="124">
        <f t="shared" si="232"/>
        <v>2680820.2932475107</v>
      </c>
      <c r="P614" s="124">
        <f t="shared" si="233"/>
        <v>1</v>
      </c>
      <c r="Q614" s="124">
        <f t="shared" si="234"/>
        <v>1</v>
      </c>
      <c r="R614" s="124">
        <f t="shared" si="235"/>
        <v>2610353.6981244823</v>
      </c>
      <c r="S614" s="124">
        <f t="shared" si="236"/>
        <v>350995.45767508267</v>
      </c>
      <c r="T614" s="124">
        <f t="shared" si="237"/>
        <v>2633845.9029754763</v>
      </c>
      <c r="U614" s="124">
        <f t="shared" si="238"/>
        <v>1</v>
      </c>
      <c r="V614" s="124">
        <f t="shared" si="239"/>
        <v>0</v>
      </c>
      <c r="W614" s="124">
        <f t="shared" si="240"/>
        <v>1</v>
      </c>
      <c r="X614" s="124">
        <f t="shared" si="241"/>
        <v>1</v>
      </c>
      <c r="Y614" s="124">
        <f t="shared" si="242"/>
        <v>0</v>
      </c>
      <c r="Z614" s="124">
        <f t="shared" si="243"/>
        <v>1</v>
      </c>
      <c r="AA614" s="124">
        <f t="shared" si="220"/>
        <v>5.8941549868281743E-5</v>
      </c>
      <c r="AB614" s="124">
        <f t="shared" si="244"/>
        <v>0</v>
      </c>
      <c r="AC614" s="124">
        <f t="shared" si="245"/>
        <v>0</v>
      </c>
    </row>
    <row r="615" spans="2:29" s="114" customFormat="1">
      <c r="B615" s="115">
        <f t="shared" si="221"/>
        <v>4.2599999999999367</v>
      </c>
      <c r="C615" s="124">
        <f t="shared" si="222"/>
        <v>18197.008586097189</v>
      </c>
      <c r="D615" s="124">
        <f t="shared" si="223"/>
        <v>2860.247116644533</v>
      </c>
      <c r="E615" s="124">
        <f t="shared" si="224"/>
        <v>1</v>
      </c>
      <c r="F615" s="124">
        <f t="shared" si="225"/>
        <v>1</v>
      </c>
      <c r="G615" s="124">
        <f t="shared" si="226"/>
        <v>2853.457459061945</v>
      </c>
      <c r="H615" s="124">
        <f t="shared" si="227"/>
        <v>1</v>
      </c>
      <c r="I615" s="124">
        <f t="shared" si="228"/>
        <v>1</v>
      </c>
      <c r="J615" s="124">
        <f t="shared" si="229"/>
        <v>1.0653423810111926E-6</v>
      </c>
      <c r="K615" s="124">
        <f t="shared" si="230"/>
        <v>0</v>
      </c>
      <c r="L615" s="124">
        <f t="shared" si="231"/>
        <v>0</v>
      </c>
      <c r="M615" s="120"/>
      <c r="N615" s="132">
        <f t="shared" si="219"/>
        <v>114335.17698278664</v>
      </c>
      <c r="O615" s="124">
        <f t="shared" si="232"/>
        <v>2690072.7916236776</v>
      </c>
      <c r="P615" s="124">
        <f t="shared" si="233"/>
        <v>1</v>
      </c>
      <c r="Q615" s="124">
        <f t="shared" si="234"/>
        <v>1</v>
      </c>
      <c r="R615" s="124">
        <f t="shared" si="235"/>
        <v>2622470.5502856253</v>
      </c>
      <c r="S615" s="124">
        <f t="shared" si="236"/>
        <v>348597.35227950226</v>
      </c>
      <c r="T615" s="124">
        <f t="shared" si="237"/>
        <v>2645538.1118274727</v>
      </c>
      <c r="U615" s="124">
        <f t="shared" si="238"/>
        <v>1</v>
      </c>
      <c r="V615" s="124">
        <f t="shared" si="239"/>
        <v>0</v>
      </c>
      <c r="W615" s="124">
        <f t="shared" si="240"/>
        <v>1</v>
      </c>
      <c r="X615" s="124">
        <f t="shared" si="241"/>
        <v>1</v>
      </c>
      <c r="Y615" s="124">
        <f t="shared" si="242"/>
        <v>0</v>
      </c>
      <c r="Z615" s="124">
        <f t="shared" si="243"/>
        <v>1</v>
      </c>
      <c r="AA615" s="124">
        <f t="shared" si="220"/>
        <v>5.2562637677955398E-5</v>
      </c>
      <c r="AB615" s="124">
        <f t="shared" si="244"/>
        <v>0</v>
      </c>
      <c r="AC615" s="124">
        <f t="shared" si="245"/>
        <v>0</v>
      </c>
    </row>
    <row r="616" spans="2:29" s="114" customFormat="1">
      <c r="B616" s="115">
        <f t="shared" si="221"/>
        <v>4.2799999999999363</v>
      </c>
      <c r="C616" s="124">
        <f t="shared" si="222"/>
        <v>19054.607179629696</v>
      </c>
      <c r="D616" s="124">
        <f t="shared" si="223"/>
        <v>2838.4668830866699</v>
      </c>
      <c r="E616" s="124">
        <f t="shared" si="224"/>
        <v>1</v>
      </c>
      <c r="F616" s="124">
        <f t="shared" si="225"/>
        <v>1</v>
      </c>
      <c r="G616" s="124">
        <f t="shared" si="226"/>
        <v>2828.0668123281903</v>
      </c>
      <c r="H616" s="124">
        <f t="shared" si="227"/>
        <v>1</v>
      </c>
      <c r="I616" s="124">
        <f t="shared" si="228"/>
        <v>1</v>
      </c>
      <c r="J616" s="124">
        <f t="shared" si="229"/>
        <v>2.5413660635506406E-6</v>
      </c>
      <c r="K616" s="124">
        <f t="shared" si="230"/>
        <v>0</v>
      </c>
      <c r="L616" s="124">
        <f t="shared" si="231"/>
        <v>0</v>
      </c>
      <c r="M616" s="120"/>
      <c r="N616" s="132">
        <f t="shared" si="219"/>
        <v>119723.62786512796</v>
      </c>
      <c r="O616" s="124">
        <f t="shared" si="232"/>
        <v>2699262.9681427917</v>
      </c>
      <c r="P616" s="124">
        <f t="shared" si="233"/>
        <v>1</v>
      </c>
      <c r="Q616" s="124">
        <f t="shared" si="234"/>
        <v>1</v>
      </c>
      <c r="R616" s="124">
        <f t="shared" si="235"/>
        <v>2634446.9044753769</v>
      </c>
      <c r="S616" s="124">
        <f t="shared" si="236"/>
        <v>345903.0512477422</v>
      </c>
      <c r="T616" s="124">
        <f t="shared" si="237"/>
        <v>2657058.4136150251</v>
      </c>
      <c r="U616" s="124">
        <f t="shared" si="238"/>
        <v>1</v>
      </c>
      <c r="V616" s="124">
        <f t="shared" si="239"/>
        <v>0</v>
      </c>
      <c r="W616" s="124">
        <f t="shared" si="240"/>
        <v>1</v>
      </c>
      <c r="X616" s="124">
        <f t="shared" si="241"/>
        <v>1</v>
      </c>
      <c r="Y616" s="124">
        <f t="shared" si="242"/>
        <v>0</v>
      </c>
      <c r="Z616" s="124">
        <f t="shared" si="243"/>
        <v>1</v>
      </c>
      <c r="AA616" s="124">
        <f t="shared" si="220"/>
        <v>4.6841627602819568E-5</v>
      </c>
      <c r="AB616" s="124">
        <f t="shared" si="244"/>
        <v>0</v>
      </c>
      <c r="AC616" s="124">
        <f t="shared" si="245"/>
        <v>0</v>
      </c>
    </row>
    <row r="617" spans="2:29" s="114" customFormat="1">
      <c r="B617" s="115">
        <f t="shared" si="221"/>
        <v>4.2999999999999359</v>
      </c>
      <c r="C617" s="124">
        <f t="shared" si="222"/>
        <v>19952.623149685885</v>
      </c>
      <c r="D617" s="124">
        <f t="shared" si="223"/>
        <v>2817.0447035899706</v>
      </c>
      <c r="E617" s="124">
        <f t="shared" si="224"/>
        <v>1</v>
      </c>
      <c r="F617" s="124">
        <f t="shared" si="225"/>
        <v>1</v>
      </c>
      <c r="G617" s="124">
        <f t="shared" si="226"/>
        <v>2803.307909090865</v>
      </c>
      <c r="H617" s="124">
        <f t="shared" si="227"/>
        <v>1</v>
      </c>
      <c r="I617" s="124">
        <f t="shared" si="228"/>
        <v>1</v>
      </c>
      <c r="J617" s="124">
        <f t="shared" si="229"/>
        <v>4.5068594996936215E-6</v>
      </c>
      <c r="K617" s="124">
        <f t="shared" si="230"/>
        <v>0</v>
      </c>
      <c r="L617" s="124">
        <f t="shared" si="231"/>
        <v>0</v>
      </c>
      <c r="M617" s="120"/>
      <c r="N617" s="132">
        <f t="shared" si="219"/>
        <v>125366.02861379764</v>
      </c>
      <c r="O617" s="124">
        <f t="shared" si="232"/>
        <v>2708390.838323852</v>
      </c>
      <c r="P617" s="124">
        <f t="shared" si="233"/>
        <v>1</v>
      </c>
      <c r="Q617" s="124">
        <f t="shared" si="234"/>
        <v>1</v>
      </c>
      <c r="R617" s="124">
        <f t="shared" si="235"/>
        <v>2646246.1975960005</v>
      </c>
      <c r="S617" s="124">
        <f t="shared" si="236"/>
        <v>342928.16473081836</v>
      </c>
      <c r="T617" s="124">
        <f t="shared" si="237"/>
        <v>2668373.7864956134</v>
      </c>
      <c r="U617" s="124">
        <f t="shared" si="238"/>
        <v>1</v>
      </c>
      <c r="V617" s="124">
        <f t="shared" si="239"/>
        <v>0</v>
      </c>
      <c r="W617" s="124">
        <f t="shared" si="240"/>
        <v>1</v>
      </c>
      <c r="X617" s="124">
        <f t="shared" si="241"/>
        <v>1</v>
      </c>
      <c r="Y617" s="124">
        <f t="shared" si="242"/>
        <v>0</v>
      </c>
      <c r="Z617" s="124">
        <f t="shared" si="243"/>
        <v>1</v>
      </c>
      <c r="AA617" s="124">
        <f t="shared" si="220"/>
        <v>4.1791964019578439E-5</v>
      </c>
      <c r="AB617" s="124">
        <f t="shared" si="244"/>
        <v>0</v>
      </c>
      <c r="AC617" s="124">
        <f t="shared" si="245"/>
        <v>0</v>
      </c>
    </row>
    <row r="618" spans="2:29" s="114" customFormat="1">
      <c r="B618" s="115">
        <f t="shared" si="221"/>
        <v>4.3199999999999354</v>
      </c>
      <c r="C618" s="124">
        <f t="shared" si="222"/>
        <v>20892.961308537306</v>
      </c>
      <c r="D618" s="124">
        <f t="shared" si="223"/>
        <v>2795.9737050860062</v>
      </c>
      <c r="E618" s="124">
        <f t="shared" si="224"/>
        <v>1</v>
      </c>
      <c r="F618" s="124">
        <f t="shared" si="225"/>
        <v>1</v>
      </c>
      <c r="G618" s="124">
        <f t="shared" si="226"/>
        <v>2779.2184622464738</v>
      </c>
      <c r="H618" s="124">
        <f t="shared" si="227"/>
        <v>1</v>
      </c>
      <c r="I618" s="124">
        <f t="shared" si="228"/>
        <v>1</v>
      </c>
      <c r="J618" s="124">
        <f t="shared" si="229"/>
        <v>6.814170553387123E-6</v>
      </c>
      <c r="K618" s="124">
        <f t="shared" si="230"/>
        <v>0</v>
      </c>
      <c r="L618" s="124">
        <f t="shared" si="231"/>
        <v>0</v>
      </c>
      <c r="M618" s="120"/>
      <c r="N618" s="132">
        <f t="shared" si="219"/>
        <v>131274.34751727319</v>
      </c>
      <c r="O618" s="124">
        <f t="shared" si="232"/>
        <v>2717456.4268632452</v>
      </c>
      <c r="P618" s="124">
        <f t="shared" si="233"/>
        <v>1</v>
      </c>
      <c r="Q618" s="124">
        <f t="shared" si="234"/>
        <v>1</v>
      </c>
      <c r="R618" s="124">
        <f t="shared" si="235"/>
        <v>2657834.7654840345</v>
      </c>
      <c r="S618" s="124">
        <f t="shared" si="236"/>
        <v>339692.94153691747</v>
      </c>
      <c r="T618" s="124">
        <f t="shared" si="237"/>
        <v>2679454.5965822181</v>
      </c>
      <c r="U618" s="124">
        <f t="shared" si="238"/>
        <v>1</v>
      </c>
      <c r="V618" s="124">
        <f t="shared" si="239"/>
        <v>0</v>
      </c>
      <c r="W618" s="124">
        <f t="shared" si="240"/>
        <v>1</v>
      </c>
      <c r="X618" s="124">
        <f t="shared" si="241"/>
        <v>1</v>
      </c>
      <c r="Y618" s="124">
        <f t="shared" si="242"/>
        <v>0</v>
      </c>
      <c r="Z618" s="124">
        <f t="shared" si="243"/>
        <v>1</v>
      </c>
      <c r="AA618" s="124">
        <f t="shared" si="220"/>
        <v>3.7407740898136451E-5</v>
      </c>
      <c r="AB618" s="124">
        <f t="shared" si="244"/>
        <v>0</v>
      </c>
      <c r="AC618" s="124">
        <f t="shared" si="245"/>
        <v>0</v>
      </c>
    </row>
    <row r="619" spans="2:29" s="114" customFormat="1">
      <c r="B619" s="115">
        <f t="shared" si="221"/>
        <v>4.339999999999935</v>
      </c>
      <c r="C619" s="124">
        <f t="shared" si="222"/>
        <v>21877.616239492287</v>
      </c>
      <c r="D619" s="124">
        <f t="shared" si="223"/>
        <v>2775.2471652121103</v>
      </c>
      <c r="E619" s="124">
        <f t="shared" si="224"/>
        <v>1</v>
      </c>
      <c r="F619" s="124">
        <f t="shared" si="225"/>
        <v>1</v>
      </c>
      <c r="G619" s="124">
        <f t="shared" si="226"/>
        <v>2755.8307235605839</v>
      </c>
      <c r="H619" s="124">
        <f t="shared" si="227"/>
        <v>1</v>
      </c>
      <c r="I619" s="124">
        <f t="shared" si="228"/>
        <v>1</v>
      </c>
      <c r="J619" s="124">
        <f t="shared" si="229"/>
        <v>9.2971945158566733E-6</v>
      </c>
      <c r="K619" s="124">
        <f t="shared" si="230"/>
        <v>0</v>
      </c>
      <c r="L619" s="124">
        <f t="shared" si="231"/>
        <v>0</v>
      </c>
      <c r="M619" s="120"/>
      <c r="N619" s="132">
        <f t="shared" si="219"/>
        <v>137461.11691209144</v>
      </c>
      <c r="O619" s="124">
        <f t="shared" si="232"/>
        <v>2726459.7674627011</v>
      </c>
      <c r="P619" s="124">
        <f t="shared" si="233"/>
        <v>1</v>
      </c>
      <c r="Q619" s="124">
        <f t="shared" si="234"/>
        <v>1</v>
      </c>
      <c r="R619" s="124">
        <f t="shared" si="235"/>
        <v>2669182.4424396502</v>
      </c>
      <c r="S619" s="124">
        <f t="shared" si="236"/>
        <v>336221.71804928896</v>
      </c>
      <c r="T619" s="124">
        <f t="shared" si="237"/>
        <v>2690275.0704558282</v>
      </c>
      <c r="U619" s="124">
        <f t="shared" si="238"/>
        <v>1</v>
      </c>
      <c r="V619" s="124">
        <f t="shared" si="239"/>
        <v>0</v>
      </c>
      <c r="W619" s="124">
        <f t="shared" si="240"/>
        <v>1</v>
      </c>
      <c r="X619" s="124">
        <f t="shared" si="241"/>
        <v>1</v>
      </c>
      <c r="Y619" s="124">
        <f t="shared" si="242"/>
        <v>0</v>
      </c>
      <c r="Z619" s="124">
        <f t="shared" si="243"/>
        <v>1</v>
      </c>
      <c r="AA619" s="124">
        <f t="shared" si="220"/>
        <v>3.366791812977267E-5</v>
      </c>
      <c r="AB619" s="124">
        <f t="shared" si="244"/>
        <v>0</v>
      </c>
      <c r="AC619" s="124">
        <f t="shared" si="245"/>
        <v>0</v>
      </c>
    </row>
    <row r="620" spans="2:29" s="114" customFormat="1">
      <c r="B620" s="115">
        <f t="shared" si="221"/>
        <v>4.3599999999999346</v>
      </c>
      <c r="C620" s="124">
        <f t="shared" si="222"/>
        <v>22908.676527674295</v>
      </c>
      <c r="D620" s="124">
        <f t="shared" si="223"/>
        <v>2754.8585086724188</v>
      </c>
      <c r="E620" s="124">
        <f t="shared" si="224"/>
        <v>1</v>
      </c>
      <c r="F620" s="124">
        <f t="shared" si="225"/>
        <v>1</v>
      </c>
      <c r="G620" s="124">
        <f t="shared" si="226"/>
        <v>2733.1709363898813</v>
      </c>
      <c r="H620" s="124">
        <f t="shared" si="227"/>
        <v>1</v>
      </c>
      <c r="I620" s="124">
        <f t="shared" si="228"/>
        <v>1</v>
      </c>
      <c r="J620" s="124">
        <f t="shared" si="229"/>
        <v>1.1782084929956321E-5</v>
      </c>
      <c r="K620" s="124">
        <f t="shared" si="230"/>
        <v>0</v>
      </c>
      <c r="L620" s="124">
        <f t="shared" si="231"/>
        <v>0</v>
      </c>
      <c r="M620" s="120"/>
      <c r="N620" s="132">
        <f t="shared" si="219"/>
        <v>143939.45976561299</v>
      </c>
      <c r="O620" s="124">
        <f t="shared" si="232"/>
        <v>2735400.9026579205</v>
      </c>
      <c r="P620" s="124">
        <f t="shared" si="233"/>
        <v>1</v>
      </c>
      <c r="Q620" s="124">
        <f t="shared" si="234"/>
        <v>1</v>
      </c>
      <c r="R620" s="124">
        <f t="shared" si="235"/>
        <v>2680263.0485262573</v>
      </c>
      <c r="S620" s="124">
        <f t="shared" si="236"/>
        <v>332542.29091745371</v>
      </c>
      <c r="T620" s="124">
        <f t="shared" si="237"/>
        <v>2700813.6523173708</v>
      </c>
      <c r="U620" s="124">
        <f t="shared" si="238"/>
        <v>1</v>
      </c>
      <c r="V620" s="124">
        <f t="shared" si="239"/>
        <v>0</v>
      </c>
      <c r="W620" s="124">
        <f t="shared" si="240"/>
        <v>1</v>
      </c>
      <c r="X620" s="124">
        <f t="shared" si="241"/>
        <v>1</v>
      </c>
      <c r="Y620" s="124">
        <f t="shared" si="242"/>
        <v>0</v>
      </c>
      <c r="Z620" s="124">
        <f t="shared" si="243"/>
        <v>1</v>
      </c>
      <c r="AA620" s="124">
        <f t="shared" si="220"/>
        <v>3.0540717151187653E-5</v>
      </c>
      <c r="AB620" s="124">
        <f t="shared" si="244"/>
        <v>0</v>
      </c>
      <c r="AC620" s="124">
        <f t="shared" si="245"/>
        <v>0</v>
      </c>
    </row>
    <row r="621" spans="2:29" s="114" customFormat="1">
      <c r="B621" s="115">
        <f t="shared" si="221"/>
        <v>4.3799999999999342</v>
      </c>
      <c r="C621" s="124">
        <f t="shared" si="222"/>
        <v>23988.3291901913</v>
      </c>
      <c r="D621" s="124">
        <f t="shared" si="223"/>
        <v>2734.8013036923221</v>
      </c>
      <c r="E621" s="124">
        <f t="shared" si="224"/>
        <v>1</v>
      </c>
      <c r="F621" s="124">
        <f t="shared" si="225"/>
        <v>1</v>
      </c>
      <c r="G621" s="124">
        <f t="shared" si="226"/>
        <v>2711.2588583267006</v>
      </c>
      <c r="H621" s="124">
        <f t="shared" si="227"/>
        <v>1</v>
      </c>
      <c r="I621" s="124">
        <f t="shared" si="228"/>
        <v>1</v>
      </c>
      <c r="J621" s="124">
        <f t="shared" si="229"/>
        <v>1.4098480163383341E-5</v>
      </c>
      <c r="K621" s="124">
        <f t="shared" si="230"/>
        <v>0</v>
      </c>
      <c r="L621" s="124">
        <f t="shared" si="231"/>
        <v>0</v>
      </c>
      <c r="M621" s="120"/>
      <c r="N621" s="132">
        <f t="shared" si="219"/>
        <v>150723.11751159717</v>
      </c>
      <c r="O621" s="124">
        <f t="shared" si="232"/>
        <v>2744279.883647745</v>
      </c>
      <c r="P621" s="124">
        <f t="shared" si="233"/>
        <v>1</v>
      </c>
      <c r="Q621" s="124">
        <f t="shared" si="234"/>
        <v>1</v>
      </c>
      <c r="R621" s="124">
        <f t="shared" si="235"/>
        <v>2691054.7562919599</v>
      </c>
      <c r="S621" s="124">
        <f t="shared" si="236"/>
        <v>328685.23834045132</v>
      </c>
      <c r="T621" s="124">
        <f t="shared" si="237"/>
        <v>2711053.2431629775</v>
      </c>
      <c r="U621" s="124">
        <f t="shared" si="238"/>
        <v>1</v>
      </c>
      <c r="V621" s="124">
        <f t="shared" si="239"/>
        <v>0</v>
      </c>
      <c r="W621" s="124">
        <f t="shared" si="240"/>
        <v>1</v>
      </c>
      <c r="X621" s="124">
        <f t="shared" si="241"/>
        <v>1</v>
      </c>
      <c r="Y621" s="124">
        <f t="shared" si="242"/>
        <v>0</v>
      </c>
      <c r="Z621" s="124">
        <f t="shared" si="243"/>
        <v>1</v>
      </c>
      <c r="AA621" s="124">
        <f t="shared" si="220"/>
        <v>2.7987858398228039E-5</v>
      </c>
      <c r="AB621" s="124">
        <f t="shared" si="244"/>
        <v>0</v>
      </c>
      <c r="AC621" s="124">
        <f t="shared" si="245"/>
        <v>0</v>
      </c>
    </row>
    <row r="622" spans="2:29" s="114" customFormat="1">
      <c r="B622" s="115">
        <f t="shared" si="221"/>
        <v>4.3999999999999337</v>
      </c>
      <c r="C622" s="124">
        <f t="shared" si="222"/>
        <v>25118.864315091978</v>
      </c>
      <c r="D622" s="124">
        <f t="shared" si="223"/>
        <v>2715.0692585639176</v>
      </c>
      <c r="E622" s="124">
        <f t="shared" si="224"/>
        <v>1</v>
      </c>
      <c r="F622" s="124">
        <f t="shared" si="225"/>
        <v>1</v>
      </c>
      <c r="G622" s="124">
        <f t="shared" si="226"/>
        <v>2690.1073692633795</v>
      </c>
      <c r="H622" s="124">
        <f t="shared" si="227"/>
        <v>1</v>
      </c>
      <c r="I622" s="124">
        <f t="shared" si="228"/>
        <v>1</v>
      </c>
      <c r="J622" s="124">
        <f t="shared" si="229"/>
        <v>1.6090513876922873E-5</v>
      </c>
      <c r="K622" s="124">
        <f t="shared" si="230"/>
        <v>0</v>
      </c>
      <c r="L622" s="124">
        <f t="shared" si="231"/>
        <v>0</v>
      </c>
      <c r="M622" s="120"/>
      <c r="N622" s="132">
        <f t="shared" si="219"/>
        <v>157826.47919762353</v>
      </c>
      <c r="O622" s="124">
        <f t="shared" si="232"/>
        <v>2753096.7701239977</v>
      </c>
      <c r="P622" s="124">
        <f t="shared" si="233"/>
        <v>1</v>
      </c>
      <c r="Q622" s="124">
        <f t="shared" si="234"/>
        <v>1</v>
      </c>
      <c r="R622" s="124">
        <f t="shared" si="235"/>
        <v>2701540.3344266992</v>
      </c>
      <c r="S622" s="124">
        <f t="shared" si="236"/>
        <v>324683.21492387168</v>
      </c>
      <c r="T622" s="124">
        <f t="shared" si="237"/>
        <v>2720981.324556937</v>
      </c>
      <c r="U622" s="124">
        <f t="shared" si="238"/>
        <v>1</v>
      </c>
      <c r="V622" s="124">
        <f t="shared" si="239"/>
        <v>0</v>
      </c>
      <c r="W622" s="124">
        <f t="shared" si="240"/>
        <v>1</v>
      </c>
      <c r="X622" s="124">
        <f t="shared" si="241"/>
        <v>1</v>
      </c>
      <c r="Y622" s="124">
        <f t="shared" si="242"/>
        <v>0</v>
      </c>
      <c r="Z622" s="124">
        <f t="shared" si="243"/>
        <v>1</v>
      </c>
      <c r="AA622" s="124">
        <f t="shared" si="220"/>
        <v>2.5968358933875649E-5</v>
      </c>
      <c r="AB622" s="124">
        <f t="shared" si="244"/>
        <v>0</v>
      </c>
      <c r="AC622" s="124">
        <f t="shared" si="245"/>
        <v>0</v>
      </c>
    </row>
    <row r="623" spans="2:29" s="114" customFormat="1">
      <c r="B623" s="115">
        <f t="shared" si="221"/>
        <v>4.4199999999999333</v>
      </c>
      <c r="C623" s="124">
        <f t="shared" si="222"/>
        <v>26302.679918949812</v>
      </c>
      <c r="D623" s="124">
        <f t="shared" si="223"/>
        <v>2695.6562182799498</v>
      </c>
      <c r="E623" s="124">
        <f t="shared" si="224"/>
        <v>1</v>
      </c>
      <c r="F623" s="124">
        <f t="shared" si="225"/>
        <v>1</v>
      </c>
      <c r="G623" s="124">
        <f t="shared" si="226"/>
        <v>2669.7221799339895</v>
      </c>
      <c r="H623" s="124">
        <f t="shared" si="227"/>
        <v>1</v>
      </c>
      <c r="I623" s="124">
        <f t="shared" si="228"/>
        <v>1</v>
      </c>
      <c r="J623" s="124">
        <f t="shared" si="229"/>
        <v>1.7626860316295444E-5</v>
      </c>
      <c r="K623" s="124">
        <f t="shared" si="230"/>
        <v>0</v>
      </c>
      <c r="L623" s="124">
        <f t="shared" si="231"/>
        <v>0</v>
      </c>
      <c r="M623" s="120"/>
      <c r="N623" s="132">
        <f t="shared" si="219"/>
        <v>165264.612006193</v>
      </c>
      <c r="O623" s="124">
        <f t="shared" si="232"/>
        <v>2761851.6301021003</v>
      </c>
      <c r="P623" s="124">
        <f t="shared" si="233"/>
        <v>1</v>
      </c>
      <c r="Q623" s="124">
        <f t="shared" si="234"/>
        <v>1</v>
      </c>
      <c r="R623" s="124">
        <f t="shared" si="235"/>
        <v>2711707.271316499</v>
      </c>
      <c r="S623" s="124">
        <f t="shared" si="236"/>
        <v>320570.24383011635</v>
      </c>
      <c r="T623" s="124">
        <f t="shared" si="237"/>
        <v>2730589.974078875</v>
      </c>
      <c r="U623" s="124">
        <f t="shared" si="238"/>
        <v>1</v>
      </c>
      <c r="V623" s="124">
        <f t="shared" si="239"/>
        <v>0</v>
      </c>
      <c r="W623" s="124">
        <f t="shared" si="240"/>
        <v>1</v>
      </c>
      <c r="X623" s="124">
        <f t="shared" si="241"/>
        <v>1</v>
      </c>
      <c r="Y623" s="124">
        <f t="shared" si="242"/>
        <v>0</v>
      </c>
      <c r="Z623" s="124">
        <f t="shared" si="243"/>
        <v>1</v>
      </c>
      <c r="AA623" s="124">
        <f t="shared" si="220"/>
        <v>2.4441680214917448E-5</v>
      </c>
      <c r="AB623" s="124">
        <f t="shared" si="244"/>
        <v>0</v>
      </c>
      <c r="AC623" s="124">
        <f t="shared" si="245"/>
        <v>0</v>
      </c>
    </row>
    <row r="624" spans="2:29" s="114" customFormat="1">
      <c r="B624" s="115">
        <f t="shared" si="221"/>
        <v>4.4399999999999329</v>
      </c>
      <c r="C624" s="124">
        <f t="shared" si="222"/>
        <v>27542.287033377415</v>
      </c>
      <c r="D624" s="124">
        <f t="shared" si="223"/>
        <v>2676.5561612540409</v>
      </c>
      <c r="E624" s="124">
        <f t="shared" si="224"/>
        <v>1</v>
      </c>
      <c r="F624" s="124">
        <f t="shared" si="225"/>
        <v>1</v>
      </c>
      <c r="G624" s="124">
        <f t="shared" si="226"/>
        <v>2650.1016548204852</v>
      </c>
      <c r="H624" s="124">
        <f t="shared" si="227"/>
        <v>1</v>
      </c>
      <c r="I624" s="124">
        <f t="shared" si="228"/>
        <v>1</v>
      </c>
      <c r="J624" s="124">
        <f t="shared" si="229"/>
        <v>1.8609104923276899E-5</v>
      </c>
      <c r="K624" s="124">
        <f t="shared" si="230"/>
        <v>0</v>
      </c>
      <c r="L624" s="124">
        <f t="shared" si="231"/>
        <v>0</v>
      </c>
      <c r="M624" s="120"/>
      <c r="N624" s="132">
        <f t="shared" si="219"/>
        <v>173053.29321423982</v>
      </c>
      <c r="O624" s="124">
        <f t="shared" si="232"/>
        <v>2770544.5397524801</v>
      </c>
      <c r="P624" s="124">
        <f t="shared" si="233"/>
        <v>1</v>
      </c>
      <c r="Q624" s="124">
        <f t="shared" si="234"/>
        <v>1</v>
      </c>
      <c r="R624" s="124">
        <f t="shared" si="235"/>
        <v>2721547.7861511642</v>
      </c>
      <c r="S624" s="124">
        <f t="shared" si="236"/>
        <v>316381.02749129903</v>
      </c>
      <c r="T624" s="124">
        <f t="shared" si="237"/>
        <v>2739875.7831078316</v>
      </c>
      <c r="U624" s="124">
        <f t="shared" si="238"/>
        <v>1</v>
      </c>
      <c r="V624" s="124">
        <f t="shared" si="239"/>
        <v>0</v>
      </c>
      <c r="W624" s="124">
        <f t="shared" si="240"/>
        <v>1</v>
      </c>
      <c r="X624" s="124">
        <f t="shared" si="241"/>
        <v>1</v>
      </c>
      <c r="Y624" s="124">
        <f t="shared" si="242"/>
        <v>0</v>
      </c>
      <c r="Z624" s="124">
        <f t="shared" si="243"/>
        <v>1</v>
      </c>
      <c r="AA624" s="124">
        <f t="shared" si="220"/>
        <v>2.3370094418212396E-5</v>
      </c>
      <c r="AB624" s="124">
        <f t="shared" si="244"/>
        <v>0</v>
      </c>
      <c r="AC624" s="124">
        <f t="shared" si="245"/>
        <v>0</v>
      </c>
    </row>
    <row r="625" spans="2:29" s="114" customFormat="1">
      <c r="B625" s="115">
        <f t="shared" si="221"/>
        <v>4.4599999999999325</v>
      </c>
      <c r="C625" s="124">
        <f t="shared" si="222"/>
        <v>28840.315031261602</v>
      </c>
      <c r="D625" s="124">
        <f t="shared" si="223"/>
        <v>2657.7631961247885</v>
      </c>
      <c r="E625" s="124">
        <f t="shared" si="224"/>
        <v>1</v>
      </c>
      <c r="F625" s="124">
        <f t="shared" si="225"/>
        <v>1</v>
      </c>
      <c r="G625" s="124">
        <f t="shared" si="226"/>
        <v>2631.2367614097893</v>
      </c>
      <c r="H625" s="124">
        <f t="shared" si="227"/>
        <v>1</v>
      </c>
      <c r="I625" s="124">
        <f t="shared" si="228"/>
        <v>1</v>
      </c>
      <c r="J625" s="124">
        <f t="shared" si="229"/>
        <v>1.8977829255969693E-5</v>
      </c>
      <c r="K625" s="124">
        <f t="shared" si="230"/>
        <v>0</v>
      </c>
      <c r="L625" s="124">
        <f t="shared" si="231"/>
        <v>0</v>
      </c>
      <c r="M625" s="120"/>
      <c r="N625" s="132">
        <f t="shared" si="219"/>
        <v>181209.04365885348</v>
      </c>
      <c r="O625" s="124">
        <f t="shared" si="232"/>
        <v>2779175.5832328331</v>
      </c>
      <c r="P625" s="124">
        <f t="shared" si="233"/>
        <v>1</v>
      </c>
      <c r="Q625" s="124">
        <f t="shared" si="234"/>
        <v>1</v>
      </c>
      <c r="R625" s="124">
        <f t="shared" si="235"/>
        <v>2731058.7389489333</v>
      </c>
      <c r="S625" s="124">
        <f t="shared" si="236"/>
        <v>312150.2948243093</v>
      </c>
      <c r="T625" s="124">
        <f t="shared" si="237"/>
        <v>2748839.6901507811</v>
      </c>
      <c r="U625" s="124">
        <f t="shared" si="238"/>
        <v>1</v>
      </c>
      <c r="V625" s="124">
        <f t="shared" si="239"/>
        <v>0</v>
      </c>
      <c r="W625" s="124">
        <f t="shared" si="240"/>
        <v>1</v>
      </c>
      <c r="X625" s="124">
        <f t="shared" si="241"/>
        <v>1</v>
      </c>
      <c r="Y625" s="124">
        <f t="shared" si="242"/>
        <v>0</v>
      </c>
      <c r="Z625" s="124">
        <f t="shared" si="243"/>
        <v>1</v>
      </c>
      <c r="AA625" s="124">
        <f t="shared" si="220"/>
        <v>2.27202148824291E-5</v>
      </c>
      <c r="AB625" s="124">
        <f t="shared" si="244"/>
        <v>0</v>
      </c>
      <c r="AC625" s="124">
        <f t="shared" si="245"/>
        <v>0</v>
      </c>
    </row>
    <row r="626" spans="2:29" s="114" customFormat="1">
      <c r="B626" s="115">
        <f t="shared" si="221"/>
        <v>4.479999999999932</v>
      </c>
      <c r="C626" s="124">
        <f t="shared" si="222"/>
        <v>30199.51720401549</v>
      </c>
      <c r="D626" s="124">
        <f t="shared" si="223"/>
        <v>2639.271558641597</v>
      </c>
      <c r="E626" s="124">
        <f t="shared" si="224"/>
        <v>1</v>
      </c>
      <c r="F626" s="124">
        <f t="shared" si="225"/>
        <v>1</v>
      </c>
      <c r="G626" s="124">
        <f t="shared" si="226"/>
        <v>2613.1111551745175</v>
      </c>
      <c r="H626" s="124">
        <f t="shared" si="227"/>
        <v>1</v>
      </c>
      <c r="I626" s="124">
        <f t="shared" si="228"/>
        <v>1</v>
      </c>
      <c r="J626" s="124">
        <f t="shared" si="229"/>
        <v>1.8715952969119648E-5</v>
      </c>
      <c r="K626" s="124">
        <f t="shared" si="230"/>
        <v>0</v>
      </c>
      <c r="L626" s="124">
        <f t="shared" si="231"/>
        <v>0</v>
      </c>
      <c r="M626" s="120"/>
      <c r="N626" s="132">
        <f t="shared" si="219"/>
        <v>189749.16278018727</v>
      </c>
      <c r="O626" s="124">
        <f t="shared" si="232"/>
        <v>2787744.8525212961</v>
      </c>
      <c r="P626" s="124">
        <f t="shared" si="233"/>
        <v>1</v>
      </c>
      <c r="Q626" s="124">
        <f t="shared" si="234"/>
        <v>1</v>
      </c>
      <c r="R626" s="124">
        <f t="shared" si="235"/>
        <v>2740241.4534567441</v>
      </c>
      <c r="S626" s="124">
        <f t="shared" si="236"/>
        <v>307912.19901675323</v>
      </c>
      <c r="T626" s="124">
        <f t="shared" si="237"/>
        <v>2757486.744400789</v>
      </c>
      <c r="U626" s="124">
        <f t="shared" si="238"/>
        <v>1</v>
      </c>
      <c r="V626" s="124">
        <f t="shared" si="239"/>
        <v>0</v>
      </c>
      <c r="W626" s="124">
        <f t="shared" si="240"/>
        <v>1</v>
      </c>
      <c r="X626" s="124">
        <f t="shared" si="241"/>
        <v>1</v>
      </c>
      <c r="Y626" s="124">
        <f t="shared" si="242"/>
        <v>0</v>
      </c>
      <c r="Z626" s="124">
        <f t="shared" si="243"/>
        <v>1</v>
      </c>
      <c r="AA626" s="124">
        <f t="shared" si="220"/>
        <v>2.2463705508520052E-5</v>
      </c>
      <c r="AB626" s="124">
        <f t="shared" si="244"/>
        <v>0</v>
      </c>
      <c r="AC626" s="124">
        <f t="shared" si="245"/>
        <v>0</v>
      </c>
    </row>
    <row r="627" spans="2:29" s="114" customFormat="1">
      <c r="B627" s="115">
        <f t="shared" si="221"/>
        <v>4.4999999999999316</v>
      </c>
      <c r="C627" s="124">
        <f t="shared" si="222"/>
        <v>31622.776601678837</v>
      </c>
      <c r="D627" s="124">
        <f t="shared" si="223"/>
        <v>2621.0756086300448</v>
      </c>
      <c r="E627" s="124">
        <f t="shared" si="224"/>
        <v>1</v>
      </c>
      <c r="F627" s="124">
        <f t="shared" si="225"/>
        <v>1</v>
      </c>
      <c r="G627" s="124">
        <f t="shared" si="226"/>
        <v>2595.7014063628835</v>
      </c>
      <c r="H627" s="124">
        <f t="shared" si="227"/>
        <v>1</v>
      </c>
      <c r="I627" s="124">
        <f t="shared" si="228"/>
        <v>1</v>
      </c>
      <c r="J627" s="124">
        <f t="shared" si="229"/>
        <v>1.7849074869636493E-5</v>
      </c>
      <c r="K627" s="124">
        <f t="shared" si="230"/>
        <v>0</v>
      </c>
      <c r="L627" s="124">
        <f t="shared" si="231"/>
        <v>0</v>
      </c>
      <c r="M627" s="120"/>
      <c r="N627" s="132">
        <f t="shared" si="219"/>
        <v>198691.76531589087</v>
      </c>
      <c r="O627" s="124">
        <f t="shared" si="232"/>
        <v>2796252.447250606</v>
      </c>
      <c r="P627" s="124">
        <f t="shared" si="233"/>
        <v>1</v>
      </c>
      <c r="Q627" s="124">
        <f t="shared" si="234"/>
        <v>1</v>
      </c>
      <c r="R627" s="124">
        <f t="shared" si="235"/>
        <v>2749101.4683500389</v>
      </c>
      <c r="S627" s="124">
        <f t="shared" si="236"/>
        <v>303699.77587383351</v>
      </c>
      <c r="T627" s="124">
        <f t="shared" si="237"/>
        <v>2765825.8146799766</v>
      </c>
      <c r="U627" s="124">
        <f t="shared" si="238"/>
        <v>1</v>
      </c>
      <c r="V627" s="124">
        <f t="shared" si="239"/>
        <v>0</v>
      </c>
      <c r="W627" s="124">
        <f t="shared" si="240"/>
        <v>1</v>
      </c>
      <c r="X627" s="124">
        <f t="shared" si="241"/>
        <v>1</v>
      </c>
      <c r="Y627" s="124">
        <f t="shared" si="242"/>
        <v>0</v>
      </c>
      <c r="Z627" s="124">
        <f t="shared" si="243"/>
        <v>1</v>
      </c>
      <c r="AA627" s="124">
        <f t="shared" si="220"/>
        <v>2.2577240929484683E-5</v>
      </c>
      <c r="AB627" s="124">
        <f t="shared" si="244"/>
        <v>0</v>
      </c>
      <c r="AC627" s="124">
        <f t="shared" si="245"/>
        <v>0</v>
      </c>
    </row>
    <row r="628" spans="2:29" s="114" customFormat="1">
      <c r="B628" s="115">
        <f t="shared" si="221"/>
        <v>4.5199999999999312</v>
      </c>
      <c r="C628" s="124">
        <f t="shared" si="222"/>
        <v>33113.112148253917</v>
      </c>
      <c r="D628" s="124">
        <f t="shared" si="223"/>
        <v>2603.1698270347028</v>
      </c>
      <c r="E628" s="124">
        <f t="shared" si="224"/>
        <v>1</v>
      </c>
      <c r="F628" s="124">
        <f t="shared" si="225"/>
        <v>1</v>
      </c>
      <c r="G628" s="124">
        <f t="shared" si="226"/>
        <v>2578.9773707952195</v>
      </c>
      <c r="H628" s="124">
        <f t="shared" si="227"/>
        <v>1</v>
      </c>
      <c r="I628" s="124">
        <f t="shared" si="228"/>
        <v>1</v>
      </c>
      <c r="J628" s="124">
        <f t="shared" si="229"/>
        <v>1.6442784411516613E-5</v>
      </c>
      <c r="K628" s="124">
        <f t="shared" si="230"/>
        <v>0</v>
      </c>
      <c r="L628" s="124">
        <f t="shared" si="231"/>
        <v>0</v>
      </c>
      <c r="M628" s="120"/>
      <c r="N628" s="132">
        <f t="shared" ref="N628:N691" si="246">2*PI()*C628</f>
        <v>208055.81972489887</v>
      </c>
      <c r="O628" s="124">
        <f t="shared" si="232"/>
        <v>2804698.4745432995</v>
      </c>
      <c r="P628" s="124">
        <f t="shared" si="233"/>
        <v>1</v>
      </c>
      <c r="Q628" s="124">
        <f t="shared" si="234"/>
        <v>1</v>
      </c>
      <c r="R628" s="124">
        <f t="shared" si="235"/>
        <v>2757648.2325632139</v>
      </c>
      <c r="S628" s="124">
        <f t="shared" si="236"/>
        <v>299544.46872750198</v>
      </c>
      <c r="T628" s="124">
        <f t="shared" si="237"/>
        <v>2773869.2585095391</v>
      </c>
      <c r="U628" s="124">
        <f t="shared" si="238"/>
        <v>1</v>
      </c>
      <c r="V628" s="124">
        <f t="shared" si="239"/>
        <v>0</v>
      </c>
      <c r="W628" s="124">
        <f t="shared" si="240"/>
        <v>1</v>
      </c>
      <c r="X628" s="124">
        <f t="shared" si="241"/>
        <v>1</v>
      </c>
      <c r="Y628" s="124">
        <f t="shared" si="242"/>
        <v>0</v>
      </c>
      <c r="Z628" s="124">
        <f t="shared" si="243"/>
        <v>1</v>
      </c>
      <c r="AA628" s="124">
        <f t="shared" ref="AA628:AA691" si="247">(LOG10(O628)-LOG10(T628))^2</f>
        <v>2.3041831563477082E-5</v>
      </c>
      <c r="AB628" s="124">
        <f t="shared" si="244"/>
        <v>0</v>
      </c>
      <c r="AC628" s="124">
        <f t="shared" si="245"/>
        <v>0</v>
      </c>
    </row>
    <row r="629" spans="2:29" s="114" customFormat="1">
      <c r="B629" s="115">
        <f t="shared" ref="B629:B692" si="248">B628+0.02</f>
        <v>4.5399999999999308</v>
      </c>
      <c r="C629" s="124">
        <f t="shared" ref="C629:C692" si="249">10^B629</f>
        <v>34673.685045247657</v>
      </c>
      <c r="D629" s="124">
        <f t="shared" ref="D629:D692" si="250">IF(AND($D$12&lt;&gt;"",$E$12&lt;&gt;"",$F$12&lt;&gt;"",$G$12&lt;&gt;""),10^($D$12+$E$12/(1+EXP($F$12+$G$12*LOG10($C629)))),1)</f>
        <v>2585.5488130373192</v>
      </c>
      <c r="E629" s="124">
        <f t="shared" ref="E629:E692" si="251">IF(AND($D$13&lt;&gt;"",$E$13&lt;&gt;"",$F$13&lt;&gt;"",$G$13&lt;&gt;""),10^($D$13+$E$13/(1+EXP($F$13+$G$13*LOG10($C629)))),1)</f>
        <v>1</v>
      </c>
      <c r="F629" s="124">
        <f t="shared" ref="F629:F692" si="252">IF(AND($D$14&lt;&gt;"",$E$14&lt;&gt;"",$F$14&lt;&gt;"",$G$14&lt;&gt;""),10^($D$14+$E$14/(1+EXP($F$14+$G$14*LOG10($C629)))),1)</f>
        <v>1</v>
      </c>
      <c r="G629" s="124">
        <f t="shared" ref="G629:G692" si="253">IF(OR($C$28="",$C$28=0),1,$C$28+$C$29*EXP(-C629/$F$29)+$C$30*EXP(-C629/$F$30)+$C$31*EXP(-C629/$F$31)+$C$32*EXP(-C629/$F$32)+$C$33*EXP(-C629/$F$33)+$C$34*EXP(-C629/$F$34)+$C$35*EXP(-C629/$F$35)+$C$36*EXP(-C629/$F$36)+$C$37*EXP(-C629/$F$37)+$C$38*EXP(-C629/$F$38)+$C$39*EXP(-C629/$F$39)+$C$40*EXP(-C629/$F$40)+$C$41*EXP(-C629/$F$41)+$C$42*EXP(-C629/$F$42))</f>
        <v>2562.9027024848929</v>
      </c>
      <c r="H629" s="124">
        <f t="shared" ref="H629:H692" si="254">IF(OR($D$28="",$D$28=0),1,$D$28+$D$29*EXP(-C629/$F$29)+$D$30*EXP(-C629/$F$30)+$D$31*EXP(-C629/$F$31)+$D$32*EXP(-C629/$F$32)+$D$33*EXP(-C629/$F$33)+$D$34*EXP(-C629/$F$34)+$D$35*EXP(-C629/$F$35)+$D$36*EXP(-C629/$F$36)+$D$37*EXP(-C629/$F$37)+$D$38*EXP(-C629/$F$38)+$D$39*EXP(-C629/$F$39)+$D$40*EXP(-C629/$F$40)+$D$41*EXP(-C629/$F$41)+$D$42*EXP(-C629/$F$42))</f>
        <v>1</v>
      </c>
      <c r="I629" s="124">
        <f t="shared" ref="I629:I692" si="255">IF(OR($E$28="",$E$28=0),1,$E$28+$E$29*EXP(-C629/$F$29)+$E$30*EXP(-C629/$F$30)+$E$31*EXP(-C629/$F$31)+$E$32*EXP(-C629/$F$32)+$E$33*EXP(-C629/$F$33)+$E$34*EXP(-C629/$F$34)+$E$35*EXP(-C629/$F$35)+$E$36*EXP(-C629/$F$36)+$E$37*EXP(-C629/$F$37)+$E$38*EXP(-C629/$F$38)+$E$39*EXP(-C629/$F$39)+$E$40*EXP(-C629/$F$40)+$E$41*EXP(-C629/$F$41)+$E$42*EXP(-C629/$F$42))</f>
        <v>1</v>
      </c>
      <c r="J629" s="124">
        <f t="shared" ref="J629:J692" si="256">(LOG10(D629)-LOG10(G629))^2</f>
        <v>1.4597154593915159E-5</v>
      </c>
      <c r="K629" s="124">
        <f t="shared" ref="K629:K692" si="257">(LOG10(E629)-LOG10(H629))^2</f>
        <v>0</v>
      </c>
      <c r="L629" s="124">
        <f t="shared" ref="L629:L692" si="258">(LOG10(F629)-LOG10(I629))^2</f>
        <v>0</v>
      </c>
      <c r="M629" s="120"/>
      <c r="N629" s="132">
        <f t="shared" si="246"/>
        <v>217861.18842207262</v>
      </c>
      <c r="O629" s="124">
        <f t="shared" ref="O629:O692" si="259">IF(AND($L$12&lt;&gt;"",$M$12&lt;&gt;"",$N$12&lt;&gt;"",$O$12&lt;&gt;""),10^($L$12+$M$12/(1+EXP($N$12+$O$12*LOG10($C629)))),1)</f>
        <v>2813083.0488480064</v>
      </c>
      <c r="P629" s="124">
        <f t="shared" ref="P629:P692" si="260">IF(AND($L$13&lt;&gt;"",$M$13&lt;&gt;"",$N$13&lt;&gt;"",$O$13&lt;&gt;""),10^($L$13+$M$13/(1+EXP($N$13+$O$13*LOG10($C629)))),1)</f>
        <v>1</v>
      </c>
      <c r="Q629" s="124">
        <f t="shared" ref="Q629:Q692" si="261">IF(AND($L$14&lt;&gt;"",$M$14&lt;&gt;"",$N$14&lt;&gt;"",$O$14&lt;&gt;""),10^($L$14+$M$14/(1+EXP($N$14+$O$14*LOG10($C629)))),1)</f>
        <v>1</v>
      </c>
      <c r="R629" s="124">
        <f t="shared" ref="R629:R692" si="262">IF(OR($C$28="",$C$28=0),1,$C$28+($N629^2*$F$29^2*$C$29)/($N629^2*$F$29^2+1)+($N629^2*$F$30^2*$C$30)/($N629^2*$F$30^2+1)+($N629^2*$F$31^2*$C$31)/($N629^2*$F$31^2+1)+($N629^2*$F$32^2*$C$32)/($N629^2*$F$32^2+1)+($N629^2*$F$33^2*$C$33)/($N629^2*$F$33^2+1)+($N629^2*$F$34^2*$C$34)/($N629^2*$F$34^2+1)+($N629^2*$F$35^2*$C$35)/($N629^2*$F$35^2+1)+($N629^2*$F$36^2*$C$36)/($N629^2*$F$36^2+1)+($N629^2*$F$37^2*$C$37)/($N629^2*$F$37^2+1)+($N629^2*$F$38^2*$C$38)/($N629^2*$F$38^2+1)+($N629^2*$F$39^2*$C$39)/($N629^2*$F$39^2+1)+($N629^2*$F$40^2*$C$40)/($N629^2*$F$40^2+1)+($N629^2*$F$41^2*$C$41)/($N629^2*$F$41^2+1)+($N629^2*$F$42^2*$C$42)/($N629^2*$F$42^2+1))</f>
        <v>2765894.7600706709</v>
      </c>
      <c r="S629" s="124">
        <f t="shared" ref="S629:S692" si="263">IF(OR($C$28="",$C$28=0),0,($N629*$F$29*$C$29)/($N629^2*$F$29^2+1)+($N629*$F$30*$C$30)/($N629^2*$F$30^2+1)+($N629*$F$31*$C$31)/($N629^2*$F$31^2+1)+($N629*$F$32*$C$32)/($N629^2*$F$32^2+1)+($N629*$F$33*$C$33)/($N629^2*$F$33^2+1)+($N629*$F$34*$C$34)/($N629^2*$F$34^2+1)+($N629*$F$35*$C$35)/($N629^2*$F$35^2+1)+($N629*$F$36*$C$36)/($N629^2*$F$36^2+1)+($N629*$F$37*$C$37)/($N629^2*$F$37^2+1)+($N629*$F$38*$C$38)/($N629^2*$F$38^2+1)+($N629*$F$39*$C$39)/($N629^2*$F$39^2+1)+($N629*$F$40*$C$40)/($N629^2*$F$40^2+1)+($N629*$F$41*$C$41)/($N629^2*$F$41^2+1)+($N629*$F$42*$C$42)/($N629^2*$F$42^2+1))</f>
        <v>295475.72225244314</v>
      </c>
      <c r="T629" s="124">
        <f t="shared" ref="T629:T692" si="264">SQRT(R629^2+S629^2)</f>
        <v>2781632.5649206433</v>
      </c>
      <c r="U629" s="124">
        <f t="shared" ref="U629:U692" si="265">IF(OR($D$28="",$D$28=0),1,$D$28+($N629^2*$F$29^2*$D$29)/($N629^2*$F$29^2+1)+($N629^2*$F$30^2*$D$30)/($N629^2*$F$30^2+1)+($N629^2*$F$31^2*$D$31)/($N629^2*$F$31^2+1)+($N629^2*$F$32^2*$D$32)/($N629^2*$F$32^2+1)+($N629^2*$F$33^2*$D$33)/($N629^2*$F$33^2+1)+($N629^2*$F$34^2*$D$34)/($N629^2*$F$34^2+1)+($N629^2*$F$35^2*$D$35)/($N629^2*$F$35^2+1)+($N629^2*$F$36^2*$D$36)/($N629^2*$F$36^2+1)+($N629^2*$F$37^2*$D$37)/($N629^2*$F$37^2+1)+($N629^2*$F$38^2*$D$38)/($N629^2*$F$38^2+1)+($N629^2*$F$39^2*$D$39)/($N629^2*$F$39^2+1)+($N629^2*$F$40^2*$D$40)/($N629^2*$F$40^2+1)+($N629^2*$F$41^2*$D$41)/($N629^2*$F$41^2+1)+($N629^2*$F$42^2*$D$42)/($N629^2*$F$42^2+1))</f>
        <v>1</v>
      </c>
      <c r="V629" s="124">
        <f t="shared" ref="V629:V692" si="266">IF(OR($D$28="",$D$28=0),0,($N629*$F$29*$D$29)/($N629^2*$F$29^2+1)+($N629*$F$30*$D$30)/($N629^2*$F$30^2+1)+($N629*$F$31*$D$31)/($N629^2*$F$31^2+1)+($N629*$F$32*$D$32)/($N629^2*$F$32^2+1)+($N629*$F$33*$D$33)/($N629^2*$F$33^2+1)+($N629*$F$34*$D$34)/($N629^2*$F$34^2+1)+($N629*$F$35*$D$35)/($N629^2*$F$35^2+1)+($N629*$F$36*$D$36)/($N629^2*$F$36^2+1)+($N629*$F$37*$D$37)/($N629^2*$F$37^2+1)+($N629*$F$38*$D$38)/($N629^2*$F$38^2+1)+($N629*$F$39*$D$39)/($N629^2*$F$39^2+1)+($N629*$F$40*$D$40)/($N629^2*$F$40^2+1)+($N629*$F$41*$D$41)/($N629^2*$F$41^2+1)+($N629*$F$42*$D$42)/($N629^2*$F$42^2+1))</f>
        <v>0</v>
      </c>
      <c r="W629" s="124">
        <f t="shared" ref="W629:W692" si="267">SQRT(U629^2+V629^2)</f>
        <v>1</v>
      </c>
      <c r="X629" s="124">
        <f t="shared" ref="X629:X692" si="268">IF(OR($E$28="",$E$28=0),1,$E$28+($N629^2*$F$29^2*$E$29)/($N629^2*$F$29^2+1)+($N629^2*$F$30^2*$E$30)/($N629^2*$F$30^2+1)+($N629^2*$F$31^2*$E$31)/($N629^2*$F$31^2+1)+($N629^2*$F$32^2*$E$32)/($N629^2*$F$32^2+1)+($N629^2*$F$33^2*$E$33)/($N629^2*$F$33^2+1)+($N629^2*$F$34^2*$E$34)/($N629^2*$F$34^2+1)+($N629^2*$F$35^2*$E$35)/($N629^2*$F$35^2+1)+($N629^2*$F$36^2*$E$36)/($N629^2*$F$36^2+1)+($N629^2*$F$37^2*$E$37)/($N629^2*$F$37^2+1)+($N629^2*$F$38^2*$E$38)/($N629^2*$F$38^2+1)+($N629^2*$F$39^2*$E$39)/($N629^2*$F$39^2+1)+($N629^2*$F$40^2*$E$40)/($N629^2*$F$40^2+1)+($N629^2*$F$41^2*$E$41)/($N629^2*$F$41^2+1)+($N629^2*$F$42^2*$E$42)/($N629^2*$F$42^2+1))</f>
        <v>1</v>
      </c>
      <c r="Y629" s="124">
        <f t="shared" ref="Y629:Y692" si="269">IF(OR($E$28="",$E$28=0),0,($N629*$F$29*$E$29)/($N629^2*$F$29^2+1)+($N629*$F$30*$E$30)/($N629^2*$F$30^2+1)+($N629*$F$31*$E$31)/($N629^2*$F$31^2+1)+($N629*$F$32*$E$32)/($N629^2*$F$32^2+1)+($N629*$F$33*$E$33)/($N629^2*$F$33^2+1)+($N629*$F$34*$E$34)/($N629^2*$F$34^2+1)+($N629*$F$35*$E$35)/($N629^2*$F$35^2+1)+($N629*$F$36*$E$36)/($N629^2*$F$36^2+1)+($N629*$F$37*$E$37)/($N629^2*$F$37^2+1)+($N629*$F$38*$E$38)/($N629^2*$F$38^2+1)+($N629*$F$39*$E$39)/($N629^2*$F$39^2+1)+($N629*$F$40*$E$40)/($N629^2*$F$40^2+1)+($N629*$F$41*$E$41)/($N629^2*$F$41^2+1)+($N629*$F$42*$E$42)/($N629^2*$F$42^2+1))</f>
        <v>0</v>
      </c>
      <c r="Z629" s="124">
        <f t="shared" ref="Z629:Z692" si="270">SQRT(X629^2+Y629^2)</f>
        <v>1</v>
      </c>
      <c r="AA629" s="124">
        <f t="shared" si="247"/>
        <v>2.3841654856825546E-5</v>
      </c>
      <c r="AB629" s="124">
        <f t="shared" ref="AB629:AB692" si="271">(LOG10(P629)-LOG10(W629))^2</f>
        <v>0</v>
      </c>
      <c r="AC629" s="124">
        <f t="shared" ref="AC629:AC692" si="272">(LOG10(Q629)-LOG10(Z629))^2</f>
        <v>0</v>
      </c>
    </row>
    <row r="630" spans="2:29" s="114" customFormat="1">
      <c r="B630" s="115">
        <f t="shared" si="248"/>
        <v>4.5599999999999303</v>
      </c>
      <c r="C630" s="124">
        <f t="shared" si="249"/>
        <v>36307.80547700436</v>
      </c>
      <c r="D630" s="124">
        <f t="shared" si="250"/>
        <v>2568.2072812484084</v>
      </c>
      <c r="E630" s="124">
        <f t="shared" si="251"/>
        <v>1</v>
      </c>
      <c r="F630" s="124">
        <f t="shared" si="252"/>
        <v>1</v>
      </c>
      <c r="G630" s="124">
        <f t="shared" si="253"/>
        <v>2547.4355011805969</v>
      </c>
      <c r="H630" s="124">
        <f t="shared" si="254"/>
        <v>1</v>
      </c>
      <c r="I630" s="124">
        <f t="shared" si="255"/>
        <v>1</v>
      </c>
      <c r="J630" s="124">
        <f t="shared" si="256"/>
        <v>1.2438854770790568E-5</v>
      </c>
      <c r="K630" s="124">
        <f t="shared" si="257"/>
        <v>0</v>
      </c>
      <c r="L630" s="124">
        <f t="shared" si="258"/>
        <v>0</v>
      </c>
      <c r="M630" s="120"/>
      <c r="N630" s="132">
        <f t="shared" si="246"/>
        <v>228128.6699090483</v>
      </c>
      <c r="O630" s="124">
        <f t="shared" si="259"/>
        <v>2821406.2917767917</v>
      </c>
      <c r="P630" s="124">
        <f t="shared" si="260"/>
        <v>1</v>
      </c>
      <c r="Q630" s="124">
        <f t="shared" si="261"/>
        <v>1</v>
      </c>
      <c r="R630" s="124">
        <f t="shared" si="262"/>
        <v>2773857.2581909737</v>
      </c>
      <c r="S630" s="124">
        <f t="shared" si="263"/>
        <v>291520.6443847011</v>
      </c>
      <c r="T630" s="124">
        <f t="shared" si="264"/>
        <v>2789133.9829633888</v>
      </c>
      <c r="U630" s="124">
        <f t="shared" si="265"/>
        <v>1</v>
      </c>
      <c r="V630" s="124">
        <f t="shared" si="266"/>
        <v>0</v>
      </c>
      <c r="W630" s="124">
        <f t="shared" si="267"/>
        <v>1</v>
      </c>
      <c r="X630" s="124">
        <f t="shared" si="268"/>
        <v>1</v>
      </c>
      <c r="Y630" s="124">
        <f t="shared" si="269"/>
        <v>0</v>
      </c>
      <c r="Z630" s="124">
        <f t="shared" si="270"/>
        <v>1</v>
      </c>
      <c r="AA630" s="124">
        <f t="shared" si="247"/>
        <v>2.4962547160289563E-5</v>
      </c>
      <c r="AB630" s="124">
        <f t="shared" si="271"/>
        <v>0</v>
      </c>
      <c r="AC630" s="124">
        <f t="shared" si="272"/>
        <v>0</v>
      </c>
    </row>
    <row r="631" spans="2:29" s="114" customFormat="1">
      <c r="B631" s="115">
        <f t="shared" si="248"/>
        <v>4.5799999999999299</v>
      </c>
      <c r="C631" s="124">
        <f t="shared" si="249"/>
        <v>38018.939632050002</v>
      </c>
      <c r="D631" s="124">
        <f t="shared" si="250"/>
        <v>2551.1400589703007</v>
      </c>
      <c r="E631" s="124">
        <f t="shared" si="251"/>
        <v>1</v>
      </c>
      <c r="F631" s="124">
        <f t="shared" si="252"/>
        <v>1</v>
      </c>
      <c r="G631" s="124">
        <f t="shared" si="253"/>
        <v>2532.529083055148</v>
      </c>
      <c r="H631" s="124">
        <f t="shared" si="254"/>
        <v>1</v>
      </c>
      <c r="I631" s="124">
        <f t="shared" si="255"/>
        <v>1</v>
      </c>
      <c r="J631" s="124">
        <f t="shared" si="256"/>
        <v>1.0111515056828027E-5</v>
      </c>
      <c r="K631" s="124">
        <f t="shared" si="257"/>
        <v>0</v>
      </c>
      <c r="L631" s="124">
        <f t="shared" si="258"/>
        <v>0</v>
      </c>
      <c r="M631" s="120"/>
      <c r="N631" s="132">
        <f t="shared" si="246"/>
        <v>238880.04289064422</v>
      </c>
      <c r="O631" s="124">
        <f t="shared" si="259"/>
        <v>2829668.3319437904</v>
      </c>
      <c r="P631" s="124">
        <f t="shared" si="260"/>
        <v>1</v>
      </c>
      <c r="Q631" s="124">
        <f t="shared" si="261"/>
        <v>1</v>
      </c>
      <c r="R631" s="124">
        <f t="shared" si="262"/>
        <v>2781554.7417038307</v>
      </c>
      <c r="S631" s="124">
        <f t="shared" si="263"/>
        <v>287703.73300674907</v>
      </c>
      <c r="T631" s="124">
        <f t="shared" si="264"/>
        <v>2796394.1458744835</v>
      </c>
      <c r="U631" s="124">
        <f t="shared" si="265"/>
        <v>1</v>
      </c>
      <c r="V631" s="124">
        <f t="shared" si="266"/>
        <v>0</v>
      </c>
      <c r="W631" s="124">
        <f t="shared" si="267"/>
        <v>1</v>
      </c>
      <c r="X631" s="124">
        <f t="shared" si="268"/>
        <v>1</v>
      </c>
      <c r="Y631" s="124">
        <f t="shared" si="269"/>
        <v>0</v>
      </c>
      <c r="Z631" s="124">
        <f t="shared" si="270"/>
        <v>1</v>
      </c>
      <c r="AA631" s="124">
        <f t="shared" si="247"/>
        <v>2.6390311821336045E-5</v>
      </c>
      <c r="AB631" s="124">
        <f t="shared" si="271"/>
        <v>0</v>
      </c>
      <c r="AC631" s="124">
        <f t="shared" si="272"/>
        <v>0</v>
      </c>
    </row>
    <row r="632" spans="2:29" s="114" customFormat="1">
      <c r="B632" s="115">
        <f t="shared" si="248"/>
        <v>4.5999999999999295</v>
      </c>
      <c r="C632" s="124">
        <f t="shared" si="249"/>
        <v>39810.71705534331</v>
      </c>
      <c r="D632" s="124">
        <f t="shared" si="250"/>
        <v>2534.3420835297388</v>
      </c>
      <c r="E632" s="124">
        <f t="shared" si="251"/>
        <v>1</v>
      </c>
      <c r="F632" s="124">
        <f t="shared" si="252"/>
        <v>1</v>
      </c>
      <c r="G632" s="124">
        <f t="shared" si="253"/>
        <v>2518.1328579681085</v>
      </c>
      <c r="H632" s="124">
        <f t="shared" si="254"/>
        <v>1</v>
      </c>
      <c r="I632" s="124">
        <f t="shared" si="255"/>
        <v>1</v>
      </c>
      <c r="J632" s="124">
        <f t="shared" si="256"/>
        <v>7.7651131589904696E-6</v>
      </c>
      <c r="K632" s="124">
        <f t="shared" si="257"/>
        <v>0</v>
      </c>
      <c r="L632" s="124">
        <f t="shared" si="258"/>
        <v>0</v>
      </c>
      <c r="M632" s="120"/>
      <c r="N632" s="132">
        <f t="shared" si="246"/>
        <v>250138.11247041685</v>
      </c>
      <c r="O632" s="124">
        <f t="shared" si="259"/>
        <v>2837869.304804984</v>
      </c>
      <c r="P632" s="124">
        <f t="shared" si="260"/>
        <v>1</v>
      </c>
      <c r="Q632" s="124">
        <f t="shared" si="261"/>
        <v>1</v>
      </c>
      <c r="R632" s="124">
        <f t="shared" si="262"/>
        <v>2789008.6429509837</v>
      </c>
      <c r="S632" s="124">
        <f t="shared" si="263"/>
        <v>284046.66219444654</v>
      </c>
      <c r="T632" s="124">
        <f t="shared" si="264"/>
        <v>2803435.6987024141</v>
      </c>
      <c r="U632" s="124">
        <f t="shared" si="265"/>
        <v>1</v>
      </c>
      <c r="V632" s="124">
        <f t="shared" si="266"/>
        <v>0</v>
      </c>
      <c r="W632" s="124">
        <f t="shared" si="267"/>
        <v>1</v>
      </c>
      <c r="X632" s="124">
        <f t="shared" si="268"/>
        <v>1</v>
      </c>
      <c r="Y632" s="124">
        <f t="shared" si="269"/>
        <v>0</v>
      </c>
      <c r="Z632" s="124">
        <f t="shared" si="270"/>
        <v>1</v>
      </c>
      <c r="AA632" s="124">
        <f t="shared" si="247"/>
        <v>2.8108990798175285E-5</v>
      </c>
      <c r="AB632" s="124">
        <f t="shared" si="271"/>
        <v>0</v>
      </c>
      <c r="AC632" s="124">
        <f t="shared" si="272"/>
        <v>0</v>
      </c>
    </row>
    <row r="633" spans="2:29" s="114" customFormat="1">
      <c r="B633" s="115">
        <f t="shared" si="248"/>
        <v>4.6199999999999291</v>
      </c>
      <c r="C633" s="124">
        <f t="shared" si="249"/>
        <v>41686.938347026742</v>
      </c>
      <c r="D633" s="124">
        <f t="shared" si="250"/>
        <v>2517.8083996782038</v>
      </c>
      <c r="E633" s="124">
        <f t="shared" si="251"/>
        <v>1</v>
      </c>
      <c r="F633" s="124">
        <f t="shared" si="252"/>
        <v>1</v>
      </c>
      <c r="G633" s="124">
        <f t="shared" si="253"/>
        <v>2504.1932922570786</v>
      </c>
      <c r="H633" s="124">
        <f t="shared" si="254"/>
        <v>1</v>
      </c>
      <c r="I633" s="124">
        <f t="shared" si="255"/>
        <v>1</v>
      </c>
      <c r="J633" s="124">
        <f t="shared" si="256"/>
        <v>5.5452250571458866E-6</v>
      </c>
      <c r="K633" s="124">
        <f t="shared" si="257"/>
        <v>0</v>
      </c>
      <c r="L633" s="124">
        <f t="shared" si="258"/>
        <v>0</v>
      </c>
      <c r="M633" s="120"/>
      <c r="N633" s="132">
        <f t="shared" si="246"/>
        <v>261926.7585233397</v>
      </c>
      <c r="O633" s="124">
        <f t="shared" si="259"/>
        <v>2846009.3524992554</v>
      </c>
      <c r="P633" s="124">
        <f t="shared" si="260"/>
        <v>1</v>
      </c>
      <c r="Q633" s="124">
        <f t="shared" si="261"/>
        <v>1</v>
      </c>
      <c r="R633" s="124">
        <f t="shared" si="262"/>
        <v>2796242.425820352</v>
      </c>
      <c r="S633" s="124">
        <f t="shared" si="263"/>
        <v>280568.12161213096</v>
      </c>
      <c r="T633" s="124">
        <f t="shared" si="264"/>
        <v>2810282.935012531</v>
      </c>
      <c r="U633" s="124">
        <f t="shared" si="265"/>
        <v>1</v>
      </c>
      <c r="V633" s="124">
        <f t="shared" si="266"/>
        <v>0</v>
      </c>
      <c r="W633" s="124">
        <f t="shared" si="267"/>
        <v>1</v>
      </c>
      <c r="X633" s="124">
        <f t="shared" si="268"/>
        <v>1</v>
      </c>
      <c r="Y633" s="124">
        <f t="shared" si="269"/>
        <v>0</v>
      </c>
      <c r="Z633" s="124">
        <f t="shared" si="270"/>
        <v>1</v>
      </c>
      <c r="AA633" s="124">
        <f t="shared" si="247"/>
        <v>3.0099232096764304E-5</v>
      </c>
      <c r="AB633" s="124">
        <f t="shared" si="271"/>
        <v>0</v>
      </c>
      <c r="AC633" s="124">
        <f t="shared" si="272"/>
        <v>0</v>
      </c>
    </row>
    <row r="634" spans="2:29" s="114" customFormat="1">
      <c r="B634" s="115">
        <f t="shared" si="248"/>
        <v>4.6399999999999286</v>
      </c>
      <c r="C634" s="124">
        <f t="shared" si="249"/>
        <v>43651.583224009468</v>
      </c>
      <c r="D634" s="124">
        <f t="shared" si="250"/>
        <v>2501.5341570581595</v>
      </c>
      <c r="E634" s="124">
        <f t="shared" si="251"/>
        <v>1</v>
      </c>
      <c r="F634" s="124">
        <f t="shared" si="252"/>
        <v>1</v>
      </c>
      <c r="G634" s="124">
        <f t="shared" si="253"/>
        <v>2490.6549321291914</v>
      </c>
      <c r="H634" s="124">
        <f t="shared" si="254"/>
        <v>1</v>
      </c>
      <c r="I634" s="124">
        <f t="shared" si="255"/>
        <v>1</v>
      </c>
      <c r="J634" s="124">
        <f t="shared" si="256"/>
        <v>3.5829755722480025E-6</v>
      </c>
      <c r="K634" s="124">
        <f t="shared" si="257"/>
        <v>0</v>
      </c>
      <c r="L634" s="124">
        <f t="shared" si="258"/>
        <v>0</v>
      </c>
      <c r="M634" s="120"/>
      <c r="N634" s="132">
        <f t="shared" si="246"/>
        <v>274270.98634822317</v>
      </c>
      <c r="O634" s="124">
        <f t="shared" si="259"/>
        <v>2854088.6236907477</v>
      </c>
      <c r="P634" s="124">
        <f t="shared" si="260"/>
        <v>1</v>
      </c>
      <c r="Q634" s="124">
        <f t="shared" si="261"/>
        <v>1</v>
      </c>
      <c r="R634" s="124">
        <f t="shared" si="262"/>
        <v>2803281.2092448575</v>
      </c>
      <c r="S634" s="124">
        <f t="shared" si="263"/>
        <v>277283.70204842195</v>
      </c>
      <c r="T634" s="124">
        <f t="shared" si="264"/>
        <v>2816961.4462265875</v>
      </c>
      <c r="U634" s="124">
        <f t="shared" si="265"/>
        <v>1</v>
      </c>
      <c r="V634" s="124">
        <f t="shared" si="266"/>
        <v>0</v>
      </c>
      <c r="W634" s="124">
        <f t="shared" si="267"/>
        <v>1</v>
      </c>
      <c r="X634" s="124">
        <f t="shared" si="268"/>
        <v>1</v>
      </c>
      <c r="Y634" s="124">
        <f t="shared" si="269"/>
        <v>0</v>
      </c>
      <c r="Z634" s="124">
        <f t="shared" si="270"/>
        <v>1</v>
      </c>
      <c r="AA634" s="124">
        <f t="shared" si="247"/>
        <v>3.2336866072920178E-5</v>
      </c>
      <c r="AB634" s="124">
        <f t="shared" si="271"/>
        <v>0</v>
      </c>
      <c r="AC634" s="124">
        <f t="shared" si="272"/>
        <v>0</v>
      </c>
    </row>
    <row r="635" spans="2:29" s="114" customFormat="1">
      <c r="B635" s="115">
        <f t="shared" si="248"/>
        <v>4.6599999999999282</v>
      </c>
      <c r="C635" s="124">
        <f t="shared" si="249"/>
        <v>45708.818961480029</v>
      </c>
      <c r="D635" s="124">
        <f t="shared" si="250"/>
        <v>2485.5146077335089</v>
      </c>
      <c r="E635" s="124">
        <f t="shared" si="251"/>
        <v>1</v>
      </c>
      <c r="F635" s="124">
        <f t="shared" si="252"/>
        <v>1</v>
      </c>
      <c r="G635" s="124">
        <f t="shared" si="253"/>
        <v>2477.461459689941</v>
      </c>
      <c r="H635" s="124">
        <f t="shared" si="254"/>
        <v>1</v>
      </c>
      <c r="I635" s="124">
        <f t="shared" si="255"/>
        <v>1</v>
      </c>
      <c r="J635" s="124">
        <f t="shared" si="256"/>
        <v>1.9864442466410938E-6</v>
      </c>
      <c r="K635" s="124">
        <f t="shared" si="257"/>
        <v>0</v>
      </c>
      <c r="L635" s="124">
        <f t="shared" si="258"/>
        <v>0</v>
      </c>
      <c r="M635" s="120"/>
      <c r="N635" s="132">
        <f t="shared" si="246"/>
        <v>287196.97970730299</v>
      </c>
      <c r="O635" s="124">
        <f t="shared" si="259"/>
        <v>2862107.2734126011</v>
      </c>
      <c r="P635" s="124">
        <f t="shared" si="260"/>
        <v>1</v>
      </c>
      <c r="Q635" s="124">
        <f t="shared" si="261"/>
        <v>1</v>
      </c>
      <c r="R635" s="124">
        <f t="shared" si="262"/>
        <v>2810151.4037092454</v>
      </c>
      <c r="S635" s="124">
        <f t="shared" si="263"/>
        <v>274205.82003725931</v>
      </c>
      <c r="T635" s="124">
        <f t="shared" si="264"/>
        <v>2823497.7852853625</v>
      </c>
      <c r="U635" s="124">
        <f t="shared" si="265"/>
        <v>1</v>
      </c>
      <c r="V635" s="124">
        <f t="shared" si="266"/>
        <v>0</v>
      </c>
      <c r="W635" s="124">
        <f t="shared" si="267"/>
        <v>1</v>
      </c>
      <c r="X635" s="124">
        <f t="shared" si="268"/>
        <v>1</v>
      </c>
      <c r="Y635" s="124">
        <f t="shared" si="269"/>
        <v>0</v>
      </c>
      <c r="Z635" s="124">
        <f t="shared" si="270"/>
        <v>1</v>
      </c>
      <c r="AA635" s="124">
        <f t="shared" si="247"/>
        <v>3.4791782187057393E-5</v>
      </c>
      <c r="AB635" s="124">
        <f t="shared" si="271"/>
        <v>0</v>
      </c>
      <c r="AC635" s="124">
        <f t="shared" si="272"/>
        <v>0</v>
      </c>
    </row>
    <row r="636" spans="2:29" s="114" customFormat="1">
      <c r="B636" s="115">
        <f t="shared" si="248"/>
        <v>4.6799999999999278</v>
      </c>
      <c r="C636" s="124">
        <f t="shared" si="249"/>
        <v>47863.009232255914</v>
      </c>
      <c r="D636" s="124">
        <f t="shared" si="250"/>
        <v>2469.7451037825172</v>
      </c>
      <c r="E636" s="124">
        <f t="shared" si="251"/>
        <v>1</v>
      </c>
      <c r="F636" s="124">
        <f t="shared" si="252"/>
        <v>1</v>
      </c>
      <c r="G636" s="124">
        <f t="shared" si="253"/>
        <v>2464.5567516968445</v>
      </c>
      <c r="H636" s="124">
        <f t="shared" si="254"/>
        <v>1</v>
      </c>
      <c r="I636" s="124">
        <f t="shared" si="255"/>
        <v>1</v>
      </c>
      <c r="J636" s="124">
        <f t="shared" si="256"/>
        <v>8.3413508027808957E-7</v>
      </c>
      <c r="K636" s="124">
        <f t="shared" si="257"/>
        <v>0</v>
      </c>
      <c r="L636" s="124">
        <f t="shared" si="258"/>
        <v>0</v>
      </c>
      <c r="M636" s="120"/>
      <c r="N636" s="132">
        <f t="shared" si="246"/>
        <v>300732.15636551124</v>
      </c>
      <c r="O636" s="124">
        <f t="shared" si="259"/>
        <v>2870065.462912003</v>
      </c>
      <c r="P636" s="124">
        <f t="shared" si="260"/>
        <v>1</v>
      </c>
      <c r="Q636" s="124">
        <f t="shared" si="261"/>
        <v>1</v>
      </c>
      <c r="R636" s="124">
        <f t="shared" si="262"/>
        <v>2816880.3623451539</v>
      </c>
      <c r="S636" s="124">
        <f t="shared" si="263"/>
        <v>271343.67492123129</v>
      </c>
      <c r="T636" s="124">
        <f t="shared" si="264"/>
        <v>2829919.1447257861</v>
      </c>
      <c r="U636" s="124">
        <f t="shared" si="265"/>
        <v>1</v>
      </c>
      <c r="V636" s="124">
        <f t="shared" si="266"/>
        <v>0</v>
      </c>
      <c r="W636" s="124">
        <f t="shared" si="267"/>
        <v>1</v>
      </c>
      <c r="X636" s="124">
        <f t="shared" si="268"/>
        <v>1</v>
      </c>
      <c r="Y636" s="124">
        <f t="shared" si="269"/>
        <v>0</v>
      </c>
      <c r="Z636" s="124">
        <f t="shared" si="270"/>
        <v>1</v>
      </c>
      <c r="AA636" s="124">
        <f t="shared" si="247"/>
        <v>3.7427175692646838E-5</v>
      </c>
      <c r="AB636" s="124">
        <f t="shared" si="271"/>
        <v>0</v>
      </c>
      <c r="AC636" s="124">
        <f t="shared" si="272"/>
        <v>0</v>
      </c>
    </row>
    <row r="637" spans="2:29" s="114" customFormat="1">
      <c r="B637" s="115">
        <f t="shared" si="248"/>
        <v>4.6999999999999273</v>
      </c>
      <c r="C637" s="124">
        <f t="shared" si="249"/>
        <v>50118.723362718927</v>
      </c>
      <c r="D637" s="124">
        <f t="shared" si="250"/>
        <v>2454.2210949515943</v>
      </c>
      <c r="E637" s="124">
        <f t="shared" si="251"/>
        <v>1</v>
      </c>
      <c r="F637" s="124">
        <f t="shared" si="252"/>
        <v>1</v>
      </c>
      <c r="G637" s="124">
        <f t="shared" si="253"/>
        <v>2451.8859104513417</v>
      </c>
      <c r="H637" s="124">
        <f t="shared" si="254"/>
        <v>1</v>
      </c>
      <c r="I637" s="124">
        <f t="shared" si="255"/>
        <v>1</v>
      </c>
      <c r="J637" s="124">
        <f t="shared" si="256"/>
        <v>1.7092163786633742E-7</v>
      </c>
      <c r="K637" s="124">
        <f t="shared" si="257"/>
        <v>0</v>
      </c>
      <c r="L637" s="124">
        <f t="shared" si="258"/>
        <v>0</v>
      </c>
      <c r="M637" s="120"/>
      <c r="N637" s="132">
        <f t="shared" si="246"/>
        <v>314905.2262472338</v>
      </c>
      <c r="O637" s="124">
        <f t="shared" si="259"/>
        <v>2877963.3594967118</v>
      </c>
      <c r="P637" s="124">
        <f t="shared" si="260"/>
        <v>1</v>
      </c>
      <c r="Q637" s="124">
        <f t="shared" si="261"/>
        <v>1</v>
      </c>
      <c r="R637" s="124">
        <f t="shared" si="262"/>
        <v>2823496.0465734797</v>
      </c>
      <c r="S637" s="124">
        <f t="shared" si="263"/>
        <v>268703.23249655112</v>
      </c>
      <c r="T637" s="124">
        <f t="shared" si="264"/>
        <v>2836253.0479789996</v>
      </c>
      <c r="U637" s="124">
        <f t="shared" si="265"/>
        <v>1</v>
      </c>
      <c r="V637" s="124">
        <f t="shared" si="266"/>
        <v>0</v>
      </c>
      <c r="W637" s="124">
        <f t="shared" si="267"/>
        <v>1</v>
      </c>
      <c r="X637" s="124">
        <f t="shared" si="268"/>
        <v>1</v>
      </c>
      <c r="Y637" s="124">
        <f t="shared" si="269"/>
        <v>0</v>
      </c>
      <c r="Z637" s="124">
        <f t="shared" si="270"/>
        <v>1</v>
      </c>
      <c r="AA637" s="124">
        <f t="shared" si="247"/>
        <v>4.0199211994020807E-5</v>
      </c>
      <c r="AB637" s="124">
        <f t="shared" si="271"/>
        <v>0</v>
      </c>
      <c r="AC637" s="124">
        <f t="shared" si="272"/>
        <v>0</v>
      </c>
    </row>
    <row r="638" spans="2:29" s="114" customFormat="1">
      <c r="B638" s="115">
        <f t="shared" si="248"/>
        <v>4.7199999999999269</v>
      </c>
      <c r="C638" s="124">
        <f t="shared" si="249"/>
        <v>52480.746024968459</v>
      </c>
      <c r="D638" s="124">
        <f t="shared" si="250"/>
        <v>2438.9381263683058</v>
      </c>
      <c r="E638" s="124">
        <f t="shared" si="251"/>
        <v>1</v>
      </c>
      <c r="F638" s="124">
        <f t="shared" si="252"/>
        <v>1</v>
      </c>
      <c r="G638" s="124">
        <f t="shared" si="253"/>
        <v>2439.3962369690521</v>
      </c>
      <c r="H638" s="124">
        <f t="shared" si="254"/>
        <v>1</v>
      </c>
      <c r="I638" s="124">
        <f t="shared" si="255"/>
        <v>1</v>
      </c>
      <c r="J638" s="124">
        <f t="shared" si="256"/>
        <v>6.6531324901032788E-9</v>
      </c>
      <c r="K638" s="124">
        <f t="shared" si="257"/>
        <v>0</v>
      </c>
      <c r="L638" s="124">
        <f t="shared" si="258"/>
        <v>0</v>
      </c>
      <c r="M638" s="120"/>
      <c r="N638" s="132">
        <f t="shared" si="246"/>
        <v>329746.25233390532</v>
      </c>
      <c r="O638" s="124">
        <f t="shared" si="259"/>
        <v>2885801.1363829728</v>
      </c>
      <c r="P638" s="124">
        <f t="shared" si="260"/>
        <v>1</v>
      </c>
      <c r="Q638" s="124">
        <f t="shared" si="261"/>
        <v>1</v>
      </c>
      <c r="R638" s="124">
        <f t="shared" si="262"/>
        <v>2830026.7049666923</v>
      </c>
      <c r="S638" s="124">
        <f t="shared" si="263"/>
        <v>266287.23044085322</v>
      </c>
      <c r="T638" s="124">
        <f t="shared" si="264"/>
        <v>2842527.0517482315</v>
      </c>
      <c r="U638" s="124">
        <f t="shared" si="265"/>
        <v>1</v>
      </c>
      <c r="V638" s="124">
        <f t="shared" si="266"/>
        <v>0</v>
      </c>
      <c r="W638" s="124">
        <f t="shared" si="267"/>
        <v>1</v>
      </c>
      <c r="X638" s="124">
        <f t="shared" si="268"/>
        <v>1</v>
      </c>
      <c r="Y638" s="124">
        <f t="shared" si="269"/>
        <v>0</v>
      </c>
      <c r="Z638" s="124">
        <f t="shared" si="270"/>
        <v>1</v>
      </c>
      <c r="AA638" s="124">
        <f t="shared" si="247"/>
        <v>4.3057135565154525E-5</v>
      </c>
      <c r="AB638" s="124">
        <f t="shared" si="271"/>
        <v>0</v>
      </c>
      <c r="AC638" s="124">
        <f t="shared" si="272"/>
        <v>0</v>
      </c>
    </row>
    <row r="639" spans="2:29" s="114" customFormat="1">
      <c r="B639" s="115">
        <f t="shared" si="248"/>
        <v>4.7399999999999265</v>
      </c>
      <c r="C639" s="124">
        <f t="shared" si="249"/>
        <v>54954.087385753228</v>
      </c>
      <c r="D639" s="124">
        <f t="shared" si="250"/>
        <v>2423.891836312047</v>
      </c>
      <c r="E639" s="124">
        <f t="shared" si="251"/>
        <v>1</v>
      </c>
      <c r="F639" s="124">
        <f t="shared" si="252"/>
        <v>1</v>
      </c>
      <c r="G639" s="124">
        <f t="shared" si="253"/>
        <v>2427.0381187374833</v>
      </c>
      <c r="H639" s="124">
        <f t="shared" si="254"/>
        <v>1</v>
      </c>
      <c r="I639" s="124">
        <f t="shared" si="255"/>
        <v>1</v>
      </c>
      <c r="J639" s="124">
        <f t="shared" si="256"/>
        <v>3.1737604010908348E-7</v>
      </c>
      <c r="K639" s="124">
        <f t="shared" si="257"/>
        <v>0</v>
      </c>
      <c r="L639" s="124">
        <f t="shared" si="258"/>
        <v>0</v>
      </c>
      <c r="M639" s="120"/>
      <c r="N639" s="132">
        <f t="shared" si="246"/>
        <v>345286.71443162771</v>
      </c>
      <c r="O639" s="124">
        <f t="shared" si="259"/>
        <v>2893578.9725449886</v>
      </c>
      <c r="P639" s="124">
        <f t="shared" si="260"/>
        <v>1</v>
      </c>
      <c r="Q639" s="124">
        <f t="shared" si="261"/>
        <v>1</v>
      </c>
      <c r="R639" s="124">
        <f t="shared" si="262"/>
        <v>2836500.563076287</v>
      </c>
      <c r="S639" s="124">
        <f t="shared" si="263"/>
        <v>264095.20198060269</v>
      </c>
      <c r="T639" s="124">
        <f t="shared" si="264"/>
        <v>2848768.4567267429</v>
      </c>
      <c r="U639" s="124">
        <f t="shared" si="265"/>
        <v>1</v>
      </c>
      <c r="V639" s="124">
        <f t="shared" si="266"/>
        <v>0</v>
      </c>
      <c r="W639" s="124">
        <f t="shared" si="267"/>
        <v>1</v>
      </c>
      <c r="X639" s="124">
        <f t="shared" si="268"/>
        <v>1</v>
      </c>
      <c r="Y639" s="124">
        <f t="shared" si="269"/>
        <v>0</v>
      </c>
      <c r="Z639" s="124">
        <f t="shared" si="270"/>
        <v>1</v>
      </c>
      <c r="AA639" s="124">
        <f t="shared" si="247"/>
        <v>4.5943830540196611E-5</v>
      </c>
      <c r="AB639" s="124">
        <f t="shared" si="271"/>
        <v>0</v>
      </c>
      <c r="AC639" s="124">
        <f t="shared" si="272"/>
        <v>0</v>
      </c>
    </row>
    <row r="640" spans="2:29" s="114" customFormat="1">
      <c r="B640" s="115">
        <f t="shared" si="248"/>
        <v>4.7599999999999261</v>
      </c>
      <c r="C640" s="124">
        <f t="shared" si="249"/>
        <v>57543.993733705924</v>
      </c>
      <c r="D640" s="124">
        <f t="shared" si="250"/>
        <v>2409.0779540408876</v>
      </c>
      <c r="E640" s="124">
        <f t="shared" si="251"/>
        <v>1</v>
      </c>
      <c r="F640" s="124">
        <f t="shared" si="252"/>
        <v>1</v>
      </c>
      <c r="G640" s="124">
        <f t="shared" si="253"/>
        <v>2414.7658079265143</v>
      </c>
      <c r="H640" s="124">
        <f t="shared" si="254"/>
        <v>1</v>
      </c>
      <c r="I640" s="124">
        <f t="shared" si="255"/>
        <v>1</v>
      </c>
      <c r="J640" s="124">
        <f t="shared" si="256"/>
        <v>1.048912866927185E-6</v>
      </c>
      <c r="K640" s="124">
        <f t="shared" si="257"/>
        <v>0</v>
      </c>
      <c r="L640" s="124">
        <f t="shared" si="258"/>
        <v>0</v>
      </c>
      <c r="M640" s="120"/>
      <c r="N640" s="132">
        <f t="shared" si="246"/>
        <v>361559.57594405522</v>
      </c>
      <c r="O640" s="124">
        <f t="shared" si="259"/>
        <v>2901297.0525657628</v>
      </c>
      <c r="P640" s="124">
        <f t="shared" si="260"/>
        <v>1</v>
      </c>
      <c r="Q640" s="124">
        <f t="shared" si="261"/>
        <v>1</v>
      </c>
      <c r="R640" s="124">
        <f t="shared" si="262"/>
        <v>2842945.521411954</v>
      </c>
      <c r="S640" s="124">
        <f t="shared" si="263"/>
        <v>262123.51562475081</v>
      </c>
      <c r="T640" s="124">
        <f t="shared" si="264"/>
        <v>2855004.0236678766</v>
      </c>
      <c r="U640" s="124">
        <f t="shared" si="265"/>
        <v>1</v>
      </c>
      <c r="V640" s="124">
        <f t="shared" si="266"/>
        <v>0</v>
      </c>
      <c r="W640" s="124">
        <f t="shared" si="267"/>
        <v>1</v>
      </c>
      <c r="X640" s="124">
        <f t="shared" si="268"/>
        <v>1</v>
      </c>
      <c r="Y640" s="124">
        <f t="shared" si="269"/>
        <v>0</v>
      </c>
      <c r="Z640" s="124">
        <f t="shared" si="270"/>
        <v>1</v>
      </c>
      <c r="AA640" s="124">
        <f t="shared" si="247"/>
        <v>4.8796821275455159E-5</v>
      </c>
      <c r="AB640" s="124">
        <f t="shared" si="271"/>
        <v>0</v>
      </c>
      <c r="AC640" s="124">
        <f t="shared" si="272"/>
        <v>0</v>
      </c>
    </row>
    <row r="641" spans="2:29" s="114" customFormat="1">
      <c r="B641" s="115">
        <f t="shared" si="248"/>
        <v>4.7799999999999256</v>
      </c>
      <c r="C641" s="124">
        <f t="shared" si="249"/>
        <v>60255.958607425528</v>
      </c>
      <c r="D641" s="124">
        <f t="shared" si="250"/>
        <v>2394.4922976730518</v>
      </c>
      <c r="E641" s="124">
        <f t="shared" si="251"/>
        <v>1</v>
      </c>
      <c r="F641" s="124">
        <f t="shared" si="252"/>
        <v>1</v>
      </c>
      <c r="G641" s="124">
        <f t="shared" si="253"/>
        <v>2402.538070702708</v>
      </c>
      <c r="H641" s="124">
        <f t="shared" si="254"/>
        <v>1</v>
      </c>
      <c r="I641" s="124">
        <f t="shared" si="255"/>
        <v>1</v>
      </c>
      <c r="J641" s="124">
        <f t="shared" si="256"/>
        <v>2.1223648615884254E-6</v>
      </c>
      <c r="K641" s="124">
        <f t="shared" si="257"/>
        <v>0</v>
      </c>
      <c r="L641" s="124">
        <f t="shared" si="258"/>
        <v>0</v>
      </c>
      <c r="M641" s="120"/>
      <c r="N641" s="132">
        <f t="shared" si="246"/>
        <v>378599.35379219742</v>
      </c>
      <c r="O641" s="124">
        <f t="shared" si="259"/>
        <v>2908955.5664896602</v>
      </c>
      <c r="P641" s="124">
        <f t="shared" si="260"/>
        <v>1</v>
      </c>
      <c r="Q641" s="124">
        <f t="shared" si="261"/>
        <v>1</v>
      </c>
      <c r="R641" s="124">
        <f t="shared" si="262"/>
        <v>2849388.8585694479</v>
      </c>
      <c r="S641" s="124">
        <f t="shared" si="263"/>
        <v>260365.43020161465</v>
      </c>
      <c r="T641" s="124">
        <f t="shared" si="264"/>
        <v>2861259.6919160928</v>
      </c>
      <c r="U641" s="124">
        <f t="shared" si="265"/>
        <v>1</v>
      </c>
      <c r="V641" s="124">
        <f t="shared" si="266"/>
        <v>0</v>
      </c>
      <c r="W641" s="124">
        <f t="shared" si="267"/>
        <v>1</v>
      </c>
      <c r="X641" s="124">
        <f t="shared" si="268"/>
        <v>1</v>
      </c>
      <c r="Y641" s="124">
        <f t="shared" si="269"/>
        <v>0</v>
      </c>
      <c r="Z641" s="124">
        <f t="shared" si="270"/>
        <v>1</v>
      </c>
      <c r="AA641" s="124">
        <f t="shared" si="247"/>
        <v>5.1549683130114085E-5</v>
      </c>
      <c r="AB641" s="124">
        <f t="shared" si="271"/>
        <v>0</v>
      </c>
      <c r="AC641" s="124">
        <f t="shared" si="272"/>
        <v>0</v>
      </c>
    </row>
    <row r="642" spans="2:29" s="114" customFormat="1">
      <c r="B642" s="115">
        <f t="shared" si="248"/>
        <v>4.7999999999999252</v>
      </c>
      <c r="C642" s="124">
        <f t="shared" si="249"/>
        <v>63095.734448008472</v>
      </c>
      <c r="D642" s="124">
        <f t="shared" si="250"/>
        <v>2380.1307721216826</v>
      </c>
      <c r="E642" s="124">
        <f t="shared" si="251"/>
        <v>1</v>
      </c>
      <c r="F642" s="124">
        <f t="shared" si="252"/>
        <v>1</v>
      </c>
      <c r="G642" s="124">
        <f t="shared" si="253"/>
        <v>2390.3186940569094</v>
      </c>
      <c r="H642" s="124">
        <f t="shared" si="254"/>
        <v>1</v>
      </c>
      <c r="I642" s="124">
        <f t="shared" si="255"/>
        <v>1</v>
      </c>
      <c r="J642" s="124">
        <f t="shared" si="256"/>
        <v>3.4409831990632796E-6</v>
      </c>
      <c r="K642" s="124">
        <f t="shared" si="257"/>
        <v>0</v>
      </c>
      <c r="L642" s="124">
        <f t="shared" si="258"/>
        <v>0</v>
      </c>
      <c r="M642" s="120"/>
      <c r="N642" s="132">
        <f t="shared" si="246"/>
        <v>396442.19162943173</v>
      </c>
      <c r="O642" s="124">
        <f t="shared" si="259"/>
        <v>2916554.7096763286</v>
      </c>
      <c r="P642" s="124">
        <f t="shared" si="260"/>
        <v>1</v>
      </c>
      <c r="Q642" s="124">
        <f t="shared" si="261"/>
        <v>1</v>
      </c>
      <c r="R642" s="124">
        <f t="shared" si="262"/>
        <v>2855856.9366758005</v>
      </c>
      <c r="S642" s="124">
        <f t="shared" si="263"/>
        <v>258811.16581762614</v>
      </c>
      <c r="T642" s="124">
        <f t="shared" si="264"/>
        <v>2867560.2979381559</v>
      </c>
      <c r="U642" s="124">
        <f t="shared" si="265"/>
        <v>1</v>
      </c>
      <c r="V642" s="124">
        <f t="shared" si="266"/>
        <v>0</v>
      </c>
      <c r="W642" s="124">
        <f t="shared" si="267"/>
        <v>1</v>
      </c>
      <c r="X642" s="124">
        <f t="shared" si="268"/>
        <v>1</v>
      </c>
      <c r="Y642" s="124">
        <f t="shared" si="269"/>
        <v>0</v>
      </c>
      <c r="Z642" s="124">
        <f t="shared" si="270"/>
        <v>1</v>
      </c>
      <c r="AA642" s="124">
        <f t="shared" si="247"/>
        <v>5.4133816213929884E-5</v>
      </c>
      <c r="AB642" s="124">
        <f t="shared" si="271"/>
        <v>0</v>
      </c>
      <c r="AC642" s="124">
        <f t="shared" si="272"/>
        <v>0</v>
      </c>
    </row>
    <row r="643" spans="2:29" s="114" customFormat="1">
      <c r="B643" s="115">
        <f t="shared" si="248"/>
        <v>4.8199999999999248</v>
      </c>
      <c r="C643" s="124">
        <f t="shared" si="249"/>
        <v>66069.344800748222</v>
      </c>
      <c r="D643" s="124">
        <f t="shared" si="250"/>
        <v>2365.9893670813676</v>
      </c>
      <c r="E643" s="124">
        <f t="shared" si="251"/>
        <v>1</v>
      </c>
      <c r="F643" s="124">
        <f t="shared" si="252"/>
        <v>1</v>
      </c>
      <c r="G643" s="124">
        <f t="shared" si="253"/>
        <v>2378.0768429424556</v>
      </c>
      <c r="H643" s="124">
        <f t="shared" si="254"/>
        <v>1</v>
      </c>
      <c r="I643" s="124">
        <f t="shared" si="255"/>
        <v>1</v>
      </c>
      <c r="J643" s="124">
        <f t="shared" si="256"/>
        <v>4.8977910126048399E-6</v>
      </c>
      <c r="K643" s="124">
        <f t="shared" si="257"/>
        <v>0</v>
      </c>
      <c r="L643" s="124">
        <f t="shared" si="258"/>
        <v>0</v>
      </c>
      <c r="M643" s="120"/>
      <c r="N643" s="132">
        <f t="shared" si="246"/>
        <v>415125.9365070432</v>
      </c>
      <c r="O643" s="124">
        <f t="shared" si="259"/>
        <v>2924094.682656358</v>
      </c>
      <c r="P643" s="124">
        <f t="shared" si="260"/>
        <v>1</v>
      </c>
      <c r="Q643" s="124">
        <f t="shared" si="261"/>
        <v>1</v>
      </c>
      <c r="R643" s="124">
        <f t="shared" si="262"/>
        <v>2862374.9068397274</v>
      </c>
      <c r="S643" s="124">
        <f t="shared" si="263"/>
        <v>257447.99264287972</v>
      </c>
      <c r="T643" s="124">
        <f t="shared" si="264"/>
        <v>2873929.2921402203</v>
      </c>
      <c r="U643" s="124">
        <f t="shared" si="265"/>
        <v>1</v>
      </c>
      <c r="V643" s="124">
        <f t="shared" si="266"/>
        <v>0</v>
      </c>
      <c r="W643" s="124">
        <f t="shared" si="267"/>
        <v>1</v>
      </c>
      <c r="X643" s="124">
        <f t="shared" si="268"/>
        <v>1</v>
      </c>
      <c r="Y643" s="124">
        <f t="shared" si="269"/>
        <v>0</v>
      </c>
      <c r="Z643" s="124">
        <f t="shared" si="270"/>
        <v>1</v>
      </c>
      <c r="AA643" s="124">
        <f t="shared" si="247"/>
        <v>5.6480517840140351E-5</v>
      </c>
      <c r="AB643" s="124">
        <f t="shared" si="271"/>
        <v>0</v>
      </c>
      <c r="AC643" s="124">
        <f t="shared" si="272"/>
        <v>0</v>
      </c>
    </row>
    <row r="644" spans="2:29" s="114" customFormat="1">
      <c r="B644" s="115">
        <f t="shared" si="248"/>
        <v>4.8399999999999244</v>
      </c>
      <c r="C644" s="124">
        <f t="shared" si="249"/>
        <v>69183.097091881718</v>
      </c>
      <c r="D644" s="124">
        <f t="shared" si="250"/>
        <v>2352.0641550651671</v>
      </c>
      <c r="E644" s="124">
        <f t="shared" si="251"/>
        <v>1</v>
      </c>
      <c r="F644" s="124">
        <f t="shared" si="252"/>
        <v>1</v>
      </c>
      <c r="G644" s="124">
        <f t="shared" si="253"/>
        <v>2365.7872671327868</v>
      </c>
      <c r="H644" s="124">
        <f t="shared" si="254"/>
        <v>1</v>
      </c>
      <c r="I644" s="124">
        <f t="shared" si="255"/>
        <v>1</v>
      </c>
      <c r="J644" s="124">
        <f t="shared" si="256"/>
        <v>6.3833368698086803E-6</v>
      </c>
      <c r="K644" s="124">
        <f t="shared" si="257"/>
        <v>0</v>
      </c>
      <c r="L644" s="124">
        <f t="shared" si="258"/>
        <v>0</v>
      </c>
      <c r="M644" s="120"/>
      <c r="N644" s="132">
        <f t="shared" si="246"/>
        <v>434690.21915288997</v>
      </c>
      <c r="O644" s="124">
        <f t="shared" si="259"/>
        <v>2931575.6909884554</v>
      </c>
      <c r="P644" s="124">
        <f t="shared" si="260"/>
        <v>1</v>
      </c>
      <c r="Q644" s="124">
        <f t="shared" si="261"/>
        <v>1</v>
      </c>
      <c r="R644" s="124">
        <f t="shared" si="262"/>
        <v>2868966.4131408879</v>
      </c>
      <c r="S644" s="124">
        <f t="shared" si="263"/>
        <v>256260.34055327877</v>
      </c>
      <c r="T644" s="124">
        <f t="shared" si="264"/>
        <v>2880388.453294273</v>
      </c>
      <c r="U644" s="124">
        <f t="shared" si="265"/>
        <v>1</v>
      </c>
      <c r="V644" s="124">
        <f t="shared" si="266"/>
        <v>0</v>
      </c>
      <c r="W644" s="124">
        <f t="shared" si="267"/>
        <v>1</v>
      </c>
      <c r="X644" s="124">
        <f t="shared" si="268"/>
        <v>1</v>
      </c>
      <c r="Y644" s="124">
        <f t="shared" si="269"/>
        <v>0</v>
      </c>
      <c r="Z644" s="124">
        <f t="shared" si="270"/>
        <v>1</v>
      </c>
      <c r="AA644" s="124">
        <f t="shared" si="247"/>
        <v>5.8523273063605536E-5</v>
      </c>
      <c r="AB644" s="124">
        <f t="shared" si="271"/>
        <v>0</v>
      </c>
      <c r="AC644" s="124">
        <f t="shared" si="272"/>
        <v>0</v>
      </c>
    </row>
    <row r="645" spans="2:29" s="114" customFormat="1">
      <c r="B645" s="115">
        <f t="shared" si="248"/>
        <v>4.8599999999999239</v>
      </c>
      <c r="C645" s="124">
        <f t="shared" si="249"/>
        <v>72443.596007486383</v>
      </c>
      <c r="D645" s="124">
        <f t="shared" si="250"/>
        <v>2338.3512894907763</v>
      </c>
      <c r="E645" s="124">
        <f t="shared" si="251"/>
        <v>1</v>
      </c>
      <c r="F645" s="124">
        <f t="shared" si="252"/>
        <v>1</v>
      </c>
      <c r="G645" s="124">
        <f t="shared" si="253"/>
        <v>2353.4303636052205</v>
      </c>
      <c r="H645" s="124">
        <f t="shared" si="254"/>
        <v>1</v>
      </c>
      <c r="I645" s="124">
        <f t="shared" si="255"/>
        <v>1</v>
      </c>
      <c r="J645" s="124">
        <f t="shared" si="256"/>
        <v>7.7930124650339995E-6</v>
      </c>
      <c r="K645" s="124">
        <f t="shared" si="257"/>
        <v>0</v>
      </c>
      <c r="L645" s="124">
        <f t="shared" si="258"/>
        <v>0</v>
      </c>
      <c r="M645" s="120"/>
      <c r="N645" s="132">
        <f t="shared" si="246"/>
        <v>455176.53803349216</v>
      </c>
      <c r="O645" s="124">
        <f t="shared" si="259"/>
        <v>2938997.9451182703</v>
      </c>
      <c r="P645" s="124">
        <f t="shared" si="260"/>
        <v>1</v>
      </c>
      <c r="Q645" s="124">
        <f t="shared" si="261"/>
        <v>1</v>
      </c>
      <c r="R645" s="124">
        <f t="shared" si="262"/>
        <v>2875653.294834666</v>
      </c>
      <c r="S645" s="124">
        <f t="shared" si="263"/>
        <v>255229.93355589692</v>
      </c>
      <c r="T645" s="124">
        <f t="shared" si="264"/>
        <v>2886957.6011913335</v>
      </c>
      <c r="U645" s="124">
        <f t="shared" si="265"/>
        <v>1</v>
      </c>
      <c r="V645" s="124">
        <f t="shared" si="266"/>
        <v>0</v>
      </c>
      <c r="W645" s="124">
        <f t="shared" si="267"/>
        <v>1</v>
      </c>
      <c r="X645" s="124">
        <f t="shared" si="268"/>
        <v>1</v>
      </c>
      <c r="Y645" s="124">
        <f t="shared" si="269"/>
        <v>0</v>
      </c>
      <c r="Z645" s="124">
        <f t="shared" si="270"/>
        <v>1</v>
      </c>
      <c r="AA645" s="124">
        <f t="shared" si="247"/>
        <v>6.0200167455432943E-5</v>
      </c>
      <c r="AB645" s="124">
        <f t="shared" si="271"/>
        <v>0</v>
      </c>
      <c r="AC645" s="124">
        <f t="shared" si="272"/>
        <v>0</v>
      </c>
    </row>
    <row r="646" spans="2:29" s="114" customFormat="1">
      <c r="B646" s="115">
        <f t="shared" si="248"/>
        <v>4.8799999999999235</v>
      </c>
      <c r="C646" s="124">
        <f t="shared" si="249"/>
        <v>75857.757502905137</v>
      </c>
      <c r="D646" s="124">
        <f t="shared" si="250"/>
        <v>2324.8470028145143</v>
      </c>
      <c r="E646" s="124">
        <f t="shared" si="251"/>
        <v>1</v>
      </c>
      <c r="F646" s="124">
        <f t="shared" si="252"/>
        <v>1</v>
      </c>
      <c r="G646" s="124">
        <f t="shared" si="253"/>
        <v>2340.9921060122024</v>
      </c>
      <c r="H646" s="124">
        <f t="shared" si="254"/>
        <v>1</v>
      </c>
      <c r="I646" s="124">
        <f t="shared" si="255"/>
        <v>1</v>
      </c>
      <c r="J646" s="124">
        <f t="shared" si="256"/>
        <v>9.0334618175085779E-6</v>
      </c>
      <c r="K646" s="124">
        <f t="shared" si="257"/>
        <v>0</v>
      </c>
      <c r="L646" s="124">
        <f t="shared" si="258"/>
        <v>0</v>
      </c>
      <c r="M646" s="120"/>
      <c r="N646" s="132">
        <f t="shared" si="246"/>
        <v>476628.34737784555</v>
      </c>
      <c r="O646" s="124">
        <f t="shared" si="259"/>
        <v>2946361.6602388588</v>
      </c>
      <c r="P646" s="124">
        <f t="shared" si="260"/>
        <v>1</v>
      </c>
      <c r="Q646" s="124">
        <f t="shared" si="261"/>
        <v>1</v>
      </c>
      <c r="R646" s="124">
        <f t="shared" si="262"/>
        <v>2882455.2878482593</v>
      </c>
      <c r="S646" s="124">
        <f t="shared" si="263"/>
        <v>254335.95352579246</v>
      </c>
      <c r="T646" s="124">
        <f t="shared" si="264"/>
        <v>2893654.3096403666</v>
      </c>
      <c r="U646" s="124">
        <f t="shared" si="265"/>
        <v>1</v>
      </c>
      <c r="V646" s="124">
        <f t="shared" si="266"/>
        <v>0</v>
      </c>
      <c r="W646" s="124">
        <f t="shared" si="267"/>
        <v>1</v>
      </c>
      <c r="X646" s="124">
        <f t="shared" si="268"/>
        <v>1</v>
      </c>
      <c r="Y646" s="124">
        <f t="shared" si="269"/>
        <v>0</v>
      </c>
      <c r="Z646" s="124">
        <f t="shared" si="270"/>
        <v>1</v>
      </c>
      <c r="AA646" s="124">
        <f t="shared" si="247"/>
        <v>6.1456312981857285E-5</v>
      </c>
      <c r="AB646" s="124">
        <f t="shared" si="271"/>
        <v>0</v>
      </c>
      <c r="AC646" s="124">
        <f t="shared" si="272"/>
        <v>0</v>
      </c>
    </row>
    <row r="647" spans="2:29" s="114" customFormat="1">
      <c r="B647" s="115">
        <f t="shared" si="248"/>
        <v>4.8999999999999231</v>
      </c>
      <c r="C647" s="124">
        <f t="shared" si="249"/>
        <v>79432.823472414137</v>
      </c>
      <c r="D647" s="124">
        <f t="shared" si="250"/>
        <v>2311.5476047119059</v>
      </c>
      <c r="E647" s="124">
        <f t="shared" si="251"/>
        <v>1</v>
      </c>
      <c r="F647" s="124">
        <f t="shared" si="252"/>
        <v>1</v>
      </c>
      <c r="G647" s="124">
        <f t="shared" si="253"/>
        <v>2328.4638575295417</v>
      </c>
      <c r="H647" s="124">
        <f t="shared" si="254"/>
        <v>1</v>
      </c>
      <c r="I647" s="124">
        <f t="shared" si="255"/>
        <v>1</v>
      </c>
      <c r="J647" s="124">
        <f t="shared" si="256"/>
        <v>1.0027731334982812E-5</v>
      </c>
      <c r="K647" s="124">
        <f t="shared" si="257"/>
        <v>0</v>
      </c>
      <c r="L647" s="124">
        <f t="shared" si="258"/>
        <v>0</v>
      </c>
      <c r="M647" s="120"/>
      <c r="N647" s="132">
        <f t="shared" si="246"/>
        <v>499091.14934966224</v>
      </c>
      <c r="O647" s="124">
        <f t="shared" si="259"/>
        <v>2953667.0561528583</v>
      </c>
      <c r="P647" s="124">
        <f t="shared" si="260"/>
        <v>1</v>
      </c>
      <c r="Q647" s="124">
        <f t="shared" si="261"/>
        <v>1</v>
      </c>
      <c r="R647" s="124">
        <f t="shared" si="262"/>
        <v>2889389.7282428849</v>
      </c>
      <c r="S647" s="124">
        <f t="shared" si="263"/>
        <v>253555.23802295348</v>
      </c>
      <c r="T647" s="124">
        <f t="shared" si="264"/>
        <v>2900493.6235758853</v>
      </c>
      <c r="U647" s="124">
        <f t="shared" si="265"/>
        <v>1</v>
      </c>
      <c r="V647" s="124">
        <f t="shared" si="266"/>
        <v>0</v>
      </c>
      <c r="W647" s="124">
        <f t="shared" si="267"/>
        <v>1</v>
      </c>
      <c r="X647" s="124">
        <f t="shared" si="268"/>
        <v>1</v>
      </c>
      <c r="Y647" s="124">
        <f t="shared" si="269"/>
        <v>0</v>
      </c>
      <c r="Z647" s="124">
        <f t="shared" si="270"/>
        <v>1</v>
      </c>
      <c r="AA647" s="124">
        <f t="shared" si="247"/>
        <v>6.2246167662975178E-5</v>
      </c>
      <c r="AB647" s="124">
        <f t="shared" si="271"/>
        <v>0</v>
      </c>
      <c r="AC647" s="124">
        <f t="shared" si="272"/>
        <v>0</v>
      </c>
    </row>
    <row r="648" spans="2:29" s="114" customFormat="1">
      <c r="B648" s="115">
        <f t="shared" si="248"/>
        <v>4.9199999999999227</v>
      </c>
      <c r="C648" s="124">
        <f t="shared" si="249"/>
        <v>83176.377110252404</v>
      </c>
      <c r="D648" s="124">
        <f t="shared" si="250"/>
        <v>2298.4494803036191</v>
      </c>
      <c r="E648" s="124">
        <f t="shared" si="251"/>
        <v>1</v>
      </c>
      <c r="F648" s="124">
        <f t="shared" si="252"/>
        <v>1</v>
      </c>
      <c r="G648" s="124">
        <f t="shared" si="253"/>
        <v>2315.8420867751147</v>
      </c>
      <c r="H648" s="124">
        <f t="shared" si="254"/>
        <v>1</v>
      </c>
      <c r="I648" s="124">
        <f t="shared" si="255"/>
        <v>1</v>
      </c>
      <c r="J648" s="124">
        <f t="shared" si="256"/>
        <v>1.0718944009338384E-5</v>
      </c>
      <c r="K648" s="124">
        <f t="shared" si="257"/>
        <v>0</v>
      </c>
      <c r="L648" s="124">
        <f t="shared" si="258"/>
        <v>0</v>
      </c>
      <c r="M648" s="120"/>
      <c r="N648" s="132">
        <f t="shared" si="246"/>
        <v>522612.59056356637</v>
      </c>
      <c r="O648" s="124">
        <f t="shared" si="259"/>
        <v>2960914.3571362081</v>
      </c>
      <c r="P648" s="124">
        <f t="shared" si="260"/>
        <v>1</v>
      </c>
      <c r="Q648" s="124">
        <f t="shared" si="261"/>
        <v>1</v>
      </c>
      <c r="R648" s="124">
        <f t="shared" si="262"/>
        <v>2896471.2620415194</v>
      </c>
      <c r="S648" s="124">
        <f t="shared" si="263"/>
        <v>252862.51677621878</v>
      </c>
      <c r="T648" s="124">
        <f t="shared" si="264"/>
        <v>2907487.7857392277</v>
      </c>
      <c r="U648" s="124">
        <f t="shared" si="265"/>
        <v>1</v>
      </c>
      <c r="V648" s="124">
        <f t="shared" si="266"/>
        <v>0</v>
      </c>
      <c r="W648" s="124">
        <f t="shared" si="267"/>
        <v>1</v>
      </c>
      <c r="X648" s="124">
        <f t="shared" si="268"/>
        <v>1</v>
      </c>
      <c r="Y648" s="124">
        <f t="shared" si="269"/>
        <v>0</v>
      </c>
      <c r="Z648" s="124">
        <f t="shared" si="270"/>
        <v>1</v>
      </c>
      <c r="AA648" s="124">
        <f t="shared" si="247"/>
        <v>6.2535623982759976E-5</v>
      </c>
      <c r="AB648" s="124">
        <f t="shared" si="271"/>
        <v>0</v>
      </c>
      <c r="AC648" s="124">
        <f t="shared" si="272"/>
        <v>0</v>
      </c>
    </row>
    <row r="649" spans="2:29" s="114" customFormat="1">
      <c r="B649" s="115">
        <f t="shared" si="248"/>
        <v>4.9399999999999222</v>
      </c>
      <c r="C649" s="124">
        <f t="shared" si="249"/>
        <v>87096.358995592498</v>
      </c>
      <c r="D649" s="124">
        <f t="shared" si="250"/>
        <v>2285.5490884255792</v>
      </c>
      <c r="E649" s="124">
        <f t="shared" si="251"/>
        <v>1</v>
      </c>
      <c r="F649" s="124">
        <f t="shared" si="252"/>
        <v>1</v>
      </c>
      <c r="G649" s="124">
        <f t="shared" si="253"/>
        <v>2303.1280083889196</v>
      </c>
      <c r="H649" s="124">
        <f t="shared" si="254"/>
        <v>1</v>
      </c>
      <c r="I649" s="124">
        <f t="shared" si="255"/>
        <v>1</v>
      </c>
      <c r="J649" s="124">
        <f t="shared" si="256"/>
        <v>1.1072412205667787E-5</v>
      </c>
      <c r="K649" s="124">
        <f t="shared" si="257"/>
        <v>0</v>
      </c>
      <c r="L649" s="124">
        <f t="shared" si="258"/>
        <v>0</v>
      </c>
      <c r="M649" s="120"/>
      <c r="N649" s="132">
        <f t="shared" si="246"/>
        <v>547242.56314994534</v>
      </c>
      <c r="O649" s="124">
        <f t="shared" si="259"/>
        <v>2968103.7918037241</v>
      </c>
      <c r="P649" s="124">
        <f t="shared" si="260"/>
        <v>1</v>
      </c>
      <c r="Q649" s="124">
        <f t="shared" si="261"/>
        <v>1</v>
      </c>
      <c r="R649" s="124">
        <f t="shared" si="262"/>
        <v>2903711.5675766952</v>
      </c>
      <c r="S649" s="124">
        <f t="shared" si="263"/>
        <v>252230.69076644268</v>
      </c>
      <c r="T649" s="124">
        <f t="shared" si="264"/>
        <v>2914645.9800537056</v>
      </c>
      <c r="U649" s="124">
        <f t="shared" si="265"/>
        <v>1</v>
      </c>
      <c r="V649" s="124">
        <f t="shared" si="266"/>
        <v>0</v>
      </c>
      <c r="W649" s="124">
        <f t="shared" si="267"/>
        <v>1</v>
      </c>
      <c r="X649" s="124">
        <f t="shared" si="268"/>
        <v>1</v>
      </c>
      <c r="Y649" s="124">
        <f t="shared" si="269"/>
        <v>0</v>
      </c>
      <c r="Z649" s="124">
        <f t="shared" si="270"/>
        <v>1</v>
      </c>
      <c r="AA649" s="124">
        <f t="shared" si="247"/>
        <v>6.230374132126806E-5</v>
      </c>
      <c r="AB649" s="124">
        <f t="shared" si="271"/>
        <v>0</v>
      </c>
      <c r="AC649" s="124">
        <f t="shared" si="272"/>
        <v>0</v>
      </c>
    </row>
    <row r="650" spans="2:29" s="114" customFormat="1">
      <c r="B650" s="115">
        <f t="shared" si="248"/>
        <v>4.9599999999999218</v>
      </c>
      <c r="C650" s="124">
        <f t="shared" si="249"/>
        <v>91201.083935574658</v>
      </c>
      <c r="D650" s="124">
        <f t="shared" si="250"/>
        <v>2272.8429599421024</v>
      </c>
      <c r="E650" s="124">
        <f t="shared" si="251"/>
        <v>1</v>
      </c>
      <c r="F650" s="124">
        <f t="shared" si="252"/>
        <v>1</v>
      </c>
      <c r="G650" s="124">
        <f t="shared" si="253"/>
        <v>2290.3271702082884</v>
      </c>
      <c r="H650" s="124">
        <f t="shared" si="254"/>
        <v>1</v>
      </c>
      <c r="I650" s="124">
        <f t="shared" si="255"/>
        <v>1</v>
      </c>
      <c r="J650" s="124">
        <f t="shared" si="256"/>
        <v>1.1076220271945346E-5</v>
      </c>
      <c r="K650" s="124">
        <f t="shared" si="257"/>
        <v>0</v>
      </c>
      <c r="L650" s="124">
        <f t="shared" si="258"/>
        <v>0</v>
      </c>
      <c r="M650" s="120"/>
      <c r="N650" s="132">
        <f t="shared" si="246"/>
        <v>573033.3105828549</v>
      </c>
      <c r="O650" s="124">
        <f t="shared" si="259"/>
        <v>2975235.5929762577</v>
      </c>
      <c r="P650" s="124">
        <f t="shared" si="260"/>
        <v>1</v>
      </c>
      <c r="Q650" s="124">
        <f t="shared" si="261"/>
        <v>1</v>
      </c>
      <c r="R650" s="124">
        <f t="shared" si="262"/>
        <v>2911119.0981825371</v>
      </c>
      <c r="S650" s="124">
        <f t="shared" si="263"/>
        <v>251631.15668157805</v>
      </c>
      <c r="T650" s="124">
        <f t="shared" si="264"/>
        <v>2921974.1002986352</v>
      </c>
      <c r="U650" s="124">
        <f t="shared" si="265"/>
        <v>1</v>
      </c>
      <c r="V650" s="124">
        <f t="shared" si="266"/>
        <v>0</v>
      </c>
      <c r="W650" s="124">
        <f t="shared" si="267"/>
        <v>1</v>
      </c>
      <c r="X650" s="124">
        <f t="shared" si="268"/>
        <v>1</v>
      </c>
      <c r="Y650" s="124">
        <f t="shared" si="269"/>
        <v>0</v>
      </c>
      <c r="Z650" s="124">
        <f t="shared" si="270"/>
        <v>1</v>
      </c>
      <c r="AA650" s="124">
        <f t="shared" si="247"/>
        <v>6.154400540614029E-5</v>
      </c>
      <c r="AB650" s="124">
        <f t="shared" si="271"/>
        <v>0</v>
      </c>
      <c r="AC650" s="124">
        <f t="shared" si="272"/>
        <v>0</v>
      </c>
    </row>
    <row r="651" spans="2:29" s="114" customFormat="1">
      <c r="B651" s="115">
        <f t="shared" si="248"/>
        <v>4.9799999999999214</v>
      </c>
      <c r="C651" s="124">
        <f t="shared" si="249"/>
        <v>95499.258602126327</v>
      </c>
      <c r="D651" s="124">
        <f t="shared" si="250"/>
        <v>2260.3276961009037</v>
      </c>
      <c r="E651" s="124">
        <f t="shared" si="251"/>
        <v>1</v>
      </c>
      <c r="F651" s="124">
        <f t="shared" si="252"/>
        <v>1</v>
      </c>
      <c r="G651" s="124">
        <f t="shared" si="253"/>
        <v>2277.4490078515428</v>
      </c>
      <c r="H651" s="124">
        <f t="shared" si="254"/>
        <v>1</v>
      </c>
      <c r="I651" s="124">
        <f t="shared" si="255"/>
        <v>1</v>
      </c>
      <c r="J651" s="124">
        <f t="shared" si="256"/>
        <v>1.0740402661756887E-5</v>
      </c>
      <c r="K651" s="124">
        <f t="shared" si="257"/>
        <v>0</v>
      </c>
      <c r="L651" s="124">
        <f t="shared" si="258"/>
        <v>0</v>
      </c>
      <c r="M651" s="120"/>
      <c r="N651" s="132">
        <f t="shared" si="246"/>
        <v>600039.53849542385</v>
      </c>
      <c r="O651" s="124">
        <f t="shared" si="259"/>
        <v>2982309.9975496237</v>
      </c>
      <c r="P651" s="124">
        <f t="shared" si="260"/>
        <v>1</v>
      </c>
      <c r="Q651" s="124">
        <f t="shared" si="261"/>
        <v>1</v>
      </c>
      <c r="R651" s="124">
        <f t="shared" si="262"/>
        <v>2918698.8545050295</v>
      </c>
      <c r="S651" s="124">
        <f t="shared" si="263"/>
        <v>251034.17784644052</v>
      </c>
      <c r="T651" s="124">
        <f t="shared" si="264"/>
        <v>2929474.5538638853</v>
      </c>
      <c r="U651" s="124">
        <f t="shared" si="265"/>
        <v>1</v>
      </c>
      <c r="V651" s="124">
        <f t="shared" si="266"/>
        <v>0</v>
      </c>
      <c r="W651" s="124">
        <f t="shared" si="267"/>
        <v>1</v>
      </c>
      <c r="X651" s="124">
        <f t="shared" si="268"/>
        <v>1</v>
      </c>
      <c r="Y651" s="124">
        <f t="shared" si="269"/>
        <v>0</v>
      </c>
      <c r="Z651" s="124">
        <f t="shared" si="270"/>
        <v>1</v>
      </c>
      <c r="AA651" s="124">
        <f t="shared" si="247"/>
        <v>6.0265014031289368E-5</v>
      </c>
      <c r="AB651" s="124">
        <f t="shared" si="271"/>
        <v>0</v>
      </c>
      <c r="AC651" s="124">
        <f t="shared" si="272"/>
        <v>0</v>
      </c>
    </row>
    <row r="652" spans="2:29" s="114" customFormat="1">
      <c r="B652" s="115">
        <f t="shared" si="248"/>
        <v>4.999999999999921</v>
      </c>
      <c r="C652" s="124">
        <f t="shared" si="249"/>
        <v>99999.999999981897</v>
      </c>
      <c r="D652" s="124">
        <f t="shared" si="250"/>
        <v>2247.9999669288864</v>
      </c>
      <c r="E652" s="124">
        <f t="shared" si="251"/>
        <v>1</v>
      </c>
      <c r="F652" s="124">
        <f t="shared" si="252"/>
        <v>1</v>
      </c>
      <c r="G652" s="124">
        <f t="shared" si="253"/>
        <v>2264.5063851574405</v>
      </c>
      <c r="H652" s="124">
        <f t="shared" si="254"/>
        <v>1</v>
      </c>
      <c r="I652" s="124">
        <f t="shared" si="255"/>
        <v>1</v>
      </c>
      <c r="J652" s="124">
        <f t="shared" si="256"/>
        <v>1.0094911711468618E-5</v>
      </c>
      <c r="K652" s="124">
        <f t="shared" si="257"/>
        <v>0</v>
      </c>
      <c r="L652" s="124">
        <f t="shared" si="258"/>
        <v>0</v>
      </c>
      <c r="M652" s="120"/>
      <c r="N652" s="132">
        <f t="shared" si="246"/>
        <v>628318.53071784484</v>
      </c>
      <c r="O652" s="124">
        <f t="shared" si="259"/>
        <v>2989327.2463652524</v>
      </c>
      <c r="P652" s="124">
        <f t="shared" si="260"/>
        <v>1</v>
      </c>
      <c r="Q652" s="124">
        <f t="shared" si="261"/>
        <v>1</v>
      </c>
      <c r="R652" s="124">
        <f t="shared" si="262"/>
        <v>2926452.1967875739</v>
      </c>
      <c r="S652" s="124">
        <f t="shared" si="263"/>
        <v>250409.30058031777</v>
      </c>
      <c r="T652" s="124">
        <f t="shared" si="264"/>
        <v>2937146.1110915034</v>
      </c>
      <c r="U652" s="124">
        <f t="shared" si="265"/>
        <v>1</v>
      </c>
      <c r="V652" s="124">
        <f t="shared" si="266"/>
        <v>0</v>
      </c>
      <c r="W652" s="124">
        <f t="shared" si="267"/>
        <v>1</v>
      </c>
      <c r="X652" s="124">
        <f t="shared" si="268"/>
        <v>1</v>
      </c>
      <c r="Y652" s="124">
        <f t="shared" si="269"/>
        <v>0</v>
      </c>
      <c r="Z652" s="124">
        <f t="shared" si="270"/>
        <v>1</v>
      </c>
      <c r="AA652" s="124">
        <f t="shared" si="247"/>
        <v>5.849051354356974E-5</v>
      </c>
      <c r="AB652" s="124">
        <f t="shared" si="271"/>
        <v>0</v>
      </c>
      <c r="AC652" s="124">
        <f t="shared" si="272"/>
        <v>0</v>
      </c>
    </row>
    <row r="653" spans="2:29" s="114" customFormat="1">
      <c r="B653" s="115">
        <f t="shared" si="248"/>
        <v>5.0199999999999205</v>
      </c>
      <c r="C653" s="124">
        <f t="shared" si="249"/>
        <v>104712.85480507098</v>
      </c>
      <c r="D653" s="124">
        <f t="shared" si="250"/>
        <v>2235.8565096676793</v>
      </c>
      <c r="E653" s="124">
        <f t="shared" si="251"/>
        <v>1</v>
      </c>
      <c r="F653" s="124">
        <f t="shared" si="252"/>
        <v>1</v>
      </c>
      <c r="G653" s="124">
        <f t="shared" si="253"/>
        <v>2251.5151356352972</v>
      </c>
      <c r="H653" s="124">
        <f t="shared" si="254"/>
        <v>1</v>
      </c>
      <c r="I653" s="124">
        <f t="shared" si="255"/>
        <v>1</v>
      </c>
      <c r="J653" s="124">
        <f t="shared" si="256"/>
        <v>9.1866117292699849E-6</v>
      </c>
      <c r="K653" s="124">
        <f t="shared" si="257"/>
        <v>0</v>
      </c>
      <c r="L653" s="124">
        <f t="shared" si="258"/>
        <v>0</v>
      </c>
      <c r="M653" s="120"/>
      <c r="N653" s="132">
        <f t="shared" si="246"/>
        <v>657930.27078405127</v>
      </c>
      <c r="O653" s="124">
        <f t="shared" si="259"/>
        <v>2996287.5840825448</v>
      </c>
      <c r="P653" s="124">
        <f t="shared" si="260"/>
        <v>1</v>
      </c>
      <c r="Q653" s="124">
        <f t="shared" si="261"/>
        <v>1</v>
      </c>
      <c r="R653" s="124">
        <f t="shared" si="262"/>
        <v>2934376.7080560043</v>
      </c>
      <c r="S653" s="124">
        <f t="shared" si="263"/>
        <v>249725.8123805761</v>
      </c>
      <c r="T653" s="124">
        <f t="shared" si="264"/>
        <v>2944983.8108469681</v>
      </c>
      <c r="U653" s="124">
        <f t="shared" si="265"/>
        <v>1</v>
      </c>
      <c r="V653" s="124">
        <f t="shared" si="266"/>
        <v>0</v>
      </c>
      <c r="W653" s="124">
        <f t="shared" si="267"/>
        <v>1</v>
      </c>
      <c r="X653" s="124">
        <f t="shared" si="268"/>
        <v>1</v>
      </c>
      <c r="Y653" s="124">
        <f t="shared" si="269"/>
        <v>0</v>
      </c>
      <c r="Z653" s="124">
        <f t="shared" si="270"/>
        <v>1</v>
      </c>
      <c r="AA653" s="124">
        <f t="shared" si="247"/>
        <v>5.6258744477600094E-5</v>
      </c>
      <c r="AB653" s="124">
        <f t="shared" si="271"/>
        <v>0</v>
      </c>
      <c r="AC653" s="124">
        <f t="shared" si="272"/>
        <v>0</v>
      </c>
    </row>
    <row r="654" spans="2:29" s="114" customFormat="1">
      <c r="B654" s="115">
        <f t="shared" si="248"/>
        <v>5.0399999999999201</v>
      </c>
      <c r="C654" s="124">
        <f t="shared" si="249"/>
        <v>109647.81961429842</v>
      </c>
      <c r="D654" s="124">
        <f t="shared" si="250"/>
        <v>2223.8941272478278</v>
      </c>
      <c r="E654" s="124">
        <f t="shared" si="251"/>
        <v>1</v>
      </c>
      <c r="F654" s="124">
        <f t="shared" si="252"/>
        <v>1</v>
      </c>
      <c r="G654" s="124">
        <f t="shared" si="253"/>
        <v>2238.4936162428453</v>
      </c>
      <c r="H654" s="124">
        <f t="shared" si="254"/>
        <v>1</v>
      </c>
      <c r="I654" s="124">
        <f t="shared" si="255"/>
        <v>1</v>
      </c>
      <c r="J654" s="124">
        <f t="shared" si="256"/>
        <v>8.0755556634421843E-6</v>
      </c>
      <c r="K654" s="124">
        <f t="shared" si="257"/>
        <v>0</v>
      </c>
      <c r="L654" s="124">
        <f t="shared" si="258"/>
        <v>0</v>
      </c>
      <c r="M654" s="120"/>
      <c r="N654" s="132">
        <f t="shared" si="246"/>
        <v>688937.56916483748</v>
      </c>
      <c r="O654" s="124">
        <f t="shared" si="259"/>
        <v>3003191.2590530054</v>
      </c>
      <c r="P654" s="124">
        <f t="shared" si="260"/>
        <v>1</v>
      </c>
      <c r="Q654" s="124">
        <f t="shared" si="261"/>
        <v>1</v>
      </c>
      <c r="R654" s="124">
        <f t="shared" si="262"/>
        <v>2942466.1190407933</v>
      </c>
      <c r="S654" s="124">
        <f t="shared" si="263"/>
        <v>248953.2354926448</v>
      </c>
      <c r="T654" s="124">
        <f t="shared" si="264"/>
        <v>2952978.9323944123</v>
      </c>
      <c r="U654" s="124">
        <f t="shared" si="265"/>
        <v>1</v>
      </c>
      <c r="V654" s="124">
        <f t="shared" si="266"/>
        <v>0</v>
      </c>
      <c r="W654" s="124">
        <f t="shared" si="267"/>
        <v>1</v>
      </c>
      <c r="X654" s="124">
        <f t="shared" si="268"/>
        <v>1</v>
      </c>
      <c r="Y654" s="124">
        <f t="shared" si="269"/>
        <v>0</v>
      </c>
      <c r="Z654" s="124">
        <f t="shared" si="270"/>
        <v>1</v>
      </c>
      <c r="AA654" s="124">
        <f t="shared" si="247"/>
        <v>5.3621095785998566E-5</v>
      </c>
      <c r="AB654" s="124">
        <f t="shared" si="271"/>
        <v>0</v>
      </c>
      <c r="AC654" s="124">
        <f t="shared" si="272"/>
        <v>0</v>
      </c>
    </row>
    <row r="655" spans="2:29" s="114" customFormat="1">
      <c r="B655" s="115">
        <f t="shared" si="248"/>
        <v>5.0599999999999197</v>
      </c>
      <c r="C655" s="124">
        <f t="shared" si="249"/>
        <v>114815.36214966723</v>
      </c>
      <c r="D655" s="124">
        <f t="shared" si="250"/>
        <v>2212.1096868006707</v>
      </c>
      <c r="E655" s="124">
        <f t="shared" si="251"/>
        <v>1</v>
      </c>
      <c r="F655" s="124">
        <f t="shared" si="252"/>
        <v>1</v>
      </c>
      <c r="G655" s="124">
        <f t="shared" si="253"/>
        <v>2225.4622808252293</v>
      </c>
      <c r="H655" s="124">
        <f t="shared" si="254"/>
        <v>1</v>
      </c>
      <c r="I655" s="124">
        <f t="shared" si="255"/>
        <v>1</v>
      </c>
      <c r="J655" s="124">
        <f t="shared" si="256"/>
        <v>6.83080214498086E-6</v>
      </c>
      <c r="K655" s="124">
        <f t="shared" si="257"/>
        <v>0</v>
      </c>
      <c r="L655" s="124">
        <f t="shared" si="258"/>
        <v>0</v>
      </c>
      <c r="M655" s="120"/>
      <c r="N655" s="132">
        <f t="shared" si="246"/>
        <v>721406.19649729237</v>
      </c>
      <c r="O655" s="124">
        <f t="shared" si="259"/>
        <v>3010038.5231961072</v>
      </c>
      <c r="P655" s="124">
        <f t="shared" si="260"/>
        <v>1</v>
      </c>
      <c r="Q655" s="124">
        <f t="shared" si="261"/>
        <v>1</v>
      </c>
      <c r="R655" s="124">
        <f t="shared" si="262"/>
        <v>2950710.3048247462</v>
      </c>
      <c r="S655" s="124">
        <f t="shared" si="263"/>
        <v>248061.84647726949</v>
      </c>
      <c r="T655" s="124">
        <f t="shared" si="264"/>
        <v>2961119.0423008427</v>
      </c>
      <c r="U655" s="124">
        <f t="shared" si="265"/>
        <v>1</v>
      </c>
      <c r="V655" s="124">
        <f t="shared" si="266"/>
        <v>0</v>
      </c>
      <c r="W655" s="124">
        <f t="shared" si="267"/>
        <v>1</v>
      </c>
      <c r="X655" s="124">
        <f t="shared" si="268"/>
        <v>1</v>
      </c>
      <c r="Y655" s="124">
        <f t="shared" si="269"/>
        <v>0</v>
      </c>
      <c r="Z655" s="124">
        <f t="shared" si="270"/>
        <v>1</v>
      </c>
      <c r="AA655" s="124">
        <f t="shared" si="247"/>
        <v>5.0640112814934257E-5</v>
      </c>
      <c r="AB655" s="124">
        <f t="shared" si="271"/>
        <v>0</v>
      </c>
      <c r="AC655" s="124">
        <f t="shared" si="272"/>
        <v>0</v>
      </c>
    </row>
    <row r="656" spans="2:29" s="114" customFormat="1">
      <c r="B656" s="115">
        <f t="shared" si="248"/>
        <v>5.0799999999999192</v>
      </c>
      <c r="C656" s="124">
        <f t="shared" si="249"/>
        <v>120226.44346171901</v>
      </c>
      <c r="D656" s="124">
        <f t="shared" si="250"/>
        <v>2200.5001182069072</v>
      </c>
      <c r="E656" s="124">
        <f t="shared" si="251"/>
        <v>1</v>
      </c>
      <c r="F656" s="124">
        <f t="shared" si="252"/>
        <v>1</v>
      </c>
      <c r="G656" s="124">
        <f t="shared" si="253"/>
        <v>2212.4432767917647</v>
      </c>
      <c r="H656" s="124">
        <f t="shared" si="254"/>
        <v>1</v>
      </c>
      <c r="I656" s="124">
        <f t="shared" si="255"/>
        <v>1</v>
      </c>
      <c r="J656" s="124">
        <f t="shared" si="256"/>
        <v>5.526019576839795E-6</v>
      </c>
      <c r="K656" s="124">
        <f t="shared" si="257"/>
        <v>0</v>
      </c>
      <c r="L656" s="124">
        <f t="shared" si="258"/>
        <v>0</v>
      </c>
      <c r="M656" s="120"/>
      <c r="N656" s="132">
        <f t="shared" si="246"/>
        <v>755405.02309313009</v>
      </c>
      <c r="O656" s="124">
        <f t="shared" si="259"/>
        <v>3016829.6318769474</v>
      </c>
      <c r="P656" s="124">
        <f t="shared" si="260"/>
        <v>1</v>
      </c>
      <c r="Q656" s="124">
        <f t="shared" si="261"/>
        <v>1</v>
      </c>
      <c r="R656" s="124">
        <f t="shared" si="262"/>
        <v>2959095.3615294788</v>
      </c>
      <c r="S656" s="124">
        <f t="shared" si="263"/>
        <v>247023.20953784254</v>
      </c>
      <c r="T656" s="124">
        <f t="shared" si="264"/>
        <v>2969388.1229431182</v>
      </c>
      <c r="U656" s="124">
        <f t="shared" si="265"/>
        <v>1</v>
      </c>
      <c r="V656" s="124">
        <f t="shared" si="266"/>
        <v>0</v>
      </c>
      <c r="W656" s="124">
        <f t="shared" si="267"/>
        <v>1</v>
      </c>
      <c r="X656" s="124">
        <f t="shared" si="268"/>
        <v>1</v>
      </c>
      <c r="Y656" s="124">
        <f t="shared" si="269"/>
        <v>0</v>
      </c>
      <c r="Z656" s="124">
        <f t="shared" si="270"/>
        <v>1</v>
      </c>
      <c r="AA656" s="124">
        <f t="shared" si="247"/>
        <v>4.7386950932353562E-5</v>
      </c>
      <c r="AB656" s="124">
        <f t="shared" si="271"/>
        <v>0</v>
      </c>
      <c r="AC656" s="124">
        <f t="shared" si="272"/>
        <v>0</v>
      </c>
    </row>
    <row r="657" spans="2:29" s="114" customFormat="1">
      <c r="B657" s="115">
        <f t="shared" si="248"/>
        <v>5.0999999999999188</v>
      </c>
      <c r="C657" s="124">
        <f t="shared" si="249"/>
        <v>125892.54117939337</v>
      </c>
      <c r="D657" s="124">
        <f t="shared" si="250"/>
        <v>2189.062412680888</v>
      </c>
      <c r="E657" s="124">
        <f t="shared" si="251"/>
        <v>1</v>
      </c>
      <c r="F657" s="124">
        <f t="shared" si="252"/>
        <v>1</v>
      </c>
      <c r="G657" s="124">
        <f t="shared" si="253"/>
        <v>2199.4600653850007</v>
      </c>
      <c r="H657" s="124">
        <f t="shared" si="254"/>
        <v>1</v>
      </c>
      <c r="I657" s="124">
        <f t="shared" si="255"/>
        <v>1</v>
      </c>
      <c r="J657" s="124">
        <f t="shared" si="256"/>
        <v>4.2351051690789197E-6</v>
      </c>
      <c r="K657" s="124">
        <f t="shared" si="257"/>
        <v>0</v>
      </c>
      <c r="L657" s="124">
        <f t="shared" si="258"/>
        <v>0</v>
      </c>
      <c r="M657" s="120"/>
      <c r="N657" s="132">
        <f t="shared" si="246"/>
        <v>791006.16502186551</v>
      </c>
      <c r="O657" s="124">
        <f t="shared" si="259"/>
        <v>3023564.8437855663</v>
      </c>
      <c r="P657" s="124">
        <f t="shared" si="260"/>
        <v>1</v>
      </c>
      <c r="Q657" s="124">
        <f t="shared" si="261"/>
        <v>1</v>
      </c>
      <c r="R657" s="124">
        <f t="shared" si="262"/>
        <v>2967603.7688536197</v>
      </c>
      <c r="S657" s="124">
        <f t="shared" si="263"/>
        <v>245810.70886573012</v>
      </c>
      <c r="T657" s="124">
        <f t="shared" si="264"/>
        <v>2977766.7862858702</v>
      </c>
      <c r="U657" s="124">
        <f t="shared" si="265"/>
        <v>1</v>
      </c>
      <c r="V657" s="124">
        <f t="shared" si="266"/>
        <v>0</v>
      </c>
      <c r="W657" s="124">
        <f t="shared" si="267"/>
        <v>1</v>
      </c>
      <c r="X657" s="124">
        <f t="shared" si="268"/>
        <v>1</v>
      </c>
      <c r="Y657" s="124">
        <f t="shared" si="269"/>
        <v>0</v>
      </c>
      <c r="Z657" s="124">
        <f t="shared" si="270"/>
        <v>1</v>
      </c>
      <c r="AA657" s="124">
        <f t="shared" si="247"/>
        <v>4.3938410213894935E-5</v>
      </c>
      <c r="AB657" s="124">
        <f t="shared" si="271"/>
        <v>0</v>
      </c>
      <c r="AC657" s="124">
        <f t="shared" si="272"/>
        <v>0</v>
      </c>
    </row>
    <row r="658" spans="2:29" s="114" customFormat="1">
      <c r="B658" s="115">
        <f t="shared" si="248"/>
        <v>5.1199999999999184</v>
      </c>
      <c r="C658" s="124">
        <f t="shared" si="249"/>
        <v>131825.67385561598</v>
      </c>
      <c r="D658" s="124">
        <f t="shared" si="250"/>
        <v>2177.7936213897165</v>
      </c>
      <c r="E658" s="124">
        <f t="shared" si="251"/>
        <v>1</v>
      </c>
      <c r="F658" s="124">
        <f t="shared" si="252"/>
        <v>1</v>
      </c>
      <c r="G658" s="124">
        <f t="shared" si="253"/>
        <v>2186.5370634249198</v>
      </c>
      <c r="H658" s="124">
        <f t="shared" si="254"/>
        <v>1</v>
      </c>
      <c r="I658" s="124">
        <f t="shared" si="255"/>
        <v>1</v>
      </c>
      <c r="J658" s="124">
        <f t="shared" si="256"/>
        <v>3.0280242382322718E-6</v>
      </c>
      <c r="K658" s="124">
        <f t="shared" si="257"/>
        <v>0</v>
      </c>
      <c r="L658" s="124">
        <f t="shared" si="258"/>
        <v>0</v>
      </c>
      <c r="M658" s="120"/>
      <c r="N658" s="132">
        <f t="shared" si="246"/>
        <v>828285.13707865449</v>
      </c>
      <c r="O658" s="124">
        <f t="shared" si="259"/>
        <v>3030244.4208181668</v>
      </c>
      <c r="P658" s="124">
        <f t="shared" si="260"/>
        <v>1</v>
      </c>
      <c r="Q658" s="124">
        <f t="shared" si="261"/>
        <v>1</v>
      </c>
      <c r="R658" s="124">
        <f t="shared" si="262"/>
        <v>2976214.6410265625</v>
      </c>
      <c r="S658" s="124">
        <f t="shared" si="263"/>
        <v>244400.06334982836</v>
      </c>
      <c r="T658" s="124">
        <f t="shared" si="264"/>
        <v>2986232.5730636371</v>
      </c>
      <c r="U658" s="124">
        <f t="shared" si="265"/>
        <v>1</v>
      </c>
      <c r="V658" s="124">
        <f t="shared" si="266"/>
        <v>0</v>
      </c>
      <c r="W658" s="124">
        <f t="shared" si="267"/>
        <v>1</v>
      </c>
      <c r="X658" s="124">
        <f t="shared" si="268"/>
        <v>1</v>
      </c>
      <c r="Y658" s="124">
        <f t="shared" si="269"/>
        <v>0</v>
      </c>
      <c r="Z658" s="124">
        <f t="shared" si="270"/>
        <v>1</v>
      </c>
      <c r="AA658" s="124">
        <f t="shared" si="247"/>
        <v>4.0373722248432998E-5</v>
      </c>
      <c r="AB658" s="124">
        <f t="shared" si="271"/>
        <v>0</v>
      </c>
      <c r="AC658" s="124">
        <f t="shared" si="272"/>
        <v>0</v>
      </c>
    </row>
    <row r="659" spans="2:29" s="114" customFormat="1">
      <c r="B659" s="115">
        <f t="shared" si="248"/>
        <v>5.139999999999918</v>
      </c>
      <c r="C659" s="124">
        <f t="shared" si="249"/>
        <v>138038.42646026259</v>
      </c>
      <c r="D659" s="124">
        <f t="shared" si="250"/>
        <v>2166.6908541062276</v>
      </c>
      <c r="E659" s="124">
        <f t="shared" si="251"/>
        <v>1</v>
      </c>
      <c r="F659" s="124">
        <f t="shared" si="252"/>
        <v>1</v>
      </c>
      <c r="G659" s="124">
        <f t="shared" si="253"/>
        <v>2173.6993028004122</v>
      </c>
      <c r="H659" s="124">
        <f t="shared" si="254"/>
        <v>1</v>
      </c>
      <c r="I659" s="124">
        <f t="shared" si="255"/>
        <v>1</v>
      </c>
      <c r="J659" s="124">
        <f t="shared" si="256"/>
        <v>1.9670510258407639E-6</v>
      </c>
      <c r="K659" s="124">
        <f t="shared" si="257"/>
        <v>0</v>
      </c>
      <c r="L659" s="124">
        <f t="shared" si="258"/>
        <v>0</v>
      </c>
      <c r="M659" s="120"/>
      <c r="N659" s="132">
        <f t="shared" si="246"/>
        <v>867321.01296131173</v>
      </c>
      <c r="O659" s="124">
        <f t="shared" si="259"/>
        <v>3036868.6279599788</v>
      </c>
      <c r="P659" s="124">
        <f t="shared" si="260"/>
        <v>1</v>
      </c>
      <c r="Q659" s="124">
        <f t="shared" si="261"/>
        <v>1</v>
      </c>
      <c r="R659" s="124">
        <f t="shared" si="262"/>
        <v>2984904.0649011694</v>
      </c>
      <c r="S659" s="124">
        <f t="shared" si="263"/>
        <v>242769.80591035559</v>
      </c>
      <c r="T659" s="124">
        <f t="shared" si="264"/>
        <v>2994760.3335367721</v>
      </c>
      <c r="U659" s="124">
        <f t="shared" si="265"/>
        <v>1</v>
      </c>
      <c r="V659" s="124">
        <f t="shared" si="266"/>
        <v>0</v>
      </c>
      <c r="W659" s="124">
        <f t="shared" si="267"/>
        <v>1</v>
      </c>
      <c r="X659" s="124">
        <f t="shared" si="268"/>
        <v>1</v>
      </c>
      <c r="Y659" s="124">
        <f t="shared" si="269"/>
        <v>0</v>
      </c>
      <c r="Z659" s="124">
        <f t="shared" si="270"/>
        <v>1</v>
      </c>
      <c r="AA659" s="124">
        <f t="shared" si="247"/>
        <v>3.6771283683186985E-5</v>
      </c>
      <c r="AB659" s="124">
        <f t="shared" si="271"/>
        <v>0</v>
      </c>
      <c r="AC659" s="124">
        <f t="shared" si="272"/>
        <v>0</v>
      </c>
    </row>
    <row r="660" spans="2:29" s="114" customFormat="1">
      <c r="B660" s="115">
        <f t="shared" si="248"/>
        <v>5.1599999999999175</v>
      </c>
      <c r="C660" s="124">
        <f t="shared" si="249"/>
        <v>144543.97707456534</v>
      </c>
      <c r="D660" s="124">
        <f t="shared" si="250"/>
        <v>2155.7512778949945</v>
      </c>
      <c r="E660" s="124">
        <f t="shared" si="251"/>
        <v>1</v>
      </c>
      <c r="F660" s="124">
        <f t="shared" si="252"/>
        <v>1</v>
      </c>
      <c r="G660" s="124">
        <f t="shared" si="253"/>
        <v>2160.9721032388134</v>
      </c>
      <c r="H660" s="124">
        <f t="shared" si="254"/>
        <v>1</v>
      </c>
      <c r="I660" s="124">
        <f t="shared" si="255"/>
        <v>1</v>
      </c>
      <c r="J660" s="124">
        <f t="shared" si="256"/>
        <v>1.1035675647367674E-6</v>
      </c>
      <c r="K660" s="124">
        <f t="shared" si="257"/>
        <v>0</v>
      </c>
      <c r="L660" s="124">
        <f t="shared" si="258"/>
        <v>0</v>
      </c>
      <c r="M660" s="120"/>
      <c r="N660" s="132">
        <f t="shared" si="246"/>
        <v>908196.59299621184</v>
      </c>
      <c r="O660" s="124">
        <f t="shared" si="259"/>
        <v>3043437.733169971</v>
      </c>
      <c r="P660" s="124">
        <f t="shared" si="260"/>
        <v>1</v>
      </c>
      <c r="Q660" s="124">
        <f t="shared" si="261"/>
        <v>1</v>
      </c>
      <c r="R660" s="124">
        <f t="shared" si="262"/>
        <v>2993645.5197116174</v>
      </c>
      <c r="S660" s="124">
        <f t="shared" si="263"/>
        <v>240901.70964201883</v>
      </c>
      <c r="T660" s="124">
        <f t="shared" si="264"/>
        <v>3003322.6818638532</v>
      </c>
      <c r="U660" s="124">
        <f t="shared" si="265"/>
        <v>1</v>
      </c>
      <c r="V660" s="124">
        <f t="shared" si="266"/>
        <v>0</v>
      </c>
      <c r="W660" s="124">
        <f t="shared" si="267"/>
        <v>1</v>
      </c>
      <c r="X660" s="124">
        <f t="shared" si="268"/>
        <v>1</v>
      </c>
      <c r="Y660" s="124">
        <f t="shared" si="269"/>
        <v>0</v>
      </c>
      <c r="Z660" s="124">
        <f t="shared" si="270"/>
        <v>1</v>
      </c>
      <c r="AA660" s="124">
        <f t="shared" si="247"/>
        <v>3.3205539309304719E-5</v>
      </c>
      <c r="AB660" s="124">
        <f t="shared" si="271"/>
        <v>0</v>
      </c>
      <c r="AC660" s="124">
        <f t="shared" si="272"/>
        <v>0</v>
      </c>
    </row>
    <row r="661" spans="2:29" s="114" customFormat="1">
      <c r="B661" s="115">
        <f t="shared" si="248"/>
        <v>5.1799999999999171</v>
      </c>
      <c r="C661" s="124">
        <f t="shared" si="249"/>
        <v>151356.12484359209</v>
      </c>
      <c r="D661" s="124">
        <f t="shared" si="250"/>
        <v>2144.9721158304892</v>
      </c>
      <c r="E661" s="124">
        <f t="shared" si="251"/>
        <v>1</v>
      </c>
      <c r="F661" s="124">
        <f t="shared" si="252"/>
        <v>1</v>
      </c>
      <c r="G661" s="124">
        <f t="shared" si="253"/>
        <v>2148.3807539333425</v>
      </c>
      <c r="H661" s="124">
        <f t="shared" si="254"/>
        <v>1</v>
      </c>
      <c r="I661" s="124">
        <f t="shared" si="255"/>
        <v>1</v>
      </c>
      <c r="J661" s="124">
        <f t="shared" si="256"/>
        <v>4.7555134698208272E-7</v>
      </c>
      <c r="K661" s="124">
        <f t="shared" si="257"/>
        <v>0</v>
      </c>
      <c r="L661" s="124">
        <f t="shared" si="258"/>
        <v>0</v>
      </c>
      <c r="M661" s="120"/>
      <c r="N661" s="132">
        <f t="shared" si="246"/>
        <v>950998.57976889692</v>
      </c>
      <c r="O661" s="124">
        <f t="shared" si="259"/>
        <v>3049952.0072672423</v>
      </c>
      <c r="P661" s="124">
        <f t="shared" si="260"/>
        <v>1</v>
      </c>
      <c r="Q661" s="124">
        <f t="shared" si="261"/>
        <v>1</v>
      </c>
      <c r="R661" s="124">
        <f t="shared" si="262"/>
        <v>3002410.3687645756</v>
      </c>
      <c r="S661" s="124">
        <f t="shared" si="263"/>
        <v>238781.14400027206</v>
      </c>
      <c r="T661" s="124">
        <f t="shared" si="264"/>
        <v>3011890.5121526434</v>
      </c>
      <c r="U661" s="124">
        <f t="shared" si="265"/>
        <v>1</v>
      </c>
      <c r="V661" s="124">
        <f t="shared" si="266"/>
        <v>0</v>
      </c>
      <c r="W661" s="124">
        <f t="shared" si="267"/>
        <v>1</v>
      </c>
      <c r="X661" s="124">
        <f t="shared" si="268"/>
        <v>1</v>
      </c>
      <c r="Y661" s="124">
        <f t="shared" si="269"/>
        <v>0</v>
      </c>
      <c r="Z661" s="124">
        <f t="shared" si="270"/>
        <v>1</v>
      </c>
      <c r="AA661" s="124">
        <f t="shared" si="247"/>
        <v>2.9744208544589704E-5</v>
      </c>
      <c r="AB661" s="124">
        <f t="shared" si="271"/>
        <v>0</v>
      </c>
      <c r="AC661" s="124">
        <f t="shared" si="272"/>
        <v>0</v>
      </c>
    </row>
    <row r="662" spans="2:29" s="114" customFormat="1">
      <c r="B662" s="115">
        <f t="shared" si="248"/>
        <v>5.1999999999999167</v>
      </c>
      <c r="C662" s="124">
        <f t="shared" si="249"/>
        <v>158489.31924608123</v>
      </c>
      <c r="D662" s="124">
        <f t="shared" si="250"/>
        <v>2134.3506457465537</v>
      </c>
      <c r="E662" s="124">
        <f t="shared" si="251"/>
        <v>1</v>
      </c>
      <c r="F662" s="124">
        <f t="shared" si="252"/>
        <v>1</v>
      </c>
      <c r="G662" s="124">
        <f t="shared" si="253"/>
        <v>2135.9502003061698</v>
      </c>
      <c r="H662" s="124">
        <f t="shared" si="254"/>
        <v>1</v>
      </c>
      <c r="I662" s="124">
        <f t="shared" si="255"/>
        <v>1</v>
      </c>
      <c r="J662" s="124">
        <f t="shared" si="256"/>
        <v>1.0585462204514244E-7</v>
      </c>
      <c r="K662" s="124">
        <f t="shared" si="257"/>
        <v>0</v>
      </c>
      <c r="L662" s="124">
        <f t="shared" si="258"/>
        <v>0</v>
      </c>
      <c r="M662" s="120"/>
      <c r="N662" s="132">
        <f t="shared" si="246"/>
        <v>995817.76203187241</v>
      </c>
      <c r="O662" s="124">
        <f t="shared" si="259"/>
        <v>3056411.7238193131</v>
      </c>
      <c r="P662" s="124">
        <f t="shared" si="260"/>
        <v>1</v>
      </c>
      <c r="Q662" s="124">
        <f t="shared" si="261"/>
        <v>1</v>
      </c>
      <c r="R662" s="124">
        <f t="shared" si="262"/>
        <v>3011168.4093447579</v>
      </c>
      <c r="S662" s="124">
        <f t="shared" si="263"/>
        <v>236397.34645317218</v>
      </c>
      <c r="T662" s="124">
        <f t="shared" si="264"/>
        <v>3020433.5607402362</v>
      </c>
      <c r="U662" s="124">
        <f t="shared" si="265"/>
        <v>1</v>
      </c>
      <c r="V662" s="124">
        <f t="shared" si="266"/>
        <v>0</v>
      </c>
      <c r="W662" s="124">
        <f t="shared" si="267"/>
        <v>1</v>
      </c>
      <c r="X662" s="124">
        <f t="shared" si="268"/>
        <v>1</v>
      </c>
      <c r="Y662" s="124">
        <f t="shared" si="269"/>
        <v>0</v>
      </c>
      <c r="Z662" s="124">
        <f t="shared" si="270"/>
        <v>1</v>
      </c>
      <c r="AA662" s="124">
        <f t="shared" si="247"/>
        <v>2.6446023287573429E-5</v>
      </c>
      <c r="AB662" s="124">
        <f t="shared" si="271"/>
        <v>0</v>
      </c>
      <c r="AC662" s="124">
        <f t="shared" si="272"/>
        <v>0</v>
      </c>
    </row>
    <row r="663" spans="2:29" s="114" customFormat="1">
      <c r="B663" s="115">
        <f t="shared" si="248"/>
        <v>5.2199999999999163</v>
      </c>
      <c r="C663" s="124">
        <f t="shared" si="249"/>
        <v>165958.6907437242</v>
      </c>
      <c r="D663" s="124">
        <f t="shared" si="250"/>
        <v>2123.8841990163846</v>
      </c>
      <c r="E663" s="124">
        <f t="shared" si="251"/>
        <v>1</v>
      </c>
      <c r="F663" s="124">
        <f t="shared" si="252"/>
        <v>1</v>
      </c>
      <c r="G663" s="124">
        <f t="shared" si="253"/>
        <v>2123.7047333555074</v>
      </c>
      <c r="H663" s="124">
        <f t="shared" si="254"/>
        <v>1</v>
      </c>
      <c r="I663" s="124">
        <f t="shared" si="255"/>
        <v>1</v>
      </c>
      <c r="J663" s="124">
        <f t="shared" si="256"/>
        <v>1.3468101432206883E-9</v>
      </c>
      <c r="K663" s="124">
        <f t="shared" si="257"/>
        <v>0</v>
      </c>
      <c r="L663" s="124">
        <f t="shared" si="258"/>
        <v>0</v>
      </c>
      <c r="M663" s="120"/>
      <c r="N663" s="132">
        <f t="shared" si="246"/>
        <v>1042749.2072797287</v>
      </c>
      <c r="O663" s="124">
        <f t="shared" si="259"/>
        <v>3062817.1590320258</v>
      </c>
      <c r="P663" s="124">
        <f t="shared" si="260"/>
        <v>1</v>
      </c>
      <c r="Q663" s="124">
        <f t="shared" si="261"/>
        <v>1</v>
      </c>
      <c r="R663" s="124">
        <f t="shared" si="262"/>
        <v>3019888.4637334547</v>
      </c>
      <c r="S663" s="124">
        <f t="shared" si="263"/>
        <v>233743.59826007657</v>
      </c>
      <c r="T663" s="124">
        <f t="shared" si="264"/>
        <v>3028920.9965131101</v>
      </c>
      <c r="U663" s="124">
        <f t="shared" si="265"/>
        <v>1</v>
      </c>
      <c r="V663" s="124">
        <f t="shared" si="266"/>
        <v>0</v>
      </c>
      <c r="W663" s="124">
        <f t="shared" si="267"/>
        <v>1</v>
      </c>
      <c r="X663" s="124">
        <f t="shared" si="268"/>
        <v>1</v>
      </c>
      <c r="Y663" s="124">
        <f t="shared" si="269"/>
        <v>0</v>
      </c>
      <c r="Z663" s="124">
        <f t="shared" si="270"/>
        <v>1</v>
      </c>
      <c r="AA663" s="124">
        <f t="shared" si="247"/>
        <v>2.3359104507717707E-5</v>
      </c>
      <c r="AB663" s="124">
        <f t="shared" si="271"/>
        <v>0</v>
      </c>
      <c r="AC663" s="124">
        <f t="shared" si="272"/>
        <v>0</v>
      </c>
    </row>
    <row r="664" spans="2:29" s="114" customFormat="1">
      <c r="B664" s="115">
        <f t="shared" si="248"/>
        <v>5.2399999999999158</v>
      </c>
      <c r="C664" s="124">
        <f t="shared" si="249"/>
        <v>173780.08287490415</v>
      </c>
      <c r="D664" s="124">
        <f t="shared" si="250"/>
        <v>2113.5701593622289</v>
      </c>
      <c r="E664" s="124">
        <f t="shared" si="251"/>
        <v>1</v>
      </c>
      <c r="F664" s="124">
        <f t="shared" si="252"/>
        <v>1</v>
      </c>
      <c r="G664" s="124">
        <f t="shared" si="253"/>
        <v>2111.667680495214</v>
      </c>
      <c r="H664" s="124">
        <f t="shared" si="254"/>
        <v>1</v>
      </c>
      <c r="I664" s="124">
        <f t="shared" si="255"/>
        <v>1</v>
      </c>
      <c r="J664" s="124">
        <f t="shared" si="256"/>
        <v>1.5295582967384607E-7</v>
      </c>
      <c r="K664" s="124">
        <f t="shared" si="257"/>
        <v>0</v>
      </c>
      <c r="L664" s="124">
        <f t="shared" si="258"/>
        <v>0</v>
      </c>
      <c r="M664" s="120"/>
      <c r="N664" s="132">
        <f t="shared" si="246"/>
        <v>1091892.4634000487</v>
      </c>
      <c r="O664" s="124">
        <f t="shared" si="259"/>
        <v>3069168.591641299</v>
      </c>
      <c r="P664" s="124">
        <f t="shared" si="260"/>
        <v>1</v>
      </c>
      <c r="Q664" s="124">
        <f t="shared" si="261"/>
        <v>1</v>
      </c>
      <c r="R664" s="124">
        <f t="shared" si="262"/>
        <v>3028538.9917590357</v>
      </c>
      <c r="S664" s="124">
        <f t="shared" si="263"/>
        <v>230817.29713135742</v>
      </c>
      <c r="T664" s="124">
        <f t="shared" si="264"/>
        <v>3037322.0193551853</v>
      </c>
      <c r="U664" s="124">
        <f t="shared" si="265"/>
        <v>1</v>
      </c>
      <c r="V664" s="124">
        <f t="shared" si="266"/>
        <v>0</v>
      </c>
      <c r="W664" s="124">
        <f t="shared" si="267"/>
        <v>1</v>
      </c>
      <c r="X664" s="124">
        <f t="shared" si="268"/>
        <v>1</v>
      </c>
      <c r="Y664" s="124">
        <f t="shared" si="269"/>
        <v>0</v>
      </c>
      <c r="Z664" s="124">
        <f t="shared" si="270"/>
        <v>1</v>
      </c>
      <c r="AA664" s="124">
        <f t="shared" si="247"/>
        <v>2.0520053638680984E-5</v>
      </c>
      <c r="AB664" s="124">
        <f t="shared" si="271"/>
        <v>0</v>
      </c>
      <c r="AC664" s="124">
        <f t="shared" si="272"/>
        <v>0</v>
      </c>
    </row>
    <row r="665" spans="2:29" s="114" customFormat="1">
      <c r="B665" s="115">
        <f t="shared" si="248"/>
        <v>5.2599999999999154</v>
      </c>
      <c r="C665" s="124">
        <f t="shared" si="249"/>
        <v>181970.08586096301</v>
      </c>
      <c r="D665" s="124">
        <f t="shared" si="250"/>
        <v>2103.4059616940308</v>
      </c>
      <c r="E665" s="124">
        <f t="shared" si="251"/>
        <v>1</v>
      </c>
      <c r="F665" s="124">
        <f t="shared" si="252"/>
        <v>1</v>
      </c>
      <c r="G665" s="124">
        <f t="shared" si="253"/>
        <v>2099.8610983756994</v>
      </c>
      <c r="H665" s="124">
        <f t="shared" si="254"/>
        <v>1</v>
      </c>
      <c r="I665" s="124">
        <f t="shared" si="255"/>
        <v>1</v>
      </c>
      <c r="J665" s="124">
        <f t="shared" si="256"/>
        <v>5.3660391891266222E-7</v>
      </c>
      <c r="K665" s="124">
        <f t="shared" si="257"/>
        <v>0</v>
      </c>
      <c r="L665" s="124">
        <f t="shared" si="258"/>
        <v>0</v>
      </c>
      <c r="M665" s="120"/>
      <c r="N665" s="132">
        <f t="shared" si="246"/>
        <v>1143351.7698278106</v>
      </c>
      <c r="O665" s="124">
        <f t="shared" si="259"/>
        <v>3075466.3028066596</v>
      </c>
      <c r="P665" s="124">
        <f t="shared" si="260"/>
        <v>1</v>
      </c>
      <c r="Q665" s="124">
        <f t="shared" si="261"/>
        <v>1</v>
      </c>
      <c r="R665" s="124">
        <f t="shared" si="262"/>
        <v>3037088.7039487683</v>
      </c>
      <c r="S665" s="124">
        <f t="shared" si="263"/>
        <v>227619.92418468828</v>
      </c>
      <c r="T665" s="124">
        <f t="shared" si="264"/>
        <v>3045606.446266335</v>
      </c>
      <c r="U665" s="124">
        <f t="shared" si="265"/>
        <v>1</v>
      </c>
      <c r="V665" s="124">
        <f t="shared" si="266"/>
        <v>0</v>
      </c>
      <c r="W665" s="124">
        <f t="shared" si="267"/>
        <v>1</v>
      </c>
      <c r="X665" s="124">
        <f t="shared" si="268"/>
        <v>1</v>
      </c>
      <c r="Y665" s="124">
        <f t="shared" si="269"/>
        <v>0</v>
      </c>
      <c r="Z665" s="124">
        <f t="shared" si="270"/>
        <v>1</v>
      </c>
      <c r="AA665" s="124">
        <f t="shared" si="247"/>
        <v>1.7953778188888182E-5</v>
      </c>
      <c r="AB665" s="124">
        <f t="shared" si="271"/>
        <v>0</v>
      </c>
      <c r="AC665" s="124">
        <f t="shared" si="272"/>
        <v>0</v>
      </c>
    </row>
    <row r="666" spans="2:29" s="114" customFormat="1">
      <c r="B666" s="115">
        <f t="shared" si="248"/>
        <v>5.279999999999915</v>
      </c>
      <c r="C666" s="124">
        <f t="shared" si="249"/>
        <v>190546.0717962877</v>
      </c>
      <c r="D666" s="124">
        <f t="shared" si="250"/>
        <v>2093.389090976284</v>
      </c>
      <c r="E666" s="124">
        <f t="shared" si="251"/>
        <v>1</v>
      </c>
      <c r="F666" s="124">
        <f t="shared" si="252"/>
        <v>1</v>
      </c>
      <c r="G666" s="124">
        <f t="shared" si="253"/>
        <v>2088.305469734561</v>
      </c>
      <c r="H666" s="124">
        <f t="shared" si="254"/>
        <v>1</v>
      </c>
      <c r="I666" s="124">
        <f t="shared" si="255"/>
        <v>1</v>
      </c>
      <c r="J666" s="124">
        <f t="shared" si="256"/>
        <v>1.1149895509348926E-6</v>
      </c>
      <c r="K666" s="124">
        <f t="shared" si="257"/>
        <v>0</v>
      </c>
      <c r="L666" s="124">
        <f t="shared" si="258"/>
        <v>0</v>
      </c>
      <c r="M666" s="120"/>
      <c r="N666" s="132">
        <f t="shared" si="246"/>
        <v>1197236.2786512214</v>
      </c>
      <c r="O666" s="124">
        <f t="shared" si="259"/>
        <v>3081710.5760064204</v>
      </c>
      <c r="P666" s="124">
        <f t="shared" si="260"/>
        <v>1</v>
      </c>
      <c r="Q666" s="124">
        <f t="shared" si="261"/>
        <v>1</v>
      </c>
      <c r="R666" s="124">
        <f t="shared" si="262"/>
        <v>3045507.1542591834</v>
      </c>
      <c r="S666" s="124">
        <f t="shared" si="263"/>
        <v>224156.90749586432</v>
      </c>
      <c r="T666" s="124">
        <f t="shared" si="264"/>
        <v>3053745.2653785609</v>
      </c>
      <c r="U666" s="124">
        <f t="shared" si="265"/>
        <v>1</v>
      </c>
      <c r="V666" s="124">
        <f t="shared" si="266"/>
        <v>0</v>
      </c>
      <c r="W666" s="124">
        <f t="shared" si="267"/>
        <v>1</v>
      </c>
      <c r="X666" s="124">
        <f t="shared" si="268"/>
        <v>1</v>
      </c>
      <c r="Y666" s="124">
        <f t="shared" si="269"/>
        <v>0</v>
      </c>
      <c r="Z666" s="124">
        <f t="shared" si="270"/>
        <v>1</v>
      </c>
      <c r="AA666" s="124">
        <f t="shared" si="247"/>
        <v>1.5674014887297323E-5</v>
      </c>
      <c r="AB666" s="124">
        <f t="shared" si="271"/>
        <v>0</v>
      </c>
      <c r="AC666" s="124">
        <f t="shared" si="272"/>
        <v>0</v>
      </c>
    </row>
    <row r="667" spans="2:29" s="114" customFormat="1">
      <c r="B667" s="115">
        <f t="shared" si="248"/>
        <v>5.2999999999999146</v>
      </c>
      <c r="C667" s="124">
        <f t="shared" si="249"/>
        <v>199526.23149684881</v>
      </c>
      <c r="D667" s="124">
        <f t="shared" si="250"/>
        <v>2083.5170811223461</v>
      </c>
      <c r="E667" s="124">
        <f t="shared" si="251"/>
        <v>1</v>
      </c>
      <c r="F667" s="124">
        <f t="shared" si="252"/>
        <v>1</v>
      </c>
      <c r="G667" s="124">
        <f t="shared" si="253"/>
        <v>2077.0194077574502</v>
      </c>
      <c r="H667" s="124">
        <f t="shared" si="254"/>
        <v>1</v>
      </c>
      <c r="I667" s="124">
        <f t="shared" si="255"/>
        <v>1</v>
      </c>
      <c r="J667" s="124">
        <f t="shared" si="256"/>
        <v>1.8401210827679641E-6</v>
      </c>
      <c r="K667" s="124">
        <f t="shared" si="257"/>
        <v>0</v>
      </c>
      <c r="L667" s="124">
        <f t="shared" si="258"/>
        <v>0</v>
      </c>
      <c r="M667" s="120"/>
      <c r="N667" s="132">
        <f t="shared" si="246"/>
        <v>1253660.2861379131</v>
      </c>
      <c r="O667" s="124">
        <f t="shared" si="259"/>
        <v>3087901.6969347163</v>
      </c>
      <c r="P667" s="124">
        <f t="shared" si="260"/>
        <v>1</v>
      </c>
      <c r="Q667" s="124">
        <f t="shared" si="261"/>
        <v>1</v>
      </c>
      <c r="R667" s="124">
        <f t="shared" si="262"/>
        <v>3053765.2925393023</v>
      </c>
      <c r="S667" s="124">
        <f t="shared" si="263"/>
        <v>220437.38927384754</v>
      </c>
      <c r="T667" s="124">
        <f t="shared" si="264"/>
        <v>3061711.1399522196</v>
      </c>
      <c r="U667" s="124">
        <f t="shared" si="265"/>
        <v>1</v>
      </c>
      <c r="V667" s="124">
        <f t="shared" si="266"/>
        <v>0</v>
      </c>
      <c r="W667" s="124">
        <f t="shared" si="267"/>
        <v>1</v>
      </c>
      <c r="X667" s="124">
        <f t="shared" si="268"/>
        <v>1</v>
      </c>
      <c r="Y667" s="124">
        <f t="shared" si="269"/>
        <v>0</v>
      </c>
      <c r="Z667" s="124">
        <f t="shared" si="270"/>
        <v>1</v>
      </c>
      <c r="AA667" s="124">
        <f t="shared" si="247"/>
        <v>1.3684463804172712E-5</v>
      </c>
      <c r="AB667" s="124">
        <f t="shared" si="271"/>
        <v>0</v>
      </c>
      <c r="AC667" s="124">
        <f t="shared" si="272"/>
        <v>0</v>
      </c>
    </row>
    <row r="668" spans="2:29" s="114" customFormat="1">
      <c r="B668" s="115">
        <f t="shared" si="248"/>
        <v>5.3199999999999141</v>
      </c>
      <c r="C668" s="124">
        <f t="shared" si="249"/>
        <v>208929.61308536289</v>
      </c>
      <c r="D668" s="124">
        <f t="shared" si="250"/>
        <v>2073.7875139154999</v>
      </c>
      <c r="E668" s="124">
        <f t="shared" si="251"/>
        <v>1</v>
      </c>
      <c r="F668" s="124">
        <f t="shared" si="252"/>
        <v>1</v>
      </c>
      <c r="G668" s="124">
        <f t="shared" si="253"/>
        <v>2066.0193726600032</v>
      </c>
      <c r="H668" s="124">
        <f t="shared" si="254"/>
        <v>1</v>
      </c>
      <c r="I668" s="124">
        <f t="shared" si="255"/>
        <v>1</v>
      </c>
      <c r="J668" s="124">
        <f t="shared" si="256"/>
        <v>2.6564625417973539E-6</v>
      </c>
      <c r="K668" s="124">
        <f t="shared" si="257"/>
        <v>0</v>
      </c>
      <c r="L668" s="124">
        <f t="shared" si="258"/>
        <v>0</v>
      </c>
      <c r="M668" s="120"/>
      <c r="N668" s="132">
        <f t="shared" si="246"/>
        <v>1312743.475172668</v>
      </c>
      <c r="O668" s="124">
        <f t="shared" si="259"/>
        <v>3094039.953400258</v>
      </c>
      <c r="P668" s="124">
        <f t="shared" si="260"/>
        <v>1</v>
      </c>
      <c r="Q668" s="124">
        <f t="shared" si="261"/>
        <v>1</v>
      </c>
      <c r="R668" s="124">
        <f t="shared" si="262"/>
        <v>3061835.9592220485</v>
      </c>
      <c r="S668" s="124">
        <f t="shared" si="263"/>
        <v>216473.90791569071</v>
      </c>
      <c r="T668" s="124">
        <f t="shared" si="264"/>
        <v>3069478.8472953341</v>
      </c>
      <c r="U668" s="124">
        <f t="shared" si="265"/>
        <v>1</v>
      </c>
      <c r="V668" s="124">
        <f t="shared" si="266"/>
        <v>0</v>
      </c>
      <c r="W668" s="124">
        <f t="shared" si="267"/>
        <v>1</v>
      </c>
      <c r="X668" s="124">
        <f t="shared" si="268"/>
        <v>1</v>
      </c>
      <c r="Y668" s="124">
        <f t="shared" si="269"/>
        <v>0</v>
      </c>
      <c r="Z668" s="124">
        <f t="shared" si="270"/>
        <v>1</v>
      </c>
      <c r="AA668" s="124">
        <f t="shared" si="247"/>
        <v>1.1980407877259689E-5</v>
      </c>
      <c r="AB668" s="124">
        <f t="shared" si="271"/>
        <v>0</v>
      </c>
      <c r="AC668" s="124">
        <f t="shared" si="272"/>
        <v>0</v>
      </c>
    </row>
    <row r="669" spans="2:29" s="114" customFormat="1">
      <c r="B669" s="115">
        <f t="shared" si="248"/>
        <v>5.3399999999999137</v>
      </c>
      <c r="C669" s="124">
        <f t="shared" si="249"/>
        <v>218776.16239491221</v>
      </c>
      <c r="D669" s="124">
        <f t="shared" si="250"/>
        <v>2064.1980179561242</v>
      </c>
      <c r="E669" s="124">
        <f t="shared" si="251"/>
        <v>1</v>
      </c>
      <c r="F669" s="124">
        <f t="shared" si="252"/>
        <v>1</v>
      </c>
      <c r="G669" s="124">
        <f t="shared" si="253"/>
        <v>2055.3194061831337</v>
      </c>
      <c r="H669" s="124">
        <f t="shared" si="254"/>
        <v>1</v>
      </c>
      <c r="I669" s="124">
        <f t="shared" si="255"/>
        <v>1</v>
      </c>
      <c r="J669" s="124">
        <f t="shared" si="256"/>
        <v>3.5045108056926821E-6</v>
      </c>
      <c r="K669" s="124">
        <f t="shared" si="257"/>
        <v>0</v>
      </c>
      <c r="L669" s="124">
        <f t="shared" si="258"/>
        <v>0</v>
      </c>
      <c r="M669" s="120"/>
      <c r="N669" s="132">
        <f t="shared" si="246"/>
        <v>1374611.1691208475</v>
      </c>
      <c r="O669" s="124">
        <f t="shared" si="259"/>
        <v>3100125.6352267242</v>
      </c>
      <c r="P669" s="124">
        <f t="shared" si="260"/>
        <v>1</v>
      </c>
      <c r="Q669" s="124">
        <f t="shared" si="261"/>
        <v>1</v>
      </c>
      <c r="R669" s="124">
        <f t="shared" si="262"/>
        <v>3069694.3080350915</v>
      </c>
      <c r="S669" s="124">
        <f t="shared" si="263"/>
        <v>212282.00961726601</v>
      </c>
      <c r="T669" s="124">
        <f t="shared" si="264"/>
        <v>3077025.6411655368</v>
      </c>
      <c r="U669" s="124">
        <f t="shared" si="265"/>
        <v>1</v>
      </c>
      <c r="V669" s="124">
        <f t="shared" si="266"/>
        <v>0</v>
      </c>
      <c r="W669" s="124">
        <f t="shared" si="267"/>
        <v>1</v>
      </c>
      <c r="X669" s="124">
        <f t="shared" si="268"/>
        <v>1</v>
      </c>
      <c r="Y669" s="124">
        <f t="shared" si="269"/>
        <v>0</v>
      </c>
      <c r="Z669" s="124">
        <f t="shared" si="270"/>
        <v>1</v>
      </c>
      <c r="AA669" s="124">
        <f t="shared" si="247"/>
        <v>1.0550667216513221E-5</v>
      </c>
      <c r="AB669" s="124">
        <f t="shared" si="271"/>
        <v>0</v>
      </c>
      <c r="AC669" s="124">
        <f t="shared" si="272"/>
        <v>0</v>
      </c>
    </row>
    <row r="670" spans="2:29" s="114" customFormat="1">
      <c r="B670" s="115">
        <f t="shared" si="248"/>
        <v>5.3599999999999133</v>
      </c>
      <c r="C670" s="124">
        <f t="shared" si="249"/>
        <v>229086.76527673181</v>
      </c>
      <c r="D670" s="124">
        <f t="shared" si="250"/>
        <v>2054.7462676342243</v>
      </c>
      <c r="E670" s="124">
        <f t="shared" si="251"/>
        <v>1</v>
      </c>
      <c r="F670" s="124">
        <f t="shared" si="252"/>
        <v>1</v>
      </c>
      <c r="G670" s="124">
        <f t="shared" si="253"/>
        <v>2044.9308903981967</v>
      </c>
      <c r="H670" s="124">
        <f t="shared" si="254"/>
        <v>1</v>
      </c>
      <c r="I670" s="124">
        <f t="shared" si="255"/>
        <v>1</v>
      </c>
      <c r="J670" s="124">
        <f t="shared" si="256"/>
        <v>4.3245900855092942E-6</v>
      </c>
      <c r="K670" s="124">
        <f t="shared" si="257"/>
        <v>0</v>
      </c>
      <c r="L670" s="124">
        <f t="shared" si="258"/>
        <v>0</v>
      </c>
      <c r="M670" s="120"/>
      <c r="N670" s="132">
        <f t="shared" si="246"/>
        <v>1439394.59765606</v>
      </c>
      <c r="O670" s="124">
        <f t="shared" si="259"/>
        <v>3106159.0341550806</v>
      </c>
      <c r="P670" s="124">
        <f t="shared" si="260"/>
        <v>1</v>
      </c>
      <c r="Q670" s="124">
        <f t="shared" si="261"/>
        <v>1</v>
      </c>
      <c r="R670" s="124">
        <f t="shared" si="262"/>
        <v>3077318.1464873194</v>
      </c>
      <c r="S670" s="124">
        <f t="shared" si="263"/>
        <v>207879.80661568645</v>
      </c>
      <c r="T670" s="124">
        <f t="shared" si="264"/>
        <v>3084331.5302831386</v>
      </c>
      <c r="U670" s="124">
        <f t="shared" si="265"/>
        <v>1</v>
      </c>
      <c r="V670" s="124">
        <f t="shared" si="266"/>
        <v>0</v>
      </c>
      <c r="W670" s="124">
        <f t="shared" si="267"/>
        <v>1</v>
      </c>
      <c r="X670" s="124">
        <f t="shared" si="268"/>
        <v>1</v>
      </c>
      <c r="Y670" s="124">
        <f t="shared" si="269"/>
        <v>0</v>
      </c>
      <c r="Z670" s="124">
        <f t="shared" si="270"/>
        <v>1</v>
      </c>
      <c r="AA670" s="124">
        <f t="shared" si="247"/>
        <v>9.3797276725635333E-6</v>
      </c>
      <c r="AB670" s="124">
        <f t="shared" si="271"/>
        <v>0</v>
      </c>
      <c r="AC670" s="124">
        <f t="shared" si="272"/>
        <v>0</v>
      </c>
    </row>
    <row r="671" spans="2:29" s="114" customFormat="1">
      <c r="B671" s="115">
        <f t="shared" si="248"/>
        <v>5.3799999999999129</v>
      </c>
      <c r="C671" s="124">
        <f t="shared" si="249"/>
        <v>239883.29190190136</v>
      </c>
      <c r="D671" s="124">
        <f t="shared" si="250"/>
        <v>2045.4299821267334</v>
      </c>
      <c r="E671" s="124">
        <f t="shared" si="251"/>
        <v>1</v>
      </c>
      <c r="F671" s="124">
        <f t="shared" si="252"/>
        <v>1</v>
      </c>
      <c r="G671" s="124">
        <f t="shared" si="253"/>
        <v>2034.8623376288531</v>
      </c>
      <c r="H671" s="124">
        <f t="shared" si="254"/>
        <v>1</v>
      </c>
      <c r="I671" s="124">
        <f t="shared" si="255"/>
        <v>1</v>
      </c>
      <c r="J671" s="124">
        <f t="shared" si="256"/>
        <v>5.0606277206649802E-6</v>
      </c>
      <c r="K671" s="124">
        <f t="shared" si="257"/>
        <v>0</v>
      </c>
      <c r="L671" s="124">
        <f t="shared" si="258"/>
        <v>0</v>
      </c>
      <c r="M671" s="120"/>
      <c r="N671" s="132">
        <f t="shared" si="246"/>
        <v>1507231.1751158985</v>
      </c>
      <c r="O671" s="124">
        <f t="shared" si="259"/>
        <v>3112140.4437473495</v>
      </c>
      <c r="P671" s="124">
        <f t="shared" si="260"/>
        <v>1</v>
      </c>
      <c r="Q671" s="124">
        <f t="shared" si="261"/>
        <v>1</v>
      </c>
      <c r="R671" s="124">
        <f t="shared" si="262"/>
        <v>3084688.1881928816</v>
      </c>
      <c r="S671" s="124">
        <f t="shared" si="263"/>
        <v>203287.50040779184</v>
      </c>
      <c r="T671" s="124">
        <f t="shared" si="264"/>
        <v>3091379.4697834705</v>
      </c>
      <c r="U671" s="124">
        <f t="shared" si="265"/>
        <v>1</v>
      </c>
      <c r="V671" s="124">
        <f t="shared" si="266"/>
        <v>0</v>
      </c>
      <c r="W671" s="124">
        <f t="shared" si="267"/>
        <v>1</v>
      </c>
      <c r="X671" s="124">
        <f t="shared" si="268"/>
        <v>1</v>
      </c>
      <c r="Y671" s="124">
        <f t="shared" si="269"/>
        <v>0</v>
      </c>
      <c r="Z671" s="124">
        <f t="shared" si="270"/>
        <v>1</v>
      </c>
      <c r="AA671" s="124">
        <f t="shared" si="247"/>
        <v>8.4498878126324808E-6</v>
      </c>
      <c r="AB671" s="124">
        <f t="shared" si="271"/>
        <v>0</v>
      </c>
      <c r="AC671" s="124">
        <f t="shared" si="272"/>
        <v>0</v>
      </c>
    </row>
    <row r="672" spans="2:29" s="114" customFormat="1">
      <c r="B672" s="115">
        <f t="shared" si="248"/>
        <v>5.3999999999999124</v>
      </c>
      <c r="C672" s="124">
        <f t="shared" si="249"/>
        <v>251188.64315090756</v>
      </c>
      <c r="D672" s="124">
        <f t="shared" si="250"/>
        <v>2036.2469244189142</v>
      </c>
      <c r="E672" s="124">
        <f t="shared" si="251"/>
        <v>1</v>
      </c>
      <c r="F672" s="124">
        <f t="shared" si="252"/>
        <v>1</v>
      </c>
      <c r="G672" s="124">
        <f t="shared" si="253"/>
        <v>2025.1192184016054</v>
      </c>
      <c r="H672" s="124">
        <f t="shared" si="254"/>
        <v>1</v>
      </c>
      <c r="I672" s="124">
        <f t="shared" si="255"/>
        <v>1</v>
      </c>
      <c r="J672" s="124">
        <f t="shared" si="256"/>
        <v>5.6636679866554309E-6</v>
      </c>
      <c r="K672" s="124">
        <f t="shared" si="257"/>
        <v>0</v>
      </c>
      <c r="L672" s="124">
        <f t="shared" si="258"/>
        <v>0</v>
      </c>
      <c r="M672" s="120"/>
      <c r="N672" s="132">
        <f t="shared" si="246"/>
        <v>1578264.7919761585</v>
      </c>
      <c r="O672" s="124">
        <f t="shared" si="259"/>
        <v>3118070.1592923887</v>
      </c>
      <c r="P672" s="124">
        <f t="shared" si="260"/>
        <v>1</v>
      </c>
      <c r="Q672" s="124">
        <f t="shared" si="261"/>
        <v>1</v>
      </c>
      <c r="R672" s="124">
        <f t="shared" si="262"/>
        <v>3091788.2154083266</v>
      </c>
      <c r="S672" s="124">
        <f t="shared" si="263"/>
        <v>198526.8884221951</v>
      </c>
      <c r="T672" s="124">
        <f t="shared" si="264"/>
        <v>3098155.4664613595</v>
      </c>
      <c r="U672" s="124">
        <f t="shared" si="265"/>
        <v>1</v>
      </c>
      <c r="V672" s="124">
        <f t="shared" si="266"/>
        <v>0</v>
      </c>
      <c r="W672" s="124">
        <f t="shared" si="267"/>
        <v>1</v>
      </c>
      <c r="X672" s="124">
        <f t="shared" si="268"/>
        <v>1</v>
      </c>
      <c r="Y672" s="124">
        <f t="shared" si="269"/>
        <v>0</v>
      </c>
      <c r="Z672" s="124">
        <f t="shared" si="270"/>
        <v>1</v>
      </c>
      <c r="AA672" s="124">
        <f t="shared" si="247"/>
        <v>7.7432854789150252E-6</v>
      </c>
      <c r="AB672" s="124">
        <f t="shared" si="271"/>
        <v>0</v>
      </c>
      <c r="AC672" s="124">
        <f t="shared" si="272"/>
        <v>0</v>
      </c>
    </row>
    <row r="673" spans="2:29" s="114" customFormat="1">
      <c r="B673" s="115">
        <f t="shared" si="248"/>
        <v>5.419999999999912</v>
      </c>
      <c r="C673" s="124">
        <f t="shared" si="249"/>
        <v>263026.79918948532</v>
      </c>
      <c r="D673" s="124">
        <f t="shared" si="250"/>
        <v>2027.1949003492518</v>
      </c>
      <c r="E673" s="124">
        <f t="shared" si="251"/>
        <v>1</v>
      </c>
      <c r="F673" s="124">
        <f t="shared" si="252"/>
        <v>1</v>
      </c>
      <c r="G673" s="124">
        <f t="shared" si="253"/>
        <v>2015.7038341286739</v>
      </c>
      <c r="H673" s="124">
        <f t="shared" si="254"/>
        <v>1</v>
      </c>
      <c r="I673" s="124">
        <f t="shared" si="255"/>
        <v>1</v>
      </c>
      <c r="J673" s="124">
        <f t="shared" si="256"/>
        <v>6.0948901273181483E-6</v>
      </c>
      <c r="K673" s="124">
        <f t="shared" si="257"/>
        <v>0</v>
      </c>
      <c r="L673" s="124">
        <f t="shared" si="258"/>
        <v>0</v>
      </c>
      <c r="M673" s="120"/>
      <c r="N673" s="132">
        <f t="shared" si="246"/>
        <v>1652646.1200618497</v>
      </c>
      <c r="O673" s="124">
        <f t="shared" si="259"/>
        <v>3123948.4777131453</v>
      </c>
      <c r="P673" s="124">
        <f t="shared" si="260"/>
        <v>1</v>
      </c>
      <c r="Q673" s="124">
        <f t="shared" si="261"/>
        <v>1</v>
      </c>
      <c r="R673" s="124">
        <f t="shared" si="262"/>
        <v>3098605.1541768094</v>
      </c>
      <c r="S673" s="124">
        <f t="shared" si="263"/>
        <v>193620.87171417175</v>
      </c>
      <c r="T673" s="124">
        <f t="shared" si="264"/>
        <v>3104648.6022502519</v>
      </c>
      <c r="U673" s="124">
        <f t="shared" si="265"/>
        <v>1</v>
      </c>
      <c r="V673" s="124">
        <f t="shared" si="266"/>
        <v>0</v>
      </c>
      <c r="W673" s="124">
        <f t="shared" si="267"/>
        <v>1</v>
      </c>
      <c r="X673" s="124">
        <f t="shared" si="268"/>
        <v>1</v>
      </c>
      <c r="Y673" s="124">
        <f t="shared" si="269"/>
        <v>0</v>
      </c>
      <c r="Z673" s="124">
        <f t="shared" si="270"/>
        <v>1</v>
      </c>
      <c r="AA673" s="124">
        <f t="shared" si="247"/>
        <v>7.243691257061147E-6</v>
      </c>
      <c r="AB673" s="124">
        <f t="shared" si="271"/>
        <v>0</v>
      </c>
      <c r="AC673" s="124">
        <f t="shared" si="272"/>
        <v>0</v>
      </c>
    </row>
    <row r="674" spans="2:29" s="114" customFormat="1">
      <c r="B674" s="115">
        <f t="shared" si="248"/>
        <v>5.4399999999999116</v>
      </c>
      <c r="C674" s="124">
        <f t="shared" si="249"/>
        <v>275422.87033376074</v>
      </c>
      <c r="D674" s="124">
        <f t="shared" si="250"/>
        <v>2018.2717576772468</v>
      </c>
      <c r="E674" s="124">
        <f t="shared" si="251"/>
        <v>1</v>
      </c>
      <c r="F674" s="124">
        <f t="shared" si="252"/>
        <v>1</v>
      </c>
      <c r="G674" s="124">
        <f t="shared" si="253"/>
        <v>2006.6152406992824</v>
      </c>
      <c r="H674" s="124">
        <f t="shared" si="254"/>
        <v>1</v>
      </c>
      <c r="I674" s="124">
        <f t="shared" si="255"/>
        <v>1</v>
      </c>
      <c r="J674" s="124">
        <f t="shared" si="256"/>
        <v>6.3279240799788319E-6</v>
      </c>
      <c r="K674" s="124">
        <f t="shared" si="257"/>
        <v>0</v>
      </c>
      <c r="L674" s="124">
        <f t="shared" si="258"/>
        <v>0</v>
      </c>
      <c r="M674" s="120"/>
      <c r="N674" s="132">
        <f t="shared" si="246"/>
        <v>1730532.9321423138</v>
      </c>
      <c r="O674" s="124">
        <f t="shared" si="259"/>
        <v>3129775.6974756648</v>
      </c>
      <c r="P674" s="124">
        <f t="shared" si="260"/>
        <v>1</v>
      </c>
      <c r="Q674" s="124">
        <f t="shared" si="261"/>
        <v>1</v>
      </c>
      <c r="R674" s="124">
        <f t="shared" si="262"/>
        <v>3105129.0679512415</v>
      </c>
      <c r="S674" s="124">
        <f t="shared" si="263"/>
        <v>188592.97947488778</v>
      </c>
      <c r="T674" s="124">
        <f t="shared" si="264"/>
        <v>3110850.9833392794</v>
      </c>
      <c r="U674" s="124">
        <f t="shared" si="265"/>
        <v>1</v>
      </c>
      <c r="V674" s="124">
        <f t="shared" si="266"/>
        <v>0</v>
      </c>
      <c r="W674" s="124">
        <f t="shared" si="267"/>
        <v>1</v>
      </c>
      <c r="X674" s="124">
        <f t="shared" si="268"/>
        <v>1</v>
      </c>
      <c r="Y674" s="124">
        <f t="shared" si="269"/>
        <v>0</v>
      </c>
      <c r="Z674" s="124">
        <f t="shared" si="270"/>
        <v>1</v>
      </c>
      <c r="AA674" s="124">
        <f t="shared" si="247"/>
        <v>6.9379877000663728E-6</v>
      </c>
      <c r="AB674" s="124">
        <f t="shared" si="271"/>
        <v>0</v>
      </c>
      <c r="AC674" s="124">
        <f t="shared" si="272"/>
        <v>0</v>
      </c>
    </row>
    <row r="675" spans="2:29" s="114" customFormat="1">
      <c r="B675" s="115">
        <f t="shared" si="248"/>
        <v>5.4599999999999111</v>
      </c>
      <c r="C675" s="124">
        <f t="shared" si="249"/>
        <v>288403.150312602</v>
      </c>
      <c r="D675" s="124">
        <f t="shared" si="250"/>
        <v>2009.4753851734945</v>
      </c>
      <c r="E675" s="124">
        <f t="shared" si="251"/>
        <v>1</v>
      </c>
      <c r="F675" s="124">
        <f t="shared" si="252"/>
        <v>1</v>
      </c>
      <c r="G675" s="124">
        <f t="shared" si="253"/>
        <v>1997.8492283069486</v>
      </c>
      <c r="H675" s="124">
        <f t="shared" si="254"/>
        <v>1</v>
      </c>
      <c r="I675" s="124">
        <f t="shared" si="255"/>
        <v>1</v>
      </c>
      <c r="J675" s="124">
        <f t="shared" si="256"/>
        <v>6.3503017150545654E-6</v>
      </c>
      <c r="K675" s="124">
        <f t="shared" si="257"/>
        <v>0</v>
      </c>
      <c r="L675" s="124">
        <f t="shared" si="258"/>
        <v>0</v>
      </c>
      <c r="M675" s="120"/>
      <c r="N675" s="132">
        <f t="shared" si="246"/>
        <v>1812090.4365884466</v>
      </c>
      <c r="O675" s="124">
        <f t="shared" si="259"/>
        <v>3135552.1184998718</v>
      </c>
      <c r="P675" s="124">
        <f t="shared" si="260"/>
        <v>1</v>
      </c>
      <c r="Q675" s="124">
        <f t="shared" si="261"/>
        <v>1</v>
      </c>
      <c r="R675" s="124">
        <f t="shared" si="262"/>
        <v>3111353.078334643</v>
      </c>
      <c r="S675" s="124">
        <f t="shared" si="263"/>
        <v>183466.92372181063</v>
      </c>
      <c r="T675" s="124">
        <f t="shared" si="264"/>
        <v>3116757.6245454834</v>
      </c>
      <c r="U675" s="124">
        <f t="shared" si="265"/>
        <v>1</v>
      </c>
      <c r="V675" s="124">
        <f t="shared" si="266"/>
        <v>0</v>
      </c>
      <c r="W675" s="124">
        <f t="shared" si="267"/>
        <v>1</v>
      </c>
      <c r="X675" s="124">
        <f t="shared" si="268"/>
        <v>1</v>
      </c>
      <c r="Y675" s="124">
        <f t="shared" si="269"/>
        <v>0</v>
      </c>
      <c r="Z675" s="124">
        <f t="shared" si="270"/>
        <v>1</v>
      </c>
      <c r="AA675" s="124">
        <f t="shared" si="247"/>
        <v>6.8172863059615007E-6</v>
      </c>
      <c r="AB675" s="124">
        <f t="shared" si="271"/>
        <v>0</v>
      </c>
      <c r="AC675" s="124">
        <f t="shared" si="272"/>
        <v>0</v>
      </c>
    </row>
    <row r="676" spans="2:29" s="114" customFormat="1">
      <c r="B676" s="115">
        <f t="shared" si="248"/>
        <v>5.4799999999999107</v>
      </c>
      <c r="C676" s="124">
        <f t="shared" si="249"/>
        <v>301995.17204013967</v>
      </c>
      <c r="D676" s="124">
        <f t="shared" si="250"/>
        <v>2000.8037117315127</v>
      </c>
      <c r="E676" s="124">
        <f t="shared" si="251"/>
        <v>1</v>
      </c>
      <c r="F676" s="124">
        <f t="shared" si="252"/>
        <v>1</v>
      </c>
      <c r="G676" s="124">
        <f t="shared" si="253"/>
        <v>1989.3983616769617</v>
      </c>
      <c r="H676" s="124">
        <f t="shared" si="254"/>
        <v>1</v>
      </c>
      <c r="I676" s="124">
        <f t="shared" si="255"/>
        <v>1</v>
      </c>
      <c r="J676" s="124">
        <f t="shared" si="256"/>
        <v>6.1639405018959676E-6</v>
      </c>
      <c r="K676" s="124">
        <f t="shared" si="257"/>
        <v>0</v>
      </c>
      <c r="L676" s="124">
        <f t="shared" si="258"/>
        <v>0</v>
      </c>
      <c r="M676" s="120"/>
      <c r="N676" s="132">
        <f t="shared" si="246"/>
        <v>1897491.6278017771</v>
      </c>
      <c r="O676" s="124">
        <f t="shared" si="259"/>
        <v>3141278.0420718761</v>
      </c>
      <c r="P676" s="124">
        <f t="shared" si="260"/>
        <v>1</v>
      </c>
      <c r="Q676" s="124">
        <f t="shared" si="261"/>
        <v>1</v>
      </c>
      <c r="R676" s="124">
        <f t="shared" si="262"/>
        <v>3117273.2235410139</v>
      </c>
      <c r="S676" s="124">
        <f t="shared" si="263"/>
        <v>178266.19471059603</v>
      </c>
      <c r="T676" s="124">
        <f t="shared" si="264"/>
        <v>3122366.2799842013</v>
      </c>
      <c r="U676" s="124">
        <f t="shared" si="265"/>
        <v>1</v>
      </c>
      <c r="V676" s="124">
        <f t="shared" si="266"/>
        <v>0</v>
      </c>
      <c r="W676" s="124">
        <f t="shared" si="267"/>
        <v>1</v>
      </c>
      <c r="X676" s="124">
        <f t="shared" si="268"/>
        <v>1</v>
      </c>
      <c r="Y676" s="124">
        <f t="shared" si="269"/>
        <v>0</v>
      </c>
      <c r="Z676" s="124">
        <f t="shared" si="270"/>
        <v>1</v>
      </c>
      <c r="AA676" s="124">
        <f t="shared" si="247"/>
        <v>6.8776657841805161E-6</v>
      </c>
      <c r="AB676" s="124">
        <f t="shared" si="271"/>
        <v>0</v>
      </c>
      <c r="AC676" s="124">
        <f t="shared" si="272"/>
        <v>0</v>
      </c>
    </row>
    <row r="677" spans="2:29" s="114" customFormat="1">
      <c r="B677" s="115">
        <f t="shared" si="248"/>
        <v>5.4999999999999103</v>
      </c>
      <c r="C677" s="124">
        <f t="shared" si="249"/>
        <v>316227.76601677301</v>
      </c>
      <c r="D677" s="124">
        <f t="shared" si="250"/>
        <v>1992.2547055007356</v>
      </c>
      <c r="E677" s="124">
        <f t="shared" si="251"/>
        <v>1</v>
      </c>
      <c r="F677" s="124">
        <f t="shared" si="252"/>
        <v>1</v>
      </c>
      <c r="G677" s="124">
        <f t="shared" si="253"/>
        <v>1981.2520833968802</v>
      </c>
      <c r="H677" s="124">
        <f t="shared" si="254"/>
        <v>1</v>
      </c>
      <c r="I677" s="124">
        <f t="shared" si="255"/>
        <v>1</v>
      </c>
      <c r="J677" s="124">
        <f t="shared" si="256"/>
        <v>5.7846263161782748E-6</v>
      </c>
      <c r="K677" s="124">
        <f t="shared" si="257"/>
        <v>0</v>
      </c>
      <c r="L677" s="124">
        <f t="shared" si="258"/>
        <v>0</v>
      </c>
      <c r="M677" s="120"/>
      <c r="N677" s="132">
        <f t="shared" si="246"/>
        <v>1986917.6531588123</v>
      </c>
      <c r="O677" s="124">
        <f t="shared" si="259"/>
        <v>3146953.7707580826</v>
      </c>
      <c r="P677" s="124">
        <f t="shared" si="260"/>
        <v>1</v>
      </c>
      <c r="Q677" s="124">
        <f t="shared" si="261"/>
        <v>1</v>
      </c>
      <c r="R677" s="124">
        <f t="shared" si="262"/>
        <v>3122888.2663306692</v>
      </c>
      <c r="S677" s="124">
        <f t="shared" si="263"/>
        <v>173013.70462058808</v>
      </c>
      <c r="T677" s="124">
        <f t="shared" si="264"/>
        <v>3127677.2317444002</v>
      </c>
      <c r="U677" s="124">
        <f t="shared" si="265"/>
        <v>1</v>
      </c>
      <c r="V677" s="124">
        <f t="shared" si="266"/>
        <v>0</v>
      </c>
      <c r="W677" s="124">
        <f t="shared" si="267"/>
        <v>1</v>
      </c>
      <c r="X677" s="124">
        <f t="shared" si="268"/>
        <v>1</v>
      </c>
      <c r="Y677" s="124">
        <f t="shared" si="269"/>
        <v>0</v>
      </c>
      <c r="Z677" s="124">
        <f t="shared" si="270"/>
        <v>1</v>
      </c>
      <c r="AA677" s="124">
        <f t="shared" si="247"/>
        <v>7.1205425796099368E-6</v>
      </c>
      <c r="AB677" s="124">
        <f t="shared" si="271"/>
        <v>0</v>
      </c>
      <c r="AC677" s="124">
        <f t="shared" si="272"/>
        <v>0</v>
      </c>
    </row>
    <row r="678" spans="2:29" s="114" customFormat="1">
      <c r="B678" s="115">
        <f t="shared" si="248"/>
        <v>5.5199999999999099</v>
      </c>
      <c r="C678" s="124">
        <f t="shared" si="249"/>
        <v>331131.12148252304</v>
      </c>
      <c r="D678" s="124">
        <f t="shared" si="250"/>
        <v>1983.8263730401502</v>
      </c>
      <c r="E678" s="124">
        <f t="shared" si="251"/>
        <v>1</v>
      </c>
      <c r="F678" s="124">
        <f t="shared" si="252"/>
        <v>1</v>
      </c>
      <c r="G678" s="124">
        <f t="shared" si="253"/>
        <v>1973.3968813250599</v>
      </c>
      <c r="H678" s="124">
        <f t="shared" si="254"/>
        <v>1</v>
      </c>
      <c r="I678" s="124">
        <f t="shared" si="255"/>
        <v>1</v>
      </c>
      <c r="J678" s="124">
        <f t="shared" si="256"/>
        <v>5.2405371849009164E-6</v>
      </c>
      <c r="K678" s="124">
        <f t="shared" si="257"/>
        <v>0</v>
      </c>
      <c r="L678" s="124">
        <f t="shared" si="258"/>
        <v>0</v>
      </c>
      <c r="M678" s="120"/>
      <c r="N678" s="132">
        <f t="shared" si="246"/>
        <v>2080558.1972488875</v>
      </c>
      <c r="O678" s="124">
        <f t="shared" si="259"/>
        <v>3152579.6083207899</v>
      </c>
      <c r="P678" s="124">
        <f t="shared" si="260"/>
        <v>1</v>
      </c>
      <c r="Q678" s="124">
        <f t="shared" si="261"/>
        <v>1</v>
      </c>
      <c r="R678" s="124">
        <f t="shared" si="262"/>
        <v>3128199.4635625961</v>
      </c>
      <c r="S678" s="124">
        <f t="shared" si="263"/>
        <v>167731.48413048504</v>
      </c>
      <c r="T678" s="124">
        <f t="shared" si="264"/>
        <v>3132693.0482576694</v>
      </c>
      <c r="U678" s="124">
        <f t="shared" si="265"/>
        <v>1</v>
      </c>
      <c r="V678" s="124">
        <f t="shared" si="266"/>
        <v>0</v>
      </c>
      <c r="W678" s="124">
        <f t="shared" si="267"/>
        <v>1</v>
      </c>
      <c r="X678" s="124">
        <f t="shared" si="268"/>
        <v>1</v>
      </c>
      <c r="Y678" s="124">
        <f t="shared" si="269"/>
        <v>0</v>
      </c>
      <c r="Z678" s="124">
        <f t="shared" si="270"/>
        <v>1</v>
      </c>
      <c r="AA678" s="124">
        <f t="shared" si="247"/>
        <v>7.5527063639213313E-6</v>
      </c>
      <c r="AB678" s="124">
        <f t="shared" si="271"/>
        <v>0</v>
      </c>
      <c r="AC678" s="124">
        <f t="shared" si="272"/>
        <v>0</v>
      </c>
    </row>
    <row r="679" spans="2:29" s="114" customFormat="1">
      <c r="B679" s="115">
        <f t="shared" si="248"/>
        <v>5.5399999999999094</v>
      </c>
      <c r="C679" s="124">
        <f t="shared" si="249"/>
        <v>346736.85045245971</v>
      </c>
      <c r="D679" s="124">
        <f t="shared" si="250"/>
        <v>1975.5167584920478</v>
      </c>
      <c r="E679" s="124">
        <f t="shared" si="251"/>
        <v>1</v>
      </c>
      <c r="F679" s="124">
        <f t="shared" si="252"/>
        <v>1</v>
      </c>
      <c r="G679" s="124">
        <f t="shared" si="253"/>
        <v>1965.8165191062365</v>
      </c>
      <c r="H679" s="124">
        <f t="shared" si="254"/>
        <v>1</v>
      </c>
      <c r="I679" s="124">
        <f t="shared" si="255"/>
        <v>1</v>
      </c>
      <c r="J679" s="124">
        <f t="shared" si="256"/>
        <v>4.5699237247746804E-6</v>
      </c>
      <c r="K679" s="124">
        <f t="shared" si="257"/>
        <v>0</v>
      </c>
      <c r="L679" s="124">
        <f t="shared" si="258"/>
        <v>0</v>
      </c>
      <c r="M679" s="120"/>
      <c r="N679" s="132">
        <f t="shared" si="246"/>
        <v>2178611.8842206202</v>
      </c>
      <c r="O679" s="124">
        <f t="shared" si="259"/>
        <v>3158155.8596356218</v>
      </c>
      <c r="P679" s="124">
        <f t="shared" si="260"/>
        <v>1</v>
      </c>
      <c r="Q679" s="124">
        <f t="shared" si="261"/>
        <v>1</v>
      </c>
      <c r="R679" s="124">
        <f t="shared" si="262"/>
        <v>3133210.3092339444</v>
      </c>
      <c r="S679" s="124">
        <f t="shared" si="263"/>
        <v>162440.43379079719</v>
      </c>
      <c r="T679" s="124">
        <f t="shared" si="264"/>
        <v>3137418.3234659689</v>
      </c>
      <c r="U679" s="124">
        <f t="shared" si="265"/>
        <v>1</v>
      </c>
      <c r="V679" s="124">
        <f t="shared" si="266"/>
        <v>0</v>
      </c>
      <c r="W679" s="124">
        <f t="shared" si="267"/>
        <v>1</v>
      </c>
      <c r="X679" s="124">
        <f t="shared" si="268"/>
        <v>1</v>
      </c>
      <c r="Y679" s="124">
        <f t="shared" si="269"/>
        <v>0</v>
      </c>
      <c r="Z679" s="124">
        <f t="shared" si="270"/>
        <v>1</v>
      </c>
      <c r="AA679" s="124">
        <f t="shared" si="247"/>
        <v>8.1860685474840757E-6</v>
      </c>
      <c r="AB679" s="124">
        <f t="shared" si="271"/>
        <v>0</v>
      </c>
      <c r="AC679" s="124">
        <f t="shared" si="272"/>
        <v>0</v>
      </c>
    </row>
    <row r="680" spans="2:29" s="114" customFormat="1">
      <c r="B680" s="115">
        <f t="shared" si="248"/>
        <v>5.559999999999909</v>
      </c>
      <c r="C680" s="124">
        <f t="shared" si="249"/>
        <v>363078.05477002595</v>
      </c>
      <c r="D680" s="124">
        <f t="shared" si="250"/>
        <v>1967.3239427753572</v>
      </c>
      <c r="E680" s="124">
        <f t="shared" si="251"/>
        <v>1</v>
      </c>
      <c r="F680" s="124">
        <f t="shared" si="252"/>
        <v>1</v>
      </c>
      <c r="G680" s="124">
        <f t="shared" si="253"/>
        <v>1958.4923267256254</v>
      </c>
      <c r="H680" s="124">
        <f t="shared" si="254"/>
        <v>1</v>
      </c>
      <c r="I680" s="124">
        <f t="shared" si="255"/>
        <v>1</v>
      </c>
      <c r="J680" s="124">
        <f t="shared" si="256"/>
        <v>3.8181281281046123E-6</v>
      </c>
      <c r="K680" s="124">
        <f t="shared" si="257"/>
        <v>0</v>
      </c>
      <c r="L680" s="124">
        <f t="shared" si="258"/>
        <v>0</v>
      </c>
      <c r="M680" s="120"/>
      <c r="N680" s="132">
        <f t="shared" si="246"/>
        <v>2281286.6990903723</v>
      </c>
      <c r="O680" s="124">
        <f t="shared" si="259"/>
        <v>3163682.8306103908</v>
      </c>
      <c r="P680" s="124">
        <f t="shared" si="260"/>
        <v>1</v>
      </c>
      <c r="Q680" s="124">
        <f t="shared" si="261"/>
        <v>1</v>
      </c>
      <c r="R680" s="124">
        <f t="shared" si="262"/>
        <v>3137926.2620747723</v>
      </c>
      <c r="S680" s="124">
        <f t="shared" si="263"/>
        <v>157160.12974013144</v>
      </c>
      <c r="T680" s="124">
        <f t="shared" si="264"/>
        <v>3141859.4068797044</v>
      </c>
      <c r="U680" s="124">
        <f t="shared" si="265"/>
        <v>1</v>
      </c>
      <c r="V680" s="124">
        <f t="shared" si="266"/>
        <v>0</v>
      </c>
      <c r="W680" s="124">
        <f t="shared" si="267"/>
        <v>1</v>
      </c>
      <c r="X680" s="124">
        <f t="shared" si="268"/>
        <v>1</v>
      </c>
      <c r="Y680" s="124">
        <f t="shared" si="269"/>
        <v>0</v>
      </c>
      <c r="Z680" s="124">
        <f t="shared" si="270"/>
        <v>1</v>
      </c>
      <c r="AA680" s="124">
        <f t="shared" si="247"/>
        <v>9.0371808646241808E-6</v>
      </c>
      <c r="AB680" s="124">
        <f t="shared" si="271"/>
        <v>0</v>
      </c>
      <c r="AC680" s="124">
        <f t="shared" si="272"/>
        <v>0</v>
      </c>
    </row>
    <row r="681" spans="2:29" s="114" customFormat="1">
      <c r="B681" s="115">
        <f t="shared" si="248"/>
        <v>5.5799999999999086</v>
      </c>
      <c r="C681" s="124">
        <f t="shared" si="249"/>
        <v>380189.39632048149</v>
      </c>
      <c r="D681" s="124">
        <f t="shared" si="250"/>
        <v>1959.2460427980977</v>
      </c>
      <c r="E681" s="124">
        <f t="shared" si="251"/>
        <v>1</v>
      </c>
      <c r="F681" s="124">
        <f t="shared" si="252"/>
        <v>1</v>
      </c>
      <c r="G681" s="124">
        <f t="shared" si="253"/>
        <v>1951.403545868101</v>
      </c>
      <c r="H681" s="124">
        <f t="shared" si="254"/>
        <v>1</v>
      </c>
      <c r="I681" s="124">
        <f t="shared" si="255"/>
        <v>1</v>
      </c>
      <c r="J681" s="124">
        <f t="shared" si="256"/>
        <v>3.0341754287662327E-6</v>
      </c>
      <c r="K681" s="124">
        <f t="shared" si="257"/>
        <v>0</v>
      </c>
      <c r="L681" s="124">
        <f t="shared" si="258"/>
        <v>0</v>
      </c>
      <c r="M681" s="120"/>
      <c r="N681" s="132">
        <f t="shared" si="246"/>
        <v>2388800.4289063262</v>
      </c>
      <c r="O681" s="124">
        <f t="shared" si="259"/>
        <v>3169160.8281056625</v>
      </c>
      <c r="P681" s="124">
        <f t="shared" si="260"/>
        <v>1</v>
      </c>
      <c r="Q681" s="124">
        <f t="shared" si="261"/>
        <v>1</v>
      </c>
      <c r="R681" s="124">
        <f t="shared" si="262"/>
        <v>3142354.4675788004</v>
      </c>
      <c r="S681" s="124">
        <f t="shared" si="263"/>
        <v>151908.68137824044</v>
      </c>
      <c r="T681" s="124">
        <f t="shared" si="264"/>
        <v>3146024.1333134305</v>
      </c>
      <c r="U681" s="124">
        <f t="shared" si="265"/>
        <v>1</v>
      </c>
      <c r="V681" s="124">
        <f t="shared" si="266"/>
        <v>0</v>
      </c>
      <c r="W681" s="124">
        <f t="shared" si="267"/>
        <v>1</v>
      </c>
      <c r="X681" s="124">
        <f t="shared" si="268"/>
        <v>1</v>
      </c>
      <c r="Y681" s="124">
        <f t="shared" si="269"/>
        <v>0</v>
      </c>
      <c r="Z681" s="124">
        <f t="shared" si="270"/>
        <v>1</v>
      </c>
      <c r="AA681" s="124">
        <f t="shared" si="247"/>
        <v>1.0126584376538324E-5</v>
      </c>
      <c r="AB681" s="124">
        <f t="shared" si="271"/>
        <v>0</v>
      </c>
      <c r="AC681" s="124">
        <f t="shared" si="272"/>
        <v>0</v>
      </c>
    </row>
    <row r="682" spans="2:29" s="114" customFormat="1">
      <c r="B682" s="115">
        <f t="shared" si="248"/>
        <v>5.5999999999999082</v>
      </c>
      <c r="C682" s="124">
        <f t="shared" si="249"/>
        <v>398107.17055341374</v>
      </c>
      <c r="D682" s="124">
        <f t="shared" si="250"/>
        <v>1951.2812106884526</v>
      </c>
      <c r="E682" s="124">
        <f t="shared" si="251"/>
        <v>1</v>
      </c>
      <c r="F682" s="124">
        <f t="shared" si="252"/>
        <v>1</v>
      </c>
      <c r="G682" s="124">
        <f t="shared" si="253"/>
        <v>1944.5277227166468</v>
      </c>
      <c r="H682" s="124">
        <f t="shared" si="254"/>
        <v>1</v>
      </c>
      <c r="I682" s="124">
        <f t="shared" si="255"/>
        <v>1</v>
      </c>
      <c r="J682" s="124">
        <f t="shared" si="256"/>
        <v>2.2672032066519613E-6</v>
      </c>
      <c r="K682" s="124">
        <f t="shared" si="257"/>
        <v>0</v>
      </c>
      <c r="L682" s="124">
        <f t="shared" si="258"/>
        <v>0</v>
      </c>
      <c r="M682" s="120"/>
      <c r="N682" s="132">
        <f t="shared" si="246"/>
        <v>2501381.1247040466</v>
      </c>
      <c r="O682" s="124">
        <f t="shared" si="259"/>
        <v>3174590.159856969</v>
      </c>
      <c r="P682" s="124">
        <f t="shared" si="260"/>
        <v>1</v>
      </c>
      <c r="Q682" s="124">
        <f t="shared" si="261"/>
        <v>1</v>
      </c>
      <c r="R682" s="124">
        <f t="shared" si="262"/>
        <v>3146503.4829202965</v>
      </c>
      <c r="S682" s="124">
        <f t="shared" si="263"/>
        <v>146702.63713012083</v>
      </c>
      <c r="T682" s="124">
        <f t="shared" si="264"/>
        <v>3149921.5596218407</v>
      </c>
      <c r="U682" s="124">
        <f t="shared" si="265"/>
        <v>1</v>
      </c>
      <c r="V682" s="124">
        <f t="shared" si="266"/>
        <v>0</v>
      </c>
      <c r="W682" s="124">
        <f t="shared" si="267"/>
        <v>1</v>
      </c>
      <c r="X682" s="124">
        <f t="shared" si="268"/>
        <v>1</v>
      </c>
      <c r="Y682" s="124">
        <f t="shared" si="269"/>
        <v>0</v>
      </c>
      <c r="Z682" s="124">
        <f t="shared" si="270"/>
        <v>1</v>
      </c>
      <c r="AA682" s="124">
        <f t="shared" si="247"/>
        <v>1.1478047816981475E-5</v>
      </c>
      <c r="AB682" s="124">
        <f t="shared" si="271"/>
        <v>0</v>
      </c>
      <c r="AC682" s="124">
        <f t="shared" si="272"/>
        <v>0</v>
      </c>
    </row>
    <row r="683" spans="2:29" s="114" customFormat="1">
      <c r="B683" s="115">
        <f t="shared" si="248"/>
        <v>5.6199999999999077</v>
      </c>
      <c r="C683" s="124">
        <f t="shared" si="249"/>
        <v>416869.38347024709</v>
      </c>
      <c r="D683" s="124">
        <f t="shared" si="250"/>
        <v>1943.4276330439511</v>
      </c>
      <c r="E683" s="124">
        <f t="shared" si="251"/>
        <v>1</v>
      </c>
      <c r="F683" s="124">
        <f t="shared" si="252"/>
        <v>1</v>
      </c>
      <c r="G683" s="124">
        <f t="shared" si="253"/>
        <v>1937.8411388359784</v>
      </c>
      <c r="H683" s="124">
        <f t="shared" si="254"/>
        <v>1</v>
      </c>
      <c r="I683" s="124">
        <f t="shared" si="255"/>
        <v>1</v>
      </c>
      <c r="J683" s="124">
        <f t="shared" si="256"/>
        <v>1.5630054177990587E-6</v>
      </c>
      <c r="K683" s="124">
        <f t="shared" si="257"/>
        <v>0</v>
      </c>
      <c r="L683" s="124">
        <f t="shared" si="258"/>
        <v>0</v>
      </c>
      <c r="M683" s="120"/>
      <c r="N683" s="132">
        <f t="shared" si="246"/>
        <v>2619267.5852332693</v>
      </c>
      <c r="O683" s="124">
        <f t="shared" si="259"/>
        <v>3179971.134398465</v>
      </c>
      <c r="P683" s="124">
        <f t="shared" si="260"/>
        <v>1</v>
      </c>
      <c r="Q683" s="124">
        <f t="shared" si="261"/>
        <v>1</v>
      </c>
      <c r="R683" s="124">
        <f t="shared" si="262"/>
        <v>3150383.0116619715</v>
      </c>
      <c r="S683" s="124">
        <f t="shared" si="263"/>
        <v>141556.93340461687</v>
      </c>
      <c r="T683" s="124">
        <f t="shared" si="264"/>
        <v>3153561.714246809</v>
      </c>
      <c r="U683" s="124">
        <f t="shared" si="265"/>
        <v>1</v>
      </c>
      <c r="V683" s="124">
        <f t="shared" si="266"/>
        <v>0</v>
      </c>
      <c r="W683" s="124">
        <f t="shared" si="267"/>
        <v>1</v>
      </c>
      <c r="X683" s="124">
        <f t="shared" si="268"/>
        <v>1</v>
      </c>
      <c r="Y683" s="124">
        <f t="shared" si="269"/>
        <v>0</v>
      </c>
      <c r="Z683" s="124">
        <f t="shared" si="270"/>
        <v>1</v>
      </c>
      <c r="AA683" s="124">
        <f t="shared" si="247"/>
        <v>1.3117749254772764E-5</v>
      </c>
      <c r="AB683" s="124">
        <f t="shared" si="271"/>
        <v>0</v>
      </c>
      <c r="AC683" s="124">
        <f t="shared" si="272"/>
        <v>0</v>
      </c>
    </row>
    <row r="684" spans="2:29" s="114" customFormat="1">
      <c r="B684" s="115">
        <f t="shared" si="248"/>
        <v>5.6399999999999073</v>
      </c>
      <c r="C684" s="124">
        <f t="shared" si="249"/>
        <v>436515.83224007342</v>
      </c>
      <c r="D684" s="124">
        <f t="shared" si="250"/>
        <v>1935.6835301983745</v>
      </c>
      <c r="E684" s="124">
        <f t="shared" si="251"/>
        <v>1</v>
      </c>
      <c r="F684" s="124">
        <f t="shared" si="252"/>
        <v>1</v>
      </c>
      <c r="G684" s="124">
        <f t="shared" si="253"/>
        <v>1931.3192690599719</v>
      </c>
      <c r="H684" s="124">
        <f t="shared" si="254"/>
        <v>1</v>
      </c>
      <c r="I684" s="124">
        <f t="shared" si="255"/>
        <v>1</v>
      </c>
      <c r="J684" s="124">
        <f t="shared" si="256"/>
        <v>9.6095149723288505E-7</v>
      </c>
      <c r="K684" s="124">
        <f t="shared" si="257"/>
        <v>0</v>
      </c>
      <c r="L684" s="124">
        <f t="shared" si="258"/>
        <v>0</v>
      </c>
      <c r="M684" s="120"/>
      <c r="N684" s="132">
        <f t="shared" si="246"/>
        <v>2742709.8634820986</v>
      </c>
      <c r="O684" s="124">
        <f t="shared" si="259"/>
        <v>3185304.0609883065</v>
      </c>
      <c r="P684" s="124">
        <f t="shared" si="260"/>
        <v>1</v>
      </c>
      <c r="Q684" s="124">
        <f t="shared" si="261"/>
        <v>1</v>
      </c>
      <c r="R684" s="124">
        <f t="shared" si="262"/>
        <v>3154003.6536070993</v>
      </c>
      <c r="S684" s="124">
        <f t="shared" si="263"/>
        <v>136484.88123203514</v>
      </c>
      <c r="T684" s="124">
        <f t="shared" si="264"/>
        <v>3156955.3639181936</v>
      </c>
      <c r="U684" s="124">
        <f t="shared" si="265"/>
        <v>1</v>
      </c>
      <c r="V684" s="124">
        <f t="shared" si="266"/>
        <v>0</v>
      </c>
      <c r="W684" s="124">
        <f t="shared" si="267"/>
        <v>1</v>
      </c>
      <c r="X684" s="124">
        <f t="shared" si="268"/>
        <v>1</v>
      </c>
      <c r="Y684" s="124">
        <f t="shared" si="269"/>
        <v>0</v>
      </c>
      <c r="Z684" s="124">
        <f t="shared" si="270"/>
        <v>1</v>
      </c>
      <c r="AA684" s="124">
        <f t="shared" si="247"/>
        <v>1.5073447748648711E-5</v>
      </c>
      <c r="AB684" s="124">
        <f t="shared" si="271"/>
        <v>0</v>
      </c>
      <c r="AC684" s="124">
        <f t="shared" si="272"/>
        <v>0</v>
      </c>
    </row>
    <row r="685" spans="2:29" s="114" customFormat="1">
      <c r="B685" s="115">
        <f t="shared" si="248"/>
        <v>5.6599999999999069</v>
      </c>
      <c r="C685" s="124">
        <f t="shared" si="249"/>
        <v>457088.18961477722</v>
      </c>
      <c r="D685" s="124">
        <f t="shared" si="250"/>
        <v>1928.0471555058855</v>
      </c>
      <c r="E685" s="124">
        <f t="shared" si="251"/>
        <v>1</v>
      </c>
      <c r="F685" s="124">
        <f t="shared" si="252"/>
        <v>1</v>
      </c>
      <c r="G685" s="124">
        <f t="shared" si="253"/>
        <v>1924.937253950774</v>
      </c>
      <c r="H685" s="124">
        <f t="shared" si="254"/>
        <v>1</v>
      </c>
      <c r="I685" s="124">
        <f t="shared" si="255"/>
        <v>1</v>
      </c>
      <c r="J685" s="124">
        <f t="shared" si="256"/>
        <v>4.91504594815854E-7</v>
      </c>
      <c r="K685" s="124">
        <f t="shared" si="257"/>
        <v>0</v>
      </c>
      <c r="L685" s="124">
        <f t="shared" si="258"/>
        <v>0</v>
      </c>
      <c r="M685" s="120"/>
      <c r="N685" s="132">
        <f t="shared" si="246"/>
        <v>2871969.7970728851</v>
      </c>
      <c r="O685" s="124">
        <f t="shared" si="259"/>
        <v>3190589.2495354121</v>
      </c>
      <c r="P685" s="124">
        <f t="shared" si="260"/>
        <v>1</v>
      </c>
      <c r="Q685" s="124">
        <f t="shared" si="261"/>
        <v>1</v>
      </c>
      <c r="R685" s="124">
        <f t="shared" si="262"/>
        <v>3157376.6736748647</v>
      </c>
      <c r="S685" s="124">
        <f t="shared" si="263"/>
        <v>131498.18480368966</v>
      </c>
      <c r="T685" s="124">
        <f t="shared" si="264"/>
        <v>3160113.8004940292</v>
      </c>
      <c r="U685" s="124">
        <f t="shared" si="265"/>
        <v>1</v>
      </c>
      <c r="V685" s="124">
        <f t="shared" si="266"/>
        <v>0</v>
      </c>
      <c r="W685" s="124">
        <f t="shared" si="267"/>
        <v>1</v>
      </c>
      <c r="X685" s="124">
        <f t="shared" si="268"/>
        <v>1</v>
      </c>
      <c r="Y685" s="124">
        <f t="shared" si="269"/>
        <v>0</v>
      </c>
      <c r="Z685" s="124">
        <f t="shared" si="270"/>
        <v>1</v>
      </c>
      <c r="AA685" s="124">
        <f t="shared" si="247"/>
        <v>1.7373683106876259E-5</v>
      </c>
      <c r="AB685" s="124">
        <f t="shared" si="271"/>
        <v>0</v>
      </c>
      <c r="AC685" s="124">
        <f t="shared" si="272"/>
        <v>0</v>
      </c>
    </row>
    <row r="686" spans="2:29" s="114" customFormat="1">
      <c r="B686" s="115">
        <f t="shared" si="248"/>
        <v>5.6799999999999065</v>
      </c>
      <c r="C686" s="124">
        <f t="shared" si="249"/>
        <v>478630.09232253587</v>
      </c>
      <c r="D686" s="124">
        <f t="shared" si="250"/>
        <v>1920.5167946419415</v>
      </c>
      <c r="E686" s="124">
        <f t="shared" si="251"/>
        <v>1</v>
      </c>
      <c r="F686" s="124">
        <f t="shared" si="252"/>
        <v>1</v>
      </c>
      <c r="G686" s="124">
        <f t="shared" si="253"/>
        <v>1918.6703735276458</v>
      </c>
      <c r="H686" s="124">
        <f t="shared" si="254"/>
        <v>1</v>
      </c>
      <c r="I686" s="124">
        <f t="shared" si="255"/>
        <v>1</v>
      </c>
      <c r="J686" s="124">
        <f t="shared" si="256"/>
        <v>1.7450650705112371E-7</v>
      </c>
      <c r="K686" s="124">
        <f t="shared" si="257"/>
        <v>0</v>
      </c>
      <c r="L686" s="124">
        <f t="shared" si="258"/>
        <v>0</v>
      </c>
      <c r="M686" s="120"/>
      <c r="N686" s="132">
        <f t="shared" si="246"/>
        <v>3007321.5636549662</v>
      </c>
      <c r="O686" s="124">
        <f t="shared" si="259"/>
        <v>3195827.010527961</v>
      </c>
      <c r="P686" s="124">
        <f t="shared" si="260"/>
        <v>1</v>
      </c>
      <c r="Q686" s="124">
        <f t="shared" si="261"/>
        <v>1</v>
      </c>
      <c r="R686" s="124">
        <f t="shared" si="262"/>
        <v>3160513.7923407932</v>
      </c>
      <c r="S686" s="124">
        <f t="shared" si="263"/>
        <v>126606.9861675686</v>
      </c>
      <c r="T686" s="124">
        <f t="shared" si="264"/>
        <v>3163048.6497243159</v>
      </c>
      <c r="U686" s="124">
        <f t="shared" si="265"/>
        <v>1</v>
      </c>
      <c r="V686" s="124">
        <f t="shared" si="266"/>
        <v>0</v>
      </c>
      <c r="W686" s="124">
        <f t="shared" si="267"/>
        <v>1</v>
      </c>
      <c r="X686" s="124">
        <f t="shared" si="268"/>
        <v>1</v>
      </c>
      <c r="Y686" s="124">
        <f t="shared" si="269"/>
        <v>0</v>
      </c>
      <c r="Z686" s="124">
        <f t="shared" si="270"/>
        <v>1</v>
      </c>
      <c r="AA686" s="124">
        <f t="shared" si="247"/>
        <v>2.0047032939388067E-5</v>
      </c>
      <c r="AB686" s="124">
        <f t="shared" si="271"/>
        <v>0</v>
      </c>
      <c r="AC686" s="124">
        <f t="shared" si="272"/>
        <v>0</v>
      </c>
    </row>
    <row r="687" spans="2:29" s="114" customFormat="1">
      <c r="B687" s="115">
        <f t="shared" si="248"/>
        <v>5.699999999999906</v>
      </c>
      <c r="C687" s="124">
        <f t="shared" si="249"/>
        <v>501187.23362716485</v>
      </c>
      <c r="D687" s="124">
        <f t="shared" si="250"/>
        <v>1913.0907649206183</v>
      </c>
      <c r="E687" s="124">
        <f t="shared" si="251"/>
        <v>1</v>
      </c>
      <c r="F687" s="124">
        <f t="shared" si="252"/>
        <v>1</v>
      </c>
      <c r="G687" s="124">
        <f t="shared" si="253"/>
        <v>1912.494508659634</v>
      </c>
      <c r="H687" s="124">
        <f t="shared" si="254"/>
        <v>1</v>
      </c>
      <c r="I687" s="124">
        <f t="shared" si="255"/>
        <v>1</v>
      </c>
      <c r="J687" s="124">
        <f t="shared" si="256"/>
        <v>1.8327311093493266E-8</v>
      </c>
      <c r="K687" s="124">
        <f t="shared" si="257"/>
        <v>0</v>
      </c>
      <c r="L687" s="124">
        <f t="shared" si="258"/>
        <v>0</v>
      </c>
      <c r="M687" s="120"/>
      <c r="N687" s="132">
        <f t="shared" si="246"/>
        <v>3149052.2624721848</v>
      </c>
      <c r="O687" s="124">
        <f t="shared" si="259"/>
        <v>3201017.6549632261</v>
      </c>
      <c r="P687" s="124">
        <f t="shared" si="260"/>
        <v>1</v>
      </c>
      <c r="Q687" s="124">
        <f t="shared" si="261"/>
        <v>1</v>
      </c>
      <c r="R687" s="124">
        <f t="shared" si="262"/>
        <v>3163426.9990207143</v>
      </c>
      <c r="S687" s="124">
        <f t="shared" si="263"/>
        <v>121819.9305914336</v>
      </c>
      <c r="T687" s="124">
        <f t="shared" si="264"/>
        <v>3165771.7027010182</v>
      </c>
      <c r="U687" s="124">
        <f t="shared" si="265"/>
        <v>1</v>
      </c>
      <c r="V687" s="124">
        <f t="shared" si="266"/>
        <v>0</v>
      </c>
      <c r="W687" s="124">
        <f t="shared" si="267"/>
        <v>1</v>
      </c>
      <c r="X687" s="124">
        <f t="shared" si="268"/>
        <v>1</v>
      </c>
      <c r="Y687" s="124">
        <f t="shared" si="269"/>
        <v>0</v>
      </c>
      <c r="Z687" s="124">
        <f t="shared" si="270"/>
        <v>1</v>
      </c>
      <c r="AA687" s="124">
        <f t="shared" si="247"/>
        <v>2.3121447595666691E-5</v>
      </c>
      <c r="AB687" s="124">
        <f t="shared" si="271"/>
        <v>0</v>
      </c>
      <c r="AC687" s="124">
        <f t="shared" si="272"/>
        <v>0</v>
      </c>
    </row>
    <row r="688" spans="2:29" s="114" customFormat="1">
      <c r="B688" s="115">
        <f t="shared" si="248"/>
        <v>5.7199999999999056</v>
      </c>
      <c r="C688" s="124">
        <f t="shared" si="249"/>
        <v>524807.46024965914</v>
      </c>
      <c r="D688" s="124">
        <f t="shared" si="250"/>
        <v>1905.7674146278607</v>
      </c>
      <c r="E688" s="124">
        <f t="shared" si="251"/>
        <v>1</v>
      </c>
      <c r="F688" s="124">
        <f t="shared" si="252"/>
        <v>1</v>
      </c>
      <c r="G688" s="124">
        <f t="shared" si="253"/>
        <v>1906.3865768334713</v>
      </c>
      <c r="H688" s="124">
        <f t="shared" si="254"/>
        <v>1</v>
      </c>
      <c r="I688" s="124">
        <f t="shared" si="255"/>
        <v>1</v>
      </c>
      <c r="J688" s="124">
        <f t="shared" si="256"/>
        <v>1.9901995681461538E-8</v>
      </c>
      <c r="K688" s="124">
        <f t="shared" si="257"/>
        <v>0</v>
      </c>
      <c r="L688" s="124">
        <f t="shared" si="258"/>
        <v>0</v>
      </c>
      <c r="M688" s="120"/>
      <c r="N688" s="132">
        <f t="shared" si="246"/>
        <v>3297462.523338893</v>
      </c>
      <c r="O688" s="124">
        <f t="shared" si="259"/>
        <v>3206161.4942790382</v>
      </c>
      <c r="P688" s="124">
        <f t="shared" si="260"/>
        <v>1</v>
      </c>
      <c r="Q688" s="124">
        <f t="shared" si="261"/>
        <v>1</v>
      </c>
      <c r="R688" s="124">
        <f t="shared" si="262"/>
        <v>3166128.3888045037</v>
      </c>
      <c r="S688" s="124">
        <f t="shared" si="263"/>
        <v>117144.24752340291</v>
      </c>
      <c r="T688" s="124">
        <f t="shared" si="264"/>
        <v>3168294.7699230304</v>
      </c>
      <c r="U688" s="124">
        <f t="shared" si="265"/>
        <v>1</v>
      </c>
      <c r="V688" s="124">
        <f t="shared" si="266"/>
        <v>0</v>
      </c>
      <c r="W688" s="124">
        <f t="shared" si="267"/>
        <v>1</v>
      </c>
      <c r="X688" s="124">
        <f t="shared" si="268"/>
        <v>1</v>
      </c>
      <c r="Y688" s="124">
        <f t="shared" si="269"/>
        <v>0</v>
      </c>
      <c r="Z688" s="124">
        <f t="shared" si="270"/>
        <v>1</v>
      </c>
      <c r="AA688" s="124">
        <f t="shared" si="247"/>
        <v>2.6623675800670892E-5</v>
      </c>
      <c r="AB688" s="124">
        <f t="shared" si="271"/>
        <v>0</v>
      </c>
      <c r="AC688" s="124">
        <f t="shared" si="272"/>
        <v>0</v>
      </c>
    </row>
    <row r="689" spans="2:29" s="114" customFormat="1">
      <c r="B689" s="115">
        <f t="shared" si="248"/>
        <v>5.7399999999999052</v>
      </c>
      <c r="C689" s="124">
        <f t="shared" si="249"/>
        <v>549540.87385750562</v>
      </c>
      <c r="D689" s="124">
        <f t="shared" si="250"/>
        <v>1898.545122370339</v>
      </c>
      <c r="E689" s="124">
        <f t="shared" si="251"/>
        <v>1</v>
      </c>
      <c r="F689" s="124">
        <f t="shared" si="252"/>
        <v>1</v>
      </c>
      <c r="G689" s="124">
        <f t="shared" si="253"/>
        <v>1900.3249299652757</v>
      </c>
      <c r="H689" s="124">
        <f t="shared" si="254"/>
        <v>1</v>
      </c>
      <c r="I689" s="124">
        <f t="shared" si="255"/>
        <v>1</v>
      </c>
      <c r="J689" s="124">
        <f t="shared" si="256"/>
        <v>1.6560212792691828E-7</v>
      </c>
      <c r="K689" s="124">
        <f t="shared" si="257"/>
        <v>0</v>
      </c>
      <c r="L689" s="124">
        <f t="shared" si="258"/>
        <v>0</v>
      </c>
      <c r="M689" s="120"/>
      <c r="N689" s="132">
        <f t="shared" si="246"/>
        <v>3452867.1443161098</v>
      </c>
      <c r="O689" s="124">
        <f t="shared" si="259"/>
        <v>3211258.8402867098</v>
      </c>
      <c r="P689" s="124">
        <f t="shared" si="260"/>
        <v>1</v>
      </c>
      <c r="Q689" s="124">
        <f t="shared" si="261"/>
        <v>1</v>
      </c>
      <c r="R689" s="124">
        <f t="shared" si="262"/>
        <v>3168630.0221667374</v>
      </c>
      <c r="S689" s="124">
        <f t="shared" si="263"/>
        <v>112585.84260291787</v>
      </c>
      <c r="T689" s="124">
        <f t="shared" si="264"/>
        <v>3170629.5572537305</v>
      </c>
      <c r="U689" s="124">
        <f t="shared" si="265"/>
        <v>1</v>
      </c>
      <c r="V689" s="124">
        <f t="shared" si="266"/>
        <v>0</v>
      </c>
      <c r="W689" s="124">
        <f t="shared" si="267"/>
        <v>1</v>
      </c>
      <c r="X689" s="124">
        <f t="shared" si="268"/>
        <v>1</v>
      </c>
      <c r="Y689" s="124">
        <f t="shared" si="269"/>
        <v>0</v>
      </c>
      <c r="Z689" s="124">
        <f t="shared" si="270"/>
        <v>1</v>
      </c>
      <c r="AA689" s="124">
        <f t="shared" si="247"/>
        <v>3.0578787121075937E-5</v>
      </c>
      <c r="AB689" s="124">
        <f t="shared" si="271"/>
        <v>0</v>
      </c>
      <c r="AC689" s="124">
        <f t="shared" si="272"/>
        <v>0</v>
      </c>
    </row>
    <row r="690" spans="2:29" s="114" customFormat="1">
      <c r="B690" s="115">
        <f t="shared" si="248"/>
        <v>5.7599999999999048</v>
      </c>
      <c r="C690" s="124">
        <f t="shared" si="249"/>
        <v>575439.93733703124</v>
      </c>
      <c r="D690" s="124">
        <f t="shared" si="250"/>
        <v>1891.4222964394328</v>
      </c>
      <c r="E690" s="124">
        <f t="shared" si="251"/>
        <v>1</v>
      </c>
      <c r="F690" s="124">
        <f t="shared" si="252"/>
        <v>1</v>
      </c>
      <c r="G690" s="124">
        <f t="shared" si="253"/>
        <v>1894.2897034971652</v>
      </c>
      <c r="H690" s="124">
        <f t="shared" si="254"/>
        <v>1</v>
      </c>
      <c r="I690" s="124">
        <f t="shared" si="255"/>
        <v>1</v>
      </c>
      <c r="J690" s="124">
        <f t="shared" si="256"/>
        <v>4.32824998661967E-7</v>
      </c>
      <c r="K690" s="124">
        <f t="shared" si="257"/>
        <v>0</v>
      </c>
      <c r="L690" s="124">
        <f t="shared" si="258"/>
        <v>0</v>
      </c>
      <c r="M690" s="120"/>
      <c r="N690" s="132">
        <f t="shared" si="246"/>
        <v>3615595.7594403764</v>
      </c>
      <c r="O690" s="124">
        <f t="shared" si="259"/>
        <v>3216310.0051053911</v>
      </c>
      <c r="P690" s="124">
        <f t="shared" si="260"/>
        <v>1</v>
      </c>
      <c r="Q690" s="124">
        <f t="shared" si="261"/>
        <v>1</v>
      </c>
      <c r="R690" s="124">
        <f t="shared" si="262"/>
        <v>3170943.8066858118</v>
      </c>
      <c r="S690" s="124">
        <f t="shared" si="263"/>
        <v>108149.39675307824</v>
      </c>
      <c r="T690" s="124">
        <f t="shared" si="264"/>
        <v>3172787.562566577</v>
      </c>
      <c r="U690" s="124">
        <f t="shared" si="265"/>
        <v>1</v>
      </c>
      <c r="V690" s="124">
        <f t="shared" si="266"/>
        <v>0</v>
      </c>
      <c r="W690" s="124">
        <f t="shared" si="267"/>
        <v>1</v>
      </c>
      <c r="X690" s="124">
        <f t="shared" si="268"/>
        <v>1</v>
      </c>
      <c r="Y690" s="124">
        <f t="shared" si="269"/>
        <v>0</v>
      </c>
      <c r="Z690" s="124">
        <f t="shared" si="270"/>
        <v>1</v>
      </c>
      <c r="AA690" s="124">
        <f t="shared" si="247"/>
        <v>3.5009791946222444E-5</v>
      </c>
      <c r="AB690" s="124">
        <f t="shared" si="271"/>
        <v>0</v>
      </c>
      <c r="AC690" s="124">
        <f t="shared" si="272"/>
        <v>0</v>
      </c>
    </row>
    <row r="691" spans="2:29" s="114" customFormat="1">
      <c r="B691" s="115">
        <f t="shared" si="248"/>
        <v>5.7799999999999043</v>
      </c>
      <c r="C691" s="124">
        <f t="shared" si="249"/>
        <v>602559.58607422595</v>
      </c>
      <c r="D691" s="124">
        <f t="shared" si="250"/>
        <v>1884.3973741900461</v>
      </c>
      <c r="E691" s="124">
        <f t="shared" si="251"/>
        <v>1</v>
      </c>
      <c r="F691" s="124">
        <f t="shared" si="252"/>
        <v>1</v>
      </c>
      <c r="G691" s="124">
        <f t="shared" si="253"/>
        <v>1888.2631081379461</v>
      </c>
      <c r="H691" s="124">
        <f t="shared" si="254"/>
        <v>1</v>
      </c>
      <c r="I691" s="124">
        <f t="shared" si="255"/>
        <v>1</v>
      </c>
      <c r="J691" s="124">
        <f t="shared" si="256"/>
        <v>7.921317016234907E-7</v>
      </c>
      <c r="K691" s="124">
        <f t="shared" si="257"/>
        <v>0</v>
      </c>
      <c r="L691" s="124">
        <f t="shared" si="258"/>
        <v>0</v>
      </c>
      <c r="M691" s="120"/>
      <c r="N691" s="132">
        <f t="shared" si="246"/>
        <v>3785993.5379217896</v>
      </c>
      <c r="O691" s="124">
        <f t="shared" si="259"/>
        <v>3221315.3010979448</v>
      </c>
      <c r="P691" s="124">
        <f t="shared" si="260"/>
        <v>1</v>
      </c>
      <c r="Q691" s="124">
        <f t="shared" si="261"/>
        <v>1</v>
      </c>
      <c r="R691" s="124">
        <f t="shared" si="262"/>
        <v>3173081.399373956</v>
      </c>
      <c r="S691" s="124">
        <f t="shared" si="263"/>
        <v>103838.46897938181</v>
      </c>
      <c r="T691" s="124">
        <f t="shared" si="264"/>
        <v>3174779.9915416129</v>
      </c>
      <c r="U691" s="124">
        <f t="shared" si="265"/>
        <v>1</v>
      </c>
      <c r="V691" s="124">
        <f t="shared" si="266"/>
        <v>0</v>
      </c>
      <c r="W691" s="124">
        <f t="shared" si="267"/>
        <v>1</v>
      </c>
      <c r="X691" s="124">
        <f t="shared" si="268"/>
        <v>1</v>
      </c>
      <c r="Y691" s="124">
        <f t="shared" si="269"/>
        <v>0</v>
      </c>
      <c r="Z691" s="124">
        <f t="shared" si="270"/>
        <v>1</v>
      </c>
      <c r="AA691" s="124">
        <f t="shared" si="247"/>
        <v>3.9937355460667385E-5</v>
      </c>
      <c r="AB691" s="124">
        <f t="shared" si="271"/>
        <v>0</v>
      </c>
      <c r="AC691" s="124">
        <f t="shared" si="272"/>
        <v>0</v>
      </c>
    </row>
    <row r="692" spans="2:29" s="114" customFormat="1">
      <c r="B692" s="115">
        <f t="shared" si="248"/>
        <v>5.7999999999999039</v>
      </c>
      <c r="C692" s="124">
        <f t="shared" si="249"/>
        <v>630957.3444800541</v>
      </c>
      <c r="D692" s="124">
        <f t="shared" si="250"/>
        <v>1877.468821433815</v>
      </c>
      <c r="E692" s="124">
        <f t="shared" si="251"/>
        <v>1</v>
      </c>
      <c r="F692" s="124">
        <f t="shared" si="252"/>
        <v>1</v>
      </c>
      <c r="G692" s="124">
        <f t="shared" si="253"/>
        <v>1882.2296581566329</v>
      </c>
      <c r="H692" s="124">
        <f t="shared" si="254"/>
        <v>1</v>
      </c>
      <c r="I692" s="124">
        <f t="shared" si="255"/>
        <v>1</v>
      </c>
      <c r="J692" s="124">
        <f t="shared" si="256"/>
        <v>1.2097332541957478E-6</v>
      </c>
      <c r="K692" s="124">
        <f t="shared" si="257"/>
        <v>0</v>
      </c>
      <c r="L692" s="124">
        <f t="shared" si="258"/>
        <v>0</v>
      </c>
      <c r="M692" s="120"/>
      <c r="N692" s="132">
        <f t="shared" ref="N692:N752" si="273">2*PI()*C692</f>
        <v>3964421.9162941249</v>
      </c>
      <c r="O692" s="124">
        <f t="shared" si="259"/>
        <v>3226275.0408082302</v>
      </c>
      <c r="P692" s="124">
        <f t="shared" si="260"/>
        <v>1</v>
      </c>
      <c r="Q692" s="124">
        <f t="shared" si="261"/>
        <v>1</v>
      </c>
      <c r="R692" s="124">
        <f t="shared" si="262"/>
        <v>3175054.1279362547</v>
      </c>
      <c r="S692" s="124">
        <f t="shared" si="263"/>
        <v>99655.600080055723</v>
      </c>
      <c r="T692" s="124">
        <f t="shared" si="264"/>
        <v>3176617.6908706478</v>
      </c>
      <c r="U692" s="124">
        <f t="shared" si="265"/>
        <v>1</v>
      </c>
      <c r="V692" s="124">
        <f t="shared" si="266"/>
        <v>0</v>
      </c>
      <c r="W692" s="124">
        <f t="shared" si="267"/>
        <v>1</v>
      </c>
      <c r="X692" s="124">
        <f t="shared" si="268"/>
        <v>1</v>
      </c>
      <c r="Y692" s="124">
        <f t="shared" si="269"/>
        <v>0</v>
      </c>
      <c r="Z692" s="124">
        <f t="shared" si="270"/>
        <v>1</v>
      </c>
      <c r="AA692" s="124">
        <f t="shared" ref="AA692:AA752" si="274">(LOG10(O692)-LOG10(T692))^2</f>
        <v>4.5379599037396795E-5</v>
      </c>
      <c r="AB692" s="124">
        <f t="shared" si="271"/>
        <v>0</v>
      </c>
      <c r="AC692" s="124">
        <f t="shared" si="272"/>
        <v>0</v>
      </c>
    </row>
    <row r="693" spans="2:29" s="114" customFormat="1">
      <c r="B693" s="115">
        <f t="shared" ref="B693:B752" si="275">B692+0.02</f>
        <v>5.8199999999999035</v>
      </c>
      <c r="C693" s="124">
        <f t="shared" ref="C693:C752" si="276">10^B693</f>
        <v>660693.44800745009</v>
      </c>
      <c r="D693" s="124">
        <f t="shared" ref="D693:D752" si="277">IF(AND($D$12&lt;&gt;"",$E$12&lt;&gt;"",$F$12&lt;&gt;"",$G$12&lt;&gt;""),10^($D$12+$E$12/(1+EXP($F$12+$G$12*LOG10($C693)))),1)</f>
        <v>1870.6351318463883</v>
      </c>
      <c r="E693" s="124">
        <f t="shared" ref="E693:E752" si="278">IF(AND($D$13&lt;&gt;"",$E$13&lt;&gt;"",$F$13&lt;&gt;"",$G$13&lt;&gt;""),10^($D$13+$E$13/(1+EXP($F$13+$G$13*LOG10($C693)))),1)</f>
        <v>1</v>
      </c>
      <c r="F693" s="124">
        <f t="shared" ref="F693:F752" si="279">IF(AND($D$14&lt;&gt;"",$E$14&lt;&gt;"",$F$14&lt;&gt;"",$G$14&lt;&gt;""),10^($D$14+$E$14/(1+EXP($F$14+$G$14*LOG10($C693)))),1)</f>
        <v>1</v>
      </c>
      <c r="G693" s="124">
        <f t="shared" ref="G693:G752" si="280">IF(OR($C$28="",$C$28=0),1,$C$28+$C$29*EXP(-C693/$F$29)+$C$30*EXP(-C693/$F$30)+$C$31*EXP(-C693/$F$31)+$C$32*EXP(-C693/$F$32)+$C$33*EXP(-C693/$F$33)+$C$34*EXP(-C693/$F$34)+$C$35*EXP(-C693/$F$35)+$C$36*EXP(-C693/$F$36)+$C$37*EXP(-C693/$F$37)+$C$38*EXP(-C693/$F$38)+$C$39*EXP(-C693/$F$39)+$C$40*EXP(-C693/$F$40)+$C$41*EXP(-C693/$F$41)+$C$42*EXP(-C693/$F$42))</f>
        <v>1876.1763329664968</v>
      </c>
      <c r="H693" s="124">
        <f t="shared" ref="H693:H752" si="281">IF(OR($D$28="",$D$28=0),1,$D$28+$D$29*EXP(-C693/$F$29)+$D$30*EXP(-C693/$F$30)+$D$31*EXP(-C693/$F$31)+$D$32*EXP(-C693/$F$32)+$D$33*EXP(-C693/$F$33)+$D$34*EXP(-C693/$F$34)+$D$35*EXP(-C693/$F$35)+$D$36*EXP(-C693/$F$36)+$D$37*EXP(-C693/$F$37)+$D$38*EXP(-C693/$F$38)+$D$39*EXP(-C693/$F$39)+$D$40*EXP(-C693/$F$40)+$D$41*EXP(-C693/$F$41)+$D$42*EXP(-C693/$F$42))</f>
        <v>1</v>
      </c>
      <c r="I693" s="124">
        <f t="shared" ref="I693:I752" si="282">IF(OR($E$28="",$E$28=0),1,$E$28+$E$29*EXP(-C693/$F$29)+$E$30*EXP(-C693/$F$30)+$E$31*EXP(-C693/$F$31)+$E$32*EXP(-C693/$F$32)+$E$33*EXP(-C693/$F$33)+$E$34*EXP(-C693/$F$34)+$E$35*EXP(-C693/$F$35)+$E$36*EXP(-C693/$F$36)+$E$37*EXP(-C693/$F$37)+$E$38*EXP(-C693/$F$38)+$E$39*EXP(-C693/$F$39)+$E$40*EXP(-C693/$F$40)+$E$41*EXP(-C693/$F$41)+$E$42*EXP(-C693/$F$42))</f>
        <v>1</v>
      </c>
      <c r="J693" s="124">
        <f t="shared" ref="J693:J752" si="283">(LOG10(D693)-LOG10(G693))^2</f>
        <v>1.6501118873772057E-6</v>
      </c>
      <c r="K693" s="124">
        <f t="shared" ref="K693:K752" si="284">(LOG10(E693)-LOG10(H693))^2</f>
        <v>0</v>
      </c>
      <c r="L693" s="124">
        <f t="shared" ref="L693:L752" si="285">(LOG10(F693)-LOG10(I693))^2</f>
        <v>0</v>
      </c>
      <c r="M693" s="120"/>
      <c r="N693" s="132">
        <f t="shared" si="273"/>
        <v>4151259.3650702303</v>
      </c>
      <c r="O693" s="124">
        <f t="shared" ref="O693:O752" si="286">IF(AND($L$12&lt;&gt;"",$M$12&lt;&gt;"",$N$12&lt;&gt;"",$O$12&lt;&gt;""),10^($L$12+$M$12/(1+EXP($N$12+$O$12*LOG10($C693)))),1)</f>
        <v>3231189.5368998405</v>
      </c>
      <c r="P693" s="124">
        <f t="shared" ref="P693:P752" si="287">IF(AND($L$13&lt;&gt;"",$M$13&lt;&gt;"",$N$13&lt;&gt;"",$O$13&lt;&gt;""),10^($L$13+$M$13/(1+EXP($N$13+$O$13*LOG10($C693)))),1)</f>
        <v>1</v>
      </c>
      <c r="Q693" s="124">
        <f t="shared" ref="Q693:Q752" si="288">IF(AND($L$14&lt;&gt;"",$M$14&lt;&gt;"",$N$14&lt;&gt;"",$O$14&lt;&gt;""),10^($L$14+$M$14/(1+EXP($N$14+$O$14*LOG10($C693)))),1)</f>
        <v>1</v>
      </c>
      <c r="R693" s="124">
        <f t="shared" ref="R693:R752" si="289">IF(OR($C$28="",$C$28=0),1,$C$28+($N693^2*$F$29^2*$C$29)/($N693^2*$F$29^2+1)+($N693^2*$F$30^2*$C$30)/($N693^2*$F$30^2+1)+($N693^2*$F$31^2*$C$31)/($N693^2*$F$31^2+1)+($N693^2*$F$32^2*$C$32)/($N693^2*$F$32^2+1)+($N693^2*$F$33^2*$C$33)/($N693^2*$F$33^2+1)+($N693^2*$F$34^2*$C$34)/($N693^2*$F$34^2+1)+($N693^2*$F$35^2*$C$35)/($N693^2*$F$35^2+1)+($N693^2*$F$36^2*$C$36)/($N693^2*$F$36^2+1)+($N693^2*$F$37^2*$C$37)/($N693^2*$F$37^2+1)+($N693^2*$F$38^2*$C$38)/($N693^2*$F$38^2+1)+($N693^2*$F$39^2*$C$39)/($N693^2*$F$39^2+1)+($N693^2*$F$40^2*$C$40)/($N693^2*$F$40^2+1)+($N693^2*$F$41^2*$C$41)/($N693^2*$F$41^2+1)+($N693^2*$F$42^2*$C$42)/($N693^2*$F$42^2+1))</f>
        <v>3176872.9291139394</v>
      </c>
      <c r="S693" s="124">
        <f t="shared" ref="S693:S752" si="290">IF(OR($C$28="",$C$28=0),0,($N693*$F$29*$C$29)/($N693^2*$F$29^2+1)+($N693*$F$30*$C$30)/($N693^2*$F$30^2+1)+($N693*$F$31*$C$31)/($N693^2*$F$31^2+1)+($N693*$F$32*$C$32)/($N693^2*$F$32^2+1)+($N693*$F$33*$C$33)/($N693^2*$F$33^2+1)+($N693*$F$34*$C$34)/($N693^2*$F$34^2+1)+($N693*$F$35*$C$35)/($N693^2*$F$35^2+1)+($N693*$F$36*$C$36)/($N693^2*$F$36^2+1)+($N693*$F$37*$C$37)/($N693^2*$F$37^2+1)+($N693*$F$38*$C$38)/($N693^2*$F$38^2+1)+($N693*$F$39*$C$39)/($N693^2*$F$39^2+1)+($N693*$F$40*$C$40)/($N693^2*$F$40^2+1)+($N693*$F$41*$C$41)/($N693^2*$F$41^2+1)+($N693*$F$42*$C$42)/($N693^2*$F$42^2+1))</f>
        <v>95602.415018121363</v>
      </c>
      <c r="T693" s="124">
        <f t="shared" ref="T693:T752" si="291">SQRT(R693^2+S693^2)</f>
        <v>3178311.0970284641</v>
      </c>
      <c r="U693" s="124">
        <f t="shared" ref="U693:U752" si="292">IF(OR($D$28="",$D$28=0),1,$D$28+($N693^2*$F$29^2*$D$29)/($N693^2*$F$29^2+1)+($N693^2*$F$30^2*$D$30)/($N693^2*$F$30^2+1)+($N693^2*$F$31^2*$D$31)/($N693^2*$F$31^2+1)+($N693^2*$F$32^2*$D$32)/($N693^2*$F$32^2+1)+($N693^2*$F$33^2*$D$33)/($N693^2*$F$33^2+1)+($N693^2*$F$34^2*$D$34)/($N693^2*$F$34^2+1)+($N693^2*$F$35^2*$D$35)/($N693^2*$F$35^2+1)+($N693^2*$F$36^2*$D$36)/($N693^2*$F$36^2+1)+($N693^2*$F$37^2*$D$37)/($N693^2*$F$37^2+1)+($N693^2*$F$38^2*$D$38)/($N693^2*$F$38^2+1)+($N693^2*$F$39^2*$D$39)/($N693^2*$F$39^2+1)+($N693^2*$F$40^2*$D$40)/($N693^2*$F$40^2+1)+($N693^2*$F$41^2*$D$41)/($N693^2*$F$41^2+1)+($N693^2*$F$42^2*$D$42)/($N693^2*$F$42^2+1))</f>
        <v>1</v>
      </c>
      <c r="V693" s="124">
        <f t="shared" ref="V693:V752" si="293">IF(OR($D$28="",$D$28=0),0,($N693*$F$29*$D$29)/($N693^2*$F$29^2+1)+($N693*$F$30*$D$30)/($N693^2*$F$30^2+1)+($N693*$F$31*$D$31)/($N693^2*$F$31^2+1)+($N693*$F$32*$D$32)/($N693^2*$F$32^2+1)+($N693*$F$33*$D$33)/($N693^2*$F$33^2+1)+($N693*$F$34*$D$34)/($N693^2*$F$34^2+1)+($N693*$F$35*$D$35)/($N693^2*$F$35^2+1)+($N693*$F$36*$D$36)/($N693^2*$F$36^2+1)+($N693*$F$37*$D$37)/($N693^2*$F$37^2+1)+($N693*$F$38*$D$38)/($N693^2*$F$38^2+1)+($N693*$F$39*$D$39)/($N693^2*$F$39^2+1)+($N693*$F$40*$D$40)/($N693^2*$F$40^2+1)+($N693*$F$41*$D$41)/($N693^2*$F$41^2+1)+($N693*$F$42*$D$42)/($N693^2*$F$42^2+1))</f>
        <v>0</v>
      </c>
      <c r="W693" s="124">
        <f t="shared" ref="W693:W752" si="294">SQRT(U693^2+V693^2)</f>
        <v>1</v>
      </c>
      <c r="X693" s="124">
        <f t="shared" ref="X693:X752" si="295">IF(OR($E$28="",$E$28=0),1,$E$28+($N693^2*$F$29^2*$E$29)/($N693^2*$F$29^2+1)+($N693^2*$F$30^2*$E$30)/($N693^2*$F$30^2+1)+($N693^2*$F$31^2*$E$31)/($N693^2*$F$31^2+1)+($N693^2*$F$32^2*$E$32)/($N693^2*$F$32^2+1)+($N693^2*$F$33^2*$E$33)/($N693^2*$F$33^2+1)+($N693^2*$F$34^2*$E$34)/($N693^2*$F$34^2+1)+($N693^2*$F$35^2*$E$35)/($N693^2*$F$35^2+1)+($N693^2*$F$36^2*$E$36)/($N693^2*$F$36^2+1)+($N693^2*$F$37^2*$E$37)/($N693^2*$F$37^2+1)+($N693^2*$F$38^2*$E$38)/($N693^2*$F$38^2+1)+($N693^2*$F$39^2*$E$39)/($N693^2*$F$39^2+1)+($N693^2*$F$40^2*$E$40)/($N693^2*$F$40^2+1)+($N693^2*$F$41^2*$E$41)/($N693^2*$F$41^2+1)+($N693^2*$F$42^2*$E$42)/($N693^2*$F$42^2+1))</f>
        <v>1</v>
      </c>
      <c r="Y693" s="124">
        <f t="shared" ref="Y693:Y752" si="296">IF(OR($E$28="",$E$28=0),0,($N693*$F$29*$E$29)/($N693^2*$F$29^2+1)+($N693*$F$30*$E$30)/($N693^2*$F$30^2+1)+($N693*$F$31*$E$31)/($N693^2*$F$31^2+1)+($N693*$F$32*$E$32)/($N693^2*$F$32^2+1)+($N693*$F$33*$E$33)/($N693^2*$F$33^2+1)+($N693*$F$34*$E$34)/($N693^2*$F$34^2+1)+($N693*$F$35*$E$35)/($N693^2*$F$35^2+1)+($N693*$F$36*$E$36)/($N693^2*$F$36^2+1)+($N693*$F$37*$E$37)/($N693^2*$F$37^2+1)+($N693*$F$38*$E$38)/($N693^2*$F$38^2+1)+($N693*$F$39*$E$39)/($N693^2*$F$39^2+1)+($N693*$F$40*$E$40)/($N693^2*$F$40^2+1)+($N693*$F$41*$E$41)/($N693^2*$F$41^2+1)+($N693*$F$42*$E$42)/($N693^2*$F$42^2+1))</f>
        <v>0</v>
      </c>
      <c r="Z693" s="124">
        <f t="shared" ref="Z693:Z752" si="297">SQRT(X693^2+Y693^2)</f>
        <v>1</v>
      </c>
      <c r="AA693" s="124">
        <f t="shared" si="274"/>
        <v>5.1351980462864228E-5</v>
      </c>
      <c r="AB693" s="124">
        <f t="shared" ref="AB693:AB752" si="298">(LOG10(P693)-LOG10(W693))^2</f>
        <v>0</v>
      </c>
      <c r="AC693" s="124">
        <f t="shared" ref="AC693:AC752" si="299">(LOG10(Q693)-LOG10(Z693))^2</f>
        <v>0</v>
      </c>
    </row>
    <row r="694" spans="2:29" s="114" customFormat="1">
      <c r="B694" s="115">
        <f t="shared" si="275"/>
        <v>5.839999999999903</v>
      </c>
      <c r="C694" s="124">
        <f t="shared" si="276"/>
        <v>691830.9709187824</v>
      </c>
      <c r="D694" s="124">
        <f t="shared" si="277"/>
        <v>1863.8948263884186</v>
      </c>
      <c r="E694" s="124">
        <f t="shared" si="278"/>
        <v>1</v>
      </c>
      <c r="F694" s="124">
        <f t="shared" si="279"/>
        <v>1</v>
      </c>
      <c r="G694" s="124">
        <f t="shared" si="280"/>
        <v>1870.0926716656363</v>
      </c>
      <c r="H694" s="124">
        <f t="shared" si="281"/>
        <v>1</v>
      </c>
      <c r="I694" s="124">
        <f t="shared" si="282"/>
        <v>1</v>
      </c>
      <c r="J694" s="124">
        <f t="shared" si="283"/>
        <v>2.0785723852654576E-6</v>
      </c>
      <c r="K694" s="124">
        <f t="shared" si="284"/>
        <v>0</v>
      </c>
      <c r="L694" s="124">
        <f t="shared" si="285"/>
        <v>0</v>
      </c>
      <c r="M694" s="120"/>
      <c r="N694" s="132">
        <f t="shared" si="273"/>
        <v>4346902.1915286817</v>
      </c>
      <c r="O694" s="124">
        <f t="shared" si="286"/>
        <v>3236059.1020962242</v>
      </c>
      <c r="P694" s="124">
        <f t="shared" si="287"/>
        <v>1</v>
      </c>
      <c r="Q694" s="124">
        <f t="shared" si="288"/>
        <v>1</v>
      </c>
      <c r="R694" s="124">
        <f t="shared" si="289"/>
        <v>3178548.3022025446</v>
      </c>
      <c r="S694" s="124">
        <f t="shared" si="290"/>
        <v>91679.722201309414</v>
      </c>
      <c r="T694" s="124">
        <f t="shared" si="291"/>
        <v>3179870.198749878</v>
      </c>
      <c r="U694" s="124">
        <f t="shared" si="292"/>
        <v>1</v>
      </c>
      <c r="V694" s="124">
        <f t="shared" si="293"/>
        <v>0</v>
      </c>
      <c r="W694" s="124">
        <f t="shared" si="294"/>
        <v>1</v>
      </c>
      <c r="X694" s="124">
        <f t="shared" si="295"/>
        <v>1</v>
      </c>
      <c r="Y694" s="124">
        <f t="shared" si="296"/>
        <v>0</v>
      </c>
      <c r="Z694" s="124">
        <f t="shared" si="297"/>
        <v>1</v>
      </c>
      <c r="AA694" s="124">
        <f t="shared" si="274"/>
        <v>5.7867243253358991E-5</v>
      </c>
      <c r="AB694" s="124">
        <f t="shared" si="298"/>
        <v>0</v>
      </c>
      <c r="AC694" s="124">
        <f t="shared" si="299"/>
        <v>0</v>
      </c>
    </row>
    <row r="695" spans="2:29" s="114" customFormat="1">
      <c r="B695" s="115">
        <f t="shared" si="275"/>
        <v>5.8599999999999026</v>
      </c>
      <c r="C695" s="124">
        <f t="shared" si="276"/>
        <v>724435.96007482859</v>
      </c>
      <c r="D695" s="124">
        <f t="shared" si="277"/>
        <v>1857.2464527399095</v>
      </c>
      <c r="E695" s="124">
        <f t="shared" si="278"/>
        <v>1</v>
      </c>
      <c r="F695" s="124">
        <f t="shared" si="279"/>
        <v>1</v>
      </c>
      <c r="G695" s="124">
        <f t="shared" si="280"/>
        <v>1863.9708030338402</v>
      </c>
      <c r="H695" s="124">
        <f t="shared" si="281"/>
        <v>1</v>
      </c>
      <c r="I695" s="124">
        <f t="shared" si="282"/>
        <v>1</v>
      </c>
      <c r="J695" s="124">
        <f t="shared" si="283"/>
        <v>2.463543104055237E-6</v>
      </c>
      <c r="K695" s="124">
        <f t="shared" si="284"/>
        <v>0</v>
      </c>
      <c r="L695" s="124">
        <f t="shared" si="285"/>
        <v>0</v>
      </c>
      <c r="M695" s="120"/>
      <c r="N695" s="132">
        <f t="shared" si="273"/>
        <v>4551765.3803347005</v>
      </c>
      <c r="O695" s="124">
        <f t="shared" si="286"/>
        <v>3240884.0491221836</v>
      </c>
      <c r="P695" s="124">
        <f t="shared" si="287"/>
        <v>1</v>
      </c>
      <c r="Q695" s="124">
        <f t="shared" si="288"/>
        <v>1</v>
      </c>
      <c r="R695" s="124">
        <f t="shared" si="289"/>
        <v>3180090.2758471323</v>
      </c>
      <c r="S695" s="124">
        <f t="shared" si="290"/>
        <v>87887.608355187491</v>
      </c>
      <c r="T695" s="124">
        <f t="shared" si="291"/>
        <v>3181304.5113977827</v>
      </c>
      <c r="U695" s="124">
        <f t="shared" si="292"/>
        <v>1</v>
      </c>
      <c r="V695" s="124">
        <f t="shared" si="293"/>
        <v>0</v>
      </c>
      <c r="W695" s="124">
        <f t="shared" si="294"/>
        <v>1</v>
      </c>
      <c r="X695" s="124">
        <f t="shared" si="295"/>
        <v>1</v>
      </c>
      <c r="Y695" s="124">
        <f t="shared" si="296"/>
        <v>0</v>
      </c>
      <c r="Z695" s="124">
        <f t="shared" si="297"/>
        <v>1</v>
      </c>
      <c r="AA695" s="124">
        <f t="shared" si="274"/>
        <v>6.4935424871250298E-5</v>
      </c>
      <c r="AB695" s="124">
        <f t="shared" si="298"/>
        <v>0</v>
      </c>
      <c r="AC695" s="124">
        <f t="shared" si="299"/>
        <v>0</v>
      </c>
    </row>
    <row r="696" spans="2:29" s="114" customFormat="1">
      <c r="B696" s="115">
        <f t="shared" si="275"/>
        <v>5.8799999999999022</v>
      </c>
      <c r="C696" s="124">
        <f t="shared" si="276"/>
        <v>758577.57502901449</v>
      </c>
      <c r="D696" s="124">
        <f t="shared" si="277"/>
        <v>1850.6885847476058</v>
      </c>
      <c r="E696" s="124">
        <f t="shared" si="278"/>
        <v>1</v>
      </c>
      <c r="F696" s="124">
        <f t="shared" si="279"/>
        <v>1</v>
      </c>
      <c r="G696" s="124">
        <f t="shared" si="280"/>
        <v>1857.8054160341869</v>
      </c>
      <c r="H696" s="124">
        <f t="shared" si="281"/>
        <v>1</v>
      </c>
      <c r="I696" s="124">
        <f t="shared" si="282"/>
        <v>1</v>
      </c>
      <c r="J696" s="124">
        <f t="shared" si="283"/>
        <v>2.7784837396469953E-6</v>
      </c>
      <c r="K696" s="124">
        <f t="shared" si="284"/>
        <v>0</v>
      </c>
      <c r="L696" s="124">
        <f t="shared" si="285"/>
        <v>0</v>
      </c>
      <c r="M696" s="120"/>
      <c r="N696" s="132">
        <f t="shared" si="273"/>
        <v>4766283.4737782236</v>
      </c>
      <c r="O696" s="124">
        <f t="shared" si="286"/>
        <v>3245664.69064683</v>
      </c>
      <c r="P696" s="124">
        <f t="shared" si="287"/>
        <v>1</v>
      </c>
      <c r="Q696" s="124">
        <f t="shared" si="288"/>
        <v>1</v>
      </c>
      <c r="R696" s="124">
        <f t="shared" si="289"/>
        <v>3181508.3862852193</v>
      </c>
      <c r="S696" s="124">
        <f t="shared" si="290"/>
        <v>84225.52805449166</v>
      </c>
      <c r="T696" s="124">
        <f t="shared" si="291"/>
        <v>3182623.0614980529</v>
      </c>
      <c r="U696" s="124">
        <f t="shared" si="292"/>
        <v>1</v>
      </c>
      <c r="V696" s="124">
        <f t="shared" si="293"/>
        <v>0</v>
      </c>
      <c r="W696" s="124">
        <f t="shared" si="294"/>
        <v>1</v>
      </c>
      <c r="X696" s="124">
        <f t="shared" si="295"/>
        <v>1</v>
      </c>
      <c r="Y696" s="124">
        <f t="shared" si="296"/>
        <v>0</v>
      </c>
      <c r="Z696" s="124">
        <f t="shared" si="297"/>
        <v>1</v>
      </c>
      <c r="AA696" s="124">
        <f t="shared" si="274"/>
        <v>7.2563913737015457E-5</v>
      </c>
      <c r="AB696" s="124">
        <f t="shared" si="298"/>
        <v>0</v>
      </c>
      <c r="AC696" s="124">
        <f t="shared" si="299"/>
        <v>0</v>
      </c>
    </row>
    <row r="697" spans="2:29" s="114" customFormat="1">
      <c r="B697" s="115">
        <f t="shared" si="275"/>
        <v>5.8999999999999018</v>
      </c>
      <c r="C697" s="124">
        <f t="shared" si="276"/>
        <v>794328.23472410266</v>
      </c>
      <c r="D697" s="124">
        <f t="shared" si="277"/>
        <v>1844.2198218850858</v>
      </c>
      <c r="E697" s="124">
        <f t="shared" si="278"/>
        <v>1</v>
      </c>
      <c r="F697" s="124">
        <f t="shared" si="279"/>
        <v>1</v>
      </c>
      <c r="G697" s="124">
        <f t="shared" si="280"/>
        <v>1851.5936779616293</v>
      </c>
      <c r="H697" s="124">
        <f t="shared" si="281"/>
        <v>1</v>
      </c>
      <c r="I697" s="124">
        <f t="shared" si="282"/>
        <v>1</v>
      </c>
      <c r="J697" s="124">
        <f t="shared" si="283"/>
        <v>3.0033018597067209E-6</v>
      </c>
      <c r="K697" s="124">
        <f t="shared" si="284"/>
        <v>0</v>
      </c>
      <c r="L697" s="124">
        <f t="shared" si="285"/>
        <v>0</v>
      </c>
      <c r="M697" s="120"/>
      <c r="N697" s="132">
        <f t="shared" si="273"/>
        <v>4990911.4934963798</v>
      </c>
      <c r="O697" s="124">
        <f t="shared" si="286"/>
        <v>3250401.3392277821</v>
      </c>
      <c r="P697" s="124">
        <f t="shared" si="287"/>
        <v>1</v>
      </c>
      <c r="Q697" s="124">
        <f t="shared" si="288"/>
        <v>1</v>
      </c>
      <c r="R697" s="124">
        <f t="shared" si="289"/>
        <v>3182811.6653163079</v>
      </c>
      <c r="S697" s="124">
        <f t="shared" si="290"/>
        <v>80692.387298259084</v>
      </c>
      <c r="T697" s="124">
        <f t="shared" si="291"/>
        <v>3183834.3798384774</v>
      </c>
      <c r="U697" s="124">
        <f t="shared" si="292"/>
        <v>1</v>
      </c>
      <c r="V697" s="124">
        <f t="shared" si="293"/>
        <v>0</v>
      </c>
      <c r="W697" s="124">
        <f t="shared" si="294"/>
        <v>1</v>
      </c>
      <c r="X697" s="124">
        <f t="shared" si="295"/>
        <v>1</v>
      </c>
      <c r="Y697" s="124">
        <f t="shared" si="296"/>
        <v>0</v>
      </c>
      <c r="Z697" s="124">
        <f t="shared" si="297"/>
        <v>1</v>
      </c>
      <c r="AA697" s="124">
        <f t="shared" si="274"/>
        <v>8.0757545409705382E-5</v>
      </c>
      <c r="AB697" s="124">
        <f t="shared" si="298"/>
        <v>0</v>
      </c>
      <c r="AC697" s="124">
        <f t="shared" si="299"/>
        <v>0</v>
      </c>
    </row>
    <row r="698" spans="2:29" s="114" customFormat="1">
      <c r="B698" s="115">
        <f t="shared" si="275"/>
        <v>5.9199999999999013</v>
      </c>
      <c r="C698" s="124">
        <f t="shared" si="276"/>
        <v>831763.77110248362</v>
      </c>
      <c r="D698" s="124">
        <f t="shared" si="277"/>
        <v>1837.8387887252538</v>
      </c>
      <c r="E698" s="124">
        <f t="shared" si="278"/>
        <v>1</v>
      </c>
      <c r="F698" s="124">
        <f t="shared" si="279"/>
        <v>1</v>
      </c>
      <c r="G698" s="124">
        <f t="shared" si="280"/>
        <v>1845.3351088877955</v>
      </c>
      <c r="H698" s="124">
        <f t="shared" si="281"/>
        <v>1</v>
      </c>
      <c r="I698" s="124">
        <f t="shared" si="282"/>
        <v>1</v>
      </c>
      <c r="J698" s="124">
        <f t="shared" si="283"/>
        <v>3.1252273646387415E-6</v>
      </c>
      <c r="K698" s="124">
        <f t="shared" si="284"/>
        <v>0</v>
      </c>
      <c r="L698" s="124">
        <f t="shared" si="285"/>
        <v>0</v>
      </c>
      <c r="M698" s="120"/>
      <c r="N698" s="132">
        <f t="shared" si="273"/>
        <v>5226125.90563541</v>
      </c>
      <c r="O698" s="124">
        <f t="shared" si="286"/>
        <v>3255094.3072568062</v>
      </c>
      <c r="P698" s="124">
        <f t="shared" si="287"/>
        <v>1</v>
      </c>
      <c r="Q698" s="124">
        <f t="shared" si="288"/>
        <v>1</v>
      </c>
      <c r="R698" s="124">
        <f t="shared" si="289"/>
        <v>3184008.6364110857</v>
      </c>
      <c r="S698" s="124">
        <f t="shared" si="290"/>
        <v>77286.620779070916</v>
      </c>
      <c r="T698" s="124">
        <f t="shared" si="291"/>
        <v>3184946.5016687214</v>
      </c>
      <c r="U698" s="124">
        <f t="shared" si="292"/>
        <v>1</v>
      </c>
      <c r="V698" s="124">
        <f t="shared" si="293"/>
        <v>0</v>
      </c>
      <c r="W698" s="124">
        <f t="shared" si="294"/>
        <v>1</v>
      </c>
      <c r="X698" s="124">
        <f t="shared" si="295"/>
        <v>1</v>
      </c>
      <c r="Y698" s="124">
        <f t="shared" si="296"/>
        <v>0</v>
      </c>
      <c r="Z698" s="124">
        <f t="shared" si="297"/>
        <v>1</v>
      </c>
      <c r="AA698" s="124">
        <f t="shared" si="274"/>
        <v>8.9518729053749899E-5</v>
      </c>
      <c r="AB698" s="124">
        <f t="shared" si="298"/>
        <v>0</v>
      </c>
      <c r="AC698" s="124">
        <f t="shared" si="299"/>
        <v>0</v>
      </c>
    </row>
    <row r="699" spans="2:29" s="114" customFormat="1">
      <c r="B699" s="115">
        <f t="shared" si="275"/>
        <v>5.9399999999999009</v>
      </c>
      <c r="C699" s="124">
        <f t="shared" si="276"/>
        <v>870963.58995588263</v>
      </c>
      <c r="D699" s="124">
        <f t="shared" si="277"/>
        <v>1831.5441344249134</v>
      </c>
      <c r="E699" s="124">
        <f t="shared" si="278"/>
        <v>1</v>
      </c>
      <c r="F699" s="124">
        <f t="shared" si="279"/>
        <v>1</v>
      </c>
      <c r="G699" s="124">
        <f t="shared" si="280"/>
        <v>1839.031421890779</v>
      </c>
      <c r="H699" s="124">
        <f t="shared" si="281"/>
        <v>1</v>
      </c>
      <c r="I699" s="124">
        <f t="shared" si="282"/>
        <v>1</v>
      </c>
      <c r="J699" s="124">
        <f t="shared" si="283"/>
        <v>3.1391386468605295E-6</v>
      </c>
      <c r="K699" s="124">
        <f t="shared" si="284"/>
        <v>0</v>
      </c>
      <c r="L699" s="124">
        <f t="shared" si="285"/>
        <v>0</v>
      </c>
      <c r="M699" s="120"/>
      <c r="N699" s="132">
        <f t="shared" si="273"/>
        <v>5472425.631499188</v>
      </c>
      <c r="O699" s="124">
        <f t="shared" si="286"/>
        <v>3259743.9069067542</v>
      </c>
      <c r="P699" s="124">
        <f t="shared" si="287"/>
        <v>1</v>
      </c>
      <c r="Q699" s="124">
        <f t="shared" si="288"/>
        <v>1</v>
      </c>
      <c r="R699" s="124">
        <f t="shared" si="289"/>
        <v>3185107.3175219623</v>
      </c>
      <c r="S699" s="124">
        <f t="shared" si="290"/>
        <v>74006.262710208728</v>
      </c>
      <c r="T699" s="124">
        <f t="shared" si="291"/>
        <v>3185966.9726869869</v>
      </c>
      <c r="U699" s="124">
        <f t="shared" si="292"/>
        <v>1</v>
      </c>
      <c r="V699" s="124">
        <f t="shared" si="293"/>
        <v>0</v>
      </c>
      <c r="W699" s="124">
        <f t="shared" si="294"/>
        <v>1</v>
      </c>
      <c r="X699" s="124">
        <f t="shared" si="295"/>
        <v>1</v>
      </c>
      <c r="Y699" s="124">
        <f t="shared" si="296"/>
        <v>0</v>
      </c>
      <c r="Z699" s="124">
        <f t="shared" si="297"/>
        <v>1</v>
      </c>
      <c r="AA699" s="124">
        <f t="shared" si="274"/>
        <v>9.8847596213973412E-5</v>
      </c>
      <c r="AB699" s="124">
        <f t="shared" si="298"/>
        <v>0</v>
      </c>
      <c r="AC699" s="124">
        <f t="shared" si="299"/>
        <v>0</v>
      </c>
    </row>
    <row r="700" spans="2:29" s="114" customFormat="1">
      <c r="B700" s="115">
        <f t="shared" si="275"/>
        <v>5.9599999999999005</v>
      </c>
      <c r="C700" s="124">
        <f t="shared" si="276"/>
        <v>912010.83935570228</v>
      </c>
      <c r="D700" s="124">
        <f t="shared" si="277"/>
        <v>1825.3345322211294</v>
      </c>
      <c r="E700" s="124">
        <f t="shared" si="278"/>
        <v>1</v>
      </c>
      <c r="F700" s="124">
        <f t="shared" si="279"/>
        <v>1</v>
      </c>
      <c r="G700" s="124">
        <f t="shared" si="280"/>
        <v>1832.6863387097878</v>
      </c>
      <c r="H700" s="124">
        <f t="shared" si="281"/>
        <v>1</v>
      </c>
      <c r="I700" s="124">
        <f t="shared" si="282"/>
        <v>1</v>
      </c>
      <c r="J700" s="124">
        <f t="shared" si="283"/>
        <v>3.0473726099353403E-6</v>
      </c>
      <c r="K700" s="124">
        <f t="shared" si="284"/>
        <v>0</v>
      </c>
      <c r="L700" s="124">
        <f t="shared" si="285"/>
        <v>0</v>
      </c>
      <c r="M700" s="120"/>
      <c r="N700" s="132">
        <f t="shared" si="273"/>
        <v>5730333.1058282703</v>
      </c>
      <c r="O700" s="124">
        <f t="shared" si="286"/>
        <v>3264350.4500797265</v>
      </c>
      <c r="P700" s="124">
        <f t="shared" si="287"/>
        <v>1</v>
      </c>
      <c r="Q700" s="124">
        <f t="shared" si="288"/>
        <v>1</v>
      </c>
      <c r="R700" s="124">
        <f t="shared" si="289"/>
        <v>3186115.2293109489</v>
      </c>
      <c r="S700" s="124">
        <f t="shared" si="290"/>
        <v>70849.011242378503</v>
      </c>
      <c r="T700" s="124">
        <f t="shared" si="291"/>
        <v>3186902.8596493467</v>
      </c>
      <c r="U700" s="124">
        <f t="shared" si="292"/>
        <v>1</v>
      </c>
      <c r="V700" s="124">
        <f t="shared" si="293"/>
        <v>0</v>
      </c>
      <c r="W700" s="124">
        <f t="shared" si="294"/>
        <v>1</v>
      </c>
      <c r="X700" s="124">
        <f t="shared" si="295"/>
        <v>1</v>
      </c>
      <c r="Y700" s="124">
        <f t="shared" si="296"/>
        <v>0</v>
      </c>
      <c r="Z700" s="124">
        <f t="shared" si="297"/>
        <v>1</v>
      </c>
      <c r="AA700" s="124">
        <f t="shared" si="274"/>
        <v>1.0874216490356849E-4</v>
      </c>
      <c r="AB700" s="124">
        <f t="shared" si="298"/>
        <v>0</v>
      </c>
      <c r="AC700" s="124">
        <f t="shared" si="299"/>
        <v>0</v>
      </c>
    </row>
    <row r="701" spans="2:29" s="114" customFormat="1">
      <c r="B701" s="115">
        <f t="shared" si="275"/>
        <v>5.9799999999999001</v>
      </c>
      <c r="C701" s="124">
        <f t="shared" si="276"/>
        <v>954992.58602121682</v>
      </c>
      <c r="D701" s="124">
        <f t="shared" si="277"/>
        <v>1819.2086789390812</v>
      </c>
      <c r="E701" s="124">
        <f t="shared" si="278"/>
        <v>1</v>
      </c>
      <c r="F701" s="124">
        <f t="shared" si="279"/>
        <v>1</v>
      </c>
      <c r="G701" s="124">
        <f t="shared" si="280"/>
        <v>1826.3053899679678</v>
      </c>
      <c r="H701" s="124">
        <f t="shared" si="281"/>
        <v>1</v>
      </c>
      <c r="I701" s="124">
        <f t="shared" si="282"/>
        <v>1</v>
      </c>
      <c r="J701" s="124">
        <f t="shared" si="283"/>
        <v>2.8590805888907515E-6</v>
      </c>
      <c r="K701" s="124">
        <f t="shared" si="284"/>
        <v>0</v>
      </c>
      <c r="L701" s="124">
        <f t="shared" si="285"/>
        <v>0</v>
      </c>
      <c r="M701" s="120"/>
      <c r="N701" s="132">
        <f t="shared" si="273"/>
        <v>6000395.3849539468</v>
      </c>
      <c r="O701" s="124">
        <f t="shared" si="286"/>
        <v>3268914.2483566776</v>
      </c>
      <c r="P701" s="124">
        <f t="shared" si="287"/>
        <v>1</v>
      </c>
      <c r="Q701" s="124">
        <f t="shared" si="288"/>
        <v>1</v>
      </c>
      <c r="R701" s="124">
        <f t="shared" si="289"/>
        <v>3187039.4076641914</v>
      </c>
      <c r="S701" s="124">
        <f t="shared" si="290"/>
        <v>67812.286629795126</v>
      </c>
      <c r="T701" s="124">
        <f t="shared" si="291"/>
        <v>3187760.764584206</v>
      </c>
      <c r="U701" s="124">
        <f t="shared" si="292"/>
        <v>1</v>
      </c>
      <c r="V701" s="124">
        <f t="shared" si="293"/>
        <v>0</v>
      </c>
      <c r="W701" s="124">
        <f t="shared" si="294"/>
        <v>1</v>
      </c>
      <c r="X701" s="124">
        <f t="shared" si="295"/>
        <v>1</v>
      </c>
      <c r="Y701" s="124">
        <f t="shared" si="296"/>
        <v>0</v>
      </c>
      <c r="Z701" s="124">
        <f t="shared" si="297"/>
        <v>1</v>
      </c>
      <c r="AA701" s="124">
        <f t="shared" si="274"/>
        <v>1.1919851300955139E-4</v>
      </c>
      <c r="AB701" s="124">
        <f t="shared" si="298"/>
        <v>0</v>
      </c>
      <c r="AC701" s="124">
        <f t="shared" si="299"/>
        <v>0</v>
      </c>
    </row>
    <row r="702" spans="2:29" s="114" customFormat="1">
      <c r="B702" s="115">
        <f t="shared" si="275"/>
        <v>5.9999999999998996</v>
      </c>
      <c r="C702" s="124">
        <f t="shared" si="276"/>
        <v>999999.99999977043</v>
      </c>
      <c r="D702" s="124">
        <f t="shared" si="277"/>
        <v>1813.1652945111302</v>
      </c>
      <c r="E702" s="124">
        <f t="shared" si="278"/>
        <v>1</v>
      </c>
      <c r="F702" s="124">
        <f t="shared" si="279"/>
        <v>1</v>
      </c>
      <c r="G702" s="124">
        <f t="shared" si="280"/>
        <v>1819.8957080595987</v>
      </c>
      <c r="H702" s="124">
        <f t="shared" si="281"/>
        <v>1</v>
      </c>
      <c r="I702" s="124">
        <f t="shared" si="282"/>
        <v>1</v>
      </c>
      <c r="J702" s="124">
        <f t="shared" si="283"/>
        <v>2.5892126942890426E-6</v>
      </c>
      <c r="K702" s="124">
        <f t="shared" si="284"/>
        <v>0</v>
      </c>
      <c r="L702" s="124">
        <f t="shared" si="285"/>
        <v>0</v>
      </c>
      <c r="M702" s="120"/>
      <c r="N702" s="132">
        <f t="shared" si="273"/>
        <v>6283185.3071781434</v>
      </c>
      <c r="O702" s="124">
        <f t="shared" si="286"/>
        <v>3273435.6129481564</v>
      </c>
      <c r="P702" s="124">
        <f t="shared" si="287"/>
        <v>1</v>
      </c>
      <c r="Q702" s="124">
        <f t="shared" si="288"/>
        <v>1</v>
      </c>
      <c r="R702" s="124">
        <f t="shared" si="289"/>
        <v>3187886.4195100768</v>
      </c>
      <c r="S702" s="124">
        <f t="shared" si="290"/>
        <v>64893.283399704073</v>
      </c>
      <c r="T702" s="124">
        <f t="shared" si="291"/>
        <v>3188546.8417332638</v>
      </c>
      <c r="U702" s="124">
        <f t="shared" si="292"/>
        <v>1</v>
      </c>
      <c r="V702" s="124">
        <f t="shared" si="293"/>
        <v>0</v>
      </c>
      <c r="W702" s="124">
        <f t="shared" si="294"/>
        <v>1</v>
      </c>
      <c r="X702" s="124">
        <f t="shared" si="295"/>
        <v>1</v>
      </c>
      <c r="Y702" s="124">
        <f t="shared" si="296"/>
        <v>0</v>
      </c>
      <c r="Z702" s="124">
        <f t="shared" si="297"/>
        <v>1</v>
      </c>
      <c r="AA702" s="124">
        <f t="shared" si="274"/>
        <v>1.3021095598755254E-4</v>
      </c>
      <c r="AB702" s="124">
        <f t="shared" si="298"/>
        <v>0</v>
      </c>
      <c r="AC702" s="124">
        <f t="shared" si="299"/>
        <v>0</v>
      </c>
    </row>
    <row r="703" spans="2:29" s="114" customFormat="1">
      <c r="B703" s="115">
        <f t="shared" si="275"/>
        <v>6.0199999999998992</v>
      </c>
      <c r="C703" s="124">
        <f t="shared" si="276"/>
        <v>1047128.548050657</v>
      </c>
      <c r="D703" s="124">
        <f t="shared" si="277"/>
        <v>1807.2031215068237</v>
      </c>
      <c r="E703" s="124">
        <f t="shared" si="278"/>
        <v>1</v>
      </c>
      <c r="F703" s="124">
        <f t="shared" si="279"/>
        <v>1</v>
      </c>
      <c r="G703" s="124">
        <f t="shared" si="280"/>
        <v>1813.4658193420873</v>
      </c>
      <c r="H703" s="124">
        <f t="shared" si="281"/>
        <v>1</v>
      </c>
      <c r="I703" s="124">
        <f t="shared" si="282"/>
        <v>1</v>
      </c>
      <c r="J703" s="124">
        <f t="shared" si="283"/>
        <v>2.257224542082634E-6</v>
      </c>
      <c r="K703" s="124">
        <f t="shared" si="284"/>
        <v>0</v>
      </c>
      <c r="L703" s="124">
        <f t="shared" si="285"/>
        <v>0</v>
      </c>
      <c r="M703" s="120"/>
      <c r="N703" s="132">
        <f t="shared" si="273"/>
        <v>6579302.7078401819</v>
      </c>
      <c r="O703" s="124">
        <f t="shared" si="286"/>
        <v>3277914.8546463903</v>
      </c>
      <c r="P703" s="124">
        <f t="shared" si="287"/>
        <v>1</v>
      </c>
      <c r="Q703" s="124">
        <f t="shared" si="288"/>
        <v>1</v>
      </c>
      <c r="R703" s="124">
        <f t="shared" si="289"/>
        <v>3188662.3810963901</v>
      </c>
      <c r="S703" s="124">
        <f t="shared" si="290"/>
        <v>62089.016845450722</v>
      </c>
      <c r="T703" s="124">
        <f t="shared" si="291"/>
        <v>3189266.8164692861</v>
      </c>
      <c r="U703" s="124">
        <f t="shared" si="292"/>
        <v>1</v>
      </c>
      <c r="V703" s="124">
        <f t="shared" si="293"/>
        <v>0</v>
      </c>
      <c r="W703" s="124">
        <f t="shared" si="294"/>
        <v>1</v>
      </c>
      <c r="X703" s="124">
        <f t="shared" si="295"/>
        <v>1</v>
      </c>
      <c r="Y703" s="124">
        <f t="shared" si="296"/>
        <v>0</v>
      </c>
      <c r="Z703" s="124">
        <f t="shared" si="297"/>
        <v>1</v>
      </c>
      <c r="AA703" s="124">
        <f t="shared" si="274"/>
        <v>1.4177222472669062E-4</v>
      </c>
      <c r="AB703" s="124">
        <f t="shared" si="298"/>
        <v>0</v>
      </c>
      <c r="AC703" s="124">
        <f t="shared" si="299"/>
        <v>0</v>
      </c>
    </row>
    <row r="704" spans="2:29" s="114" customFormat="1">
      <c r="B704" s="115">
        <f t="shared" si="275"/>
        <v>6.0399999999998988</v>
      </c>
      <c r="C704" s="124">
        <f t="shared" si="276"/>
        <v>1096478.1961429308</v>
      </c>
      <c r="D704" s="124">
        <f t="shared" si="277"/>
        <v>1801.3209246735571</v>
      </c>
      <c r="E704" s="124">
        <f t="shared" si="278"/>
        <v>1</v>
      </c>
      <c r="F704" s="124">
        <f t="shared" si="279"/>
        <v>1</v>
      </c>
      <c r="G704" s="124">
        <f t="shared" si="280"/>
        <v>1807.025440578295</v>
      </c>
      <c r="H704" s="124">
        <f t="shared" si="281"/>
        <v>1</v>
      </c>
      <c r="I704" s="124">
        <f t="shared" si="282"/>
        <v>1</v>
      </c>
      <c r="J704" s="124">
        <f t="shared" si="283"/>
        <v>1.8856039990665488E-6</v>
      </c>
      <c r="K704" s="124">
        <f t="shared" si="284"/>
        <v>0</v>
      </c>
      <c r="L704" s="124">
        <f t="shared" si="285"/>
        <v>0</v>
      </c>
      <c r="M704" s="120"/>
      <c r="N704" s="132">
        <f t="shared" si="273"/>
        <v>6889375.691648039</v>
      </c>
      <c r="O704" s="124">
        <f t="shared" si="286"/>
        <v>3282352.2837785291</v>
      </c>
      <c r="P704" s="124">
        <f t="shared" si="287"/>
        <v>1</v>
      </c>
      <c r="Q704" s="124">
        <f t="shared" si="288"/>
        <v>1</v>
      </c>
      <c r="R704" s="124">
        <f t="shared" si="289"/>
        <v>3189372.9780095895</v>
      </c>
      <c r="S704" s="124">
        <f t="shared" si="290"/>
        <v>59396.364206076461</v>
      </c>
      <c r="T704" s="124">
        <f t="shared" si="291"/>
        <v>3189926.0055585392</v>
      </c>
      <c r="U704" s="124">
        <f t="shared" si="292"/>
        <v>1</v>
      </c>
      <c r="V704" s="124">
        <f t="shared" si="293"/>
        <v>0</v>
      </c>
      <c r="W704" s="124">
        <f t="shared" si="294"/>
        <v>1</v>
      </c>
      <c r="X704" s="124">
        <f t="shared" si="295"/>
        <v>1</v>
      </c>
      <c r="Y704" s="124">
        <f t="shared" si="296"/>
        <v>0</v>
      </c>
      <c r="Z704" s="124">
        <f t="shared" si="297"/>
        <v>1</v>
      </c>
      <c r="AA704" s="124">
        <f t="shared" si="274"/>
        <v>1.5387364029080032E-4</v>
      </c>
      <c r="AB704" s="124">
        <f t="shared" si="298"/>
        <v>0</v>
      </c>
      <c r="AC704" s="124">
        <f t="shared" si="299"/>
        <v>0</v>
      </c>
    </row>
    <row r="705" spans="2:29" s="114" customFormat="1">
      <c r="B705" s="115">
        <f t="shared" si="275"/>
        <v>6.0599999999998984</v>
      </c>
      <c r="C705" s="124">
        <f t="shared" si="276"/>
        <v>1148153.6214966164</v>
      </c>
      <c r="D705" s="124">
        <f t="shared" si="277"/>
        <v>1795.5174904876444</v>
      </c>
      <c r="E705" s="124">
        <f t="shared" si="278"/>
        <v>1</v>
      </c>
      <c r="F705" s="124">
        <f t="shared" si="279"/>
        <v>1</v>
      </c>
      <c r="G705" s="124">
        <f t="shared" si="280"/>
        <v>1800.5852828184045</v>
      </c>
      <c r="H705" s="124">
        <f t="shared" si="281"/>
        <v>1</v>
      </c>
      <c r="I705" s="124">
        <f t="shared" si="282"/>
        <v>1</v>
      </c>
      <c r="J705" s="124">
        <f t="shared" si="283"/>
        <v>1.4983132457065883E-6</v>
      </c>
      <c r="K705" s="124">
        <f t="shared" si="284"/>
        <v>0</v>
      </c>
      <c r="L705" s="124">
        <f t="shared" si="285"/>
        <v>0</v>
      </c>
      <c r="M705" s="120"/>
      <c r="N705" s="132">
        <f t="shared" si="273"/>
        <v>7214061.9649725724</v>
      </c>
      <c r="O705" s="124">
        <f t="shared" si="286"/>
        <v>3286748.210161197</v>
      </c>
      <c r="P705" s="124">
        <f t="shared" si="287"/>
        <v>1</v>
      </c>
      <c r="Q705" s="124">
        <f t="shared" si="288"/>
        <v>1</v>
      </c>
      <c r="R705" s="124">
        <f t="shared" si="289"/>
        <v>3190023.4863348096</v>
      </c>
      <c r="S705" s="124">
        <f t="shared" si="290"/>
        <v>56812.100919711185</v>
      </c>
      <c r="T705" s="124">
        <f t="shared" si="291"/>
        <v>3190529.3382413215</v>
      </c>
      <c r="U705" s="124">
        <f t="shared" si="292"/>
        <v>1</v>
      </c>
      <c r="V705" s="124">
        <f t="shared" si="293"/>
        <v>0</v>
      </c>
      <c r="W705" s="124">
        <f t="shared" si="294"/>
        <v>1</v>
      </c>
      <c r="X705" s="124">
        <f t="shared" si="295"/>
        <v>1</v>
      </c>
      <c r="Y705" s="124">
        <f t="shared" si="296"/>
        <v>0</v>
      </c>
      <c r="Z705" s="124">
        <f t="shared" si="297"/>
        <v>1</v>
      </c>
      <c r="AA705" s="124">
        <f t="shared" si="274"/>
        <v>1.6650528298045469E-4</v>
      </c>
      <c r="AB705" s="124">
        <f t="shared" si="298"/>
        <v>0</v>
      </c>
      <c r="AC705" s="124">
        <f t="shared" si="299"/>
        <v>0</v>
      </c>
    </row>
    <row r="706" spans="2:29" s="114" customFormat="1">
      <c r="B706" s="115">
        <f t="shared" si="275"/>
        <v>6.0799999999998979</v>
      </c>
      <c r="C706" s="124">
        <f t="shared" si="276"/>
        <v>1202264.4346171317</v>
      </c>
      <c r="D706" s="124">
        <f t="shared" si="277"/>
        <v>1789.7916267155344</v>
      </c>
      <c r="E706" s="124">
        <f t="shared" si="278"/>
        <v>1</v>
      </c>
      <c r="F706" s="124">
        <f t="shared" si="279"/>
        <v>1</v>
      </c>
      <c r="G706" s="124">
        <f t="shared" si="280"/>
        <v>1794.1568642584757</v>
      </c>
      <c r="H706" s="124">
        <f t="shared" si="281"/>
        <v>1</v>
      </c>
      <c r="I706" s="124">
        <f t="shared" si="282"/>
        <v>1</v>
      </c>
      <c r="J706" s="124">
        <f t="shared" si="283"/>
        <v>1.119235014250104E-6</v>
      </c>
      <c r="K706" s="124">
        <f t="shared" si="284"/>
        <v>0</v>
      </c>
      <c r="L706" s="124">
        <f t="shared" si="285"/>
        <v>0</v>
      </c>
      <c r="M706" s="120"/>
      <c r="N706" s="132">
        <f t="shared" si="273"/>
        <v>7554050.2309309347</v>
      </c>
      <c r="O706" s="124">
        <f t="shared" si="286"/>
        <v>3291102.9430561727</v>
      </c>
      <c r="P706" s="124">
        <f t="shared" si="287"/>
        <v>1</v>
      </c>
      <c r="Q706" s="124">
        <f t="shared" si="288"/>
        <v>1</v>
      </c>
      <c r="R706" s="124">
        <f t="shared" si="289"/>
        <v>3190618.7944582747</v>
      </c>
      <c r="S706" s="124">
        <f t="shared" si="290"/>
        <v>54332.932347694048</v>
      </c>
      <c r="T706" s="124">
        <f t="shared" si="291"/>
        <v>3191081.3776975158</v>
      </c>
      <c r="U706" s="124">
        <f t="shared" si="292"/>
        <v>1</v>
      </c>
      <c r="V706" s="124">
        <f t="shared" si="293"/>
        <v>0</v>
      </c>
      <c r="W706" s="124">
        <f t="shared" si="294"/>
        <v>1</v>
      </c>
      <c r="X706" s="124">
        <f t="shared" si="295"/>
        <v>1</v>
      </c>
      <c r="Y706" s="124">
        <f t="shared" si="296"/>
        <v>0</v>
      </c>
      <c r="Z706" s="124">
        <f t="shared" si="297"/>
        <v>1</v>
      </c>
      <c r="AA706" s="124">
        <f t="shared" si="274"/>
        <v>1.7965615380034249E-4</v>
      </c>
      <c r="AB706" s="124">
        <f t="shared" si="298"/>
        <v>0</v>
      </c>
      <c r="AC706" s="124">
        <f t="shared" si="299"/>
        <v>0</v>
      </c>
    </row>
    <row r="707" spans="2:29" s="114" customFormat="1">
      <c r="B707" s="115">
        <f t="shared" si="275"/>
        <v>6.0999999999998975</v>
      </c>
      <c r="C707" s="124">
        <f t="shared" si="276"/>
        <v>1258925.4117938725</v>
      </c>
      <c r="D707" s="124">
        <f t="shared" si="277"/>
        <v>1784.1421619849173</v>
      </c>
      <c r="E707" s="124">
        <f t="shared" si="278"/>
        <v>1</v>
      </c>
      <c r="F707" s="124">
        <f t="shared" si="279"/>
        <v>1</v>
      </c>
      <c r="G707" s="124">
        <f t="shared" si="280"/>
        <v>1787.752332201964</v>
      </c>
      <c r="H707" s="124">
        <f t="shared" si="281"/>
        <v>1</v>
      </c>
      <c r="I707" s="124">
        <f t="shared" si="282"/>
        <v>1</v>
      </c>
      <c r="J707" s="124">
        <f t="shared" si="283"/>
        <v>7.7070295335873169E-7</v>
      </c>
      <c r="K707" s="124">
        <f t="shared" si="284"/>
        <v>0</v>
      </c>
      <c r="L707" s="124">
        <f t="shared" si="285"/>
        <v>0</v>
      </c>
      <c r="M707" s="120"/>
      <c r="N707" s="132">
        <f t="shared" si="273"/>
        <v>7910061.6502182698</v>
      </c>
      <c r="O707" s="124">
        <f t="shared" si="286"/>
        <v>3295416.7911272896</v>
      </c>
      <c r="P707" s="124">
        <f t="shared" si="287"/>
        <v>1</v>
      </c>
      <c r="Q707" s="124">
        <f t="shared" si="288"/>
        <v>1</v>
      </c>
      <c r="R707" s="124">
        <f t="shared" si="289"/>
        <v>3191163.4251047485</v>
      </c>
      <c r="S707" s="124">
        <f t="shared" si="290"/>
        <v>51955.521364807544</v>
      </c>
      <c r="T707" s="124">
        <f t="shared" si="291"/>
        <v>3191586.3425460635</v>
      </c>
      <c r="U707" s="124">
        <f t="shared" si="292"/>
        <v>1</v>
      </c>
      <c r="V707" s="124">
        <f t="shared" si="293"/>
        <v>0</v>
      </c>
      <c r="W707" s="124">
        <f t="shared" si="294"/>
        <v>1</v>
      </c>
      <c r="X707" s="124">
        <f t="shared" si="295"/>
        <v>1</v>
      </c>
      <c r="Y707" s="124">
        <f t="shared" si="296"/>
        <v>0</v>
      </c>
      <c r="Z707" s="124">
        <f t="shared" si="297"/>
        <v>1</v>
      </c>
      <c r="AA707" s="124">
        <f t="shared" si="274"/>
        <v>1.9331432696791779E-4</v>
      </c>
      <c r="AB707" s="124">
        <f t="shared" si="298"/>
        <v>0</v>
      </c>
      <c r="AC707" s="124">
        <f t="shared" si="299"/>
        <v>0</v>
      </c>
    </row>
    <row r="708" spans="2:29" s="114" customFormat="1">
      <c r="B708" s="115">
        <f t="shared" si="275"/>
        <v>6.1199999999998971</v>
      </c>
      <c r="C708" s="124">
        <f t="shared" si="276"/>
        <v>1318256.7385560959</v>
      </c>
      <c r="D708" s="124">
        <f t="shared" si="277"/>
        <v>1778.5679453655102</v>
      </c>
      <c r="E708" s="124">
        <f t="shared" si="278"/>
        <v>1</v>
      </c>
      <c r="F708" s="124">
        <f t="shared" si="279"/>
        <v>1</v>
      </c>
      <c r="G708" s="124">
        <f t="shared" si="280"/>
        <v>1781.3842931766585</v>
      </c>
      <c r="H708" s="124">
        <f t="shared" si="281"/>
        <v>1</v>
      </c>
      <c r="I708" s="124">
        <f t="shared" si="282"/>
        <v>1</v>
      </c>
      <c r="J708" s="124">
        <f t="shared" si="283"/>
        <v>4.7218591506666541E-7</v>
      </c>
      <c r="K708" s="124">
        <f t="shared" si="284"/>
        <v>0</v>
      </c>
      <c r="L708" s="124">
        <f t="shared" si="285"/>
        <v>0</v>
      </c>
      <c r="M708" s="120"/>
      <c r="N708" s="132">
        <f t="shared" si="273"/>
        <v>8282851.3707861425</v>
      </c>
      <c r="O708" s="124">
        <f t="shared" si="286"/>
        <v>3299690.0623984998</v>
      </c>
      <c r="P708" s="124">
        <f t="shared" si="287"/>
        <v>1</v>
      </c>
      <c r="Q708" s="124">
        <f t="shared" si="288"/>
        <v>1</v>
      </c>
      <c r="R708" s="124">
        <f t="shared" si="289"/>
        <v>3191661.5572818425</v>
      </c>
      <c r="S708" s="124">
        <f t="shared" si="290"/>
        <v>49676.512201090627</v>
      </c>
      <c r="T708" s="124">
        <f t="shared" si="291"/>
        <v>3192048.1280981996</v>
      </c>
      <c r="U708" s="124">
        <f t="shared" si="292"/>
        <v>1</v>
      </c>
      <c r="V708" s="124">
        <f t="shared" si="293"/>
        <v>0</v>
      </c>
      <c r="W708" s="124">
        <f t="shared" si="294"/>
        <v>1</v>
      </c>
      <c r="X708" s="124">
        <f t="shared" si="295"/>
        <v>1</v>
      </c>
      <c r="Y708" s="124">
        <f t="shared" si="296"/>
        <v>0</v>
      </c>
      <c r="Z708" s="124">
        <f t="shared" si="297"/>
        <v>1</v>
      </c>
      <c r="AA708" s="124">
        <f t="shared" si="274"/>
        <v>2.0746709256058493E-4</v>
      </c>
      <c r="AB708" s="124">
        <f t="shared" si="298"/>
        <v>0</v>
      </c>
      <c r="AC708" s="124">
        <f t="shared" si="299"/>
        <v>0</v>
      </c>
    </row>
    <row r="709" spans="2:29" s="114" customFormat="1">
      <c r="B709" s="115">
        <f t="shared" si="275"/>
        <v>6.1399999999998967</v>
      </c>
      <c r="C709" s="124">
        <f t="shared" si="276"/>
        <v>1380384.2646025587</v>
      </c>
      <c r="D709" s="124">
        <f t="shared" si="277"/>
        <v>1773.0678459592302</v>
      </c>
      <c r="E709" s="124">
        <f t="shared" si="278"/>
        <v>1</v>
      </c>
      <c r="F709" s="124">
        <f t="shared" si="279"/>
        <v>1</v>
      </c>
      <c r="G709" s="124">
        <f t="shared" si="280"/>
        <v>1775.0656495719281</v>
      </c>
      <c r="H709" s="124">
        <f t="shared" si="281"/>
        <v>1</v>
      </c>
      <c r="I709" s="124">
        <f t="shared" si="282"/>
        <v>1</v>
      </c>
      <c r="J709" s="124">
        <f t="shared" si="283"/>
        <v>2.3918524831296568E-7</v>
      </c>
      <c r="K709" s="124">
        <f t="shared" si="284"/>
        <v>0</v>
      </c>
      <c r="L709" s="124">
        <f t="shared" si="285"/>
        <v>0</v>
      </c>
      <c r="M709" s="120"/>
      <c r="N709" s="132">
        <f t="shared" si="273"/>
        <v>8673210.1296126954</v>
      </c>
      <c r="O709" s="124">
        <f t="shared" si="286"/>
        <v>3303923.0642130794</v>
      </c>
      <c r="P709" s="124">
        <f t="shared" si="287"/>
        <v>1</v>
      </c>
      <c r="Q709" s="124">
        <f t="shared" si="288"/>
        <v>1</v>
      </c>
      <c r="R709" s="124">
        <f t="shared" si="289"/>
        <v>3192117.0478713773</v>
      </c>
      <c r="S709" s="124">
        <f t="shared" si="290"/>
        <v>47492.550904760355</v>
      </c>
      <c r="T709" s="124">
        <f t="shared" si="291"/>
        <v>3192470.32714519</v>
      </c>
      <c r="U709" s="124">
        <f t="shared" si="292"/>
        <v>1</v>
      </c>
      <c r="V709" s="124">
        <f t="shared" si="293"/>
        <v>0</v>
      </c>
      <c r="W709" s="124">
        <f t="shared" si="294"/>
        <v>1</v>
      </c>
      <c r="X709" s="124">
        <f t="shared" si="295"/>
        <v>1</v>
      </c>
      <c r="Y709" s="124">
        <f t="shared" si="296"/>
        <v>0</v>
      </c>
      <c r="Z709" s="124">
        <f t="shared" si="297"/>
        <v>1</v>
      </c>
      <c r="AA709" s="124">
        <f t="shared" si="274"/>
        <v>2.2210108878008554E-4</v>
      </c>
      <c r="AB709" s="124">
        <f t="shared" si="298"/>
        <v>0</v>
      </c>
      <c r="AC709" s="124">
        <f t="shared" si="299"/>
        <v>0</v>
      </c>
    </row>
    <row r="710" spans="2:29" s="114" customFormat="1">
      <c r="B710" s="115">
        <f t="shared" si="275"/>
        <v>6.1599999999998962</v>
      </c>
      <c r="C710" s="124">
        <f t="shared" si="276"/>
        <v>1445439.7707455831</v>
      </c>
      <c r="D710" s="124">
        <f t="shared" si="277"/>
        <v>1767.64075249959</v>
      </c>
      <c r="E710" s="124">
        <f t="shared" si="278"/>
        <v>1</v>
      </c>
      <c r="F710" s="124">
        <f t="shared" si="279"/>
        <v>1</v>
      </c>
      <c r="G710" s="124">
        <f t="shared" si="280"/>
        <v>1768.8094408634884</v>
      </c>
      <c r="H710" s="124">
        <f t="shared" si="281"/>
        <v>1</v>
      </c>
      <c r="I710" s="124">
        <f t="shared" si="282"/>
        <v>1</v>
      </c>
      <c r="J710" s="124">
        <f t="shared" si="283"/>
        <v>8.2393128523623489E-8</v>
      </c>
      <c r="K710" s="124">
        <f t="shared" si="284"/>
        <v>0</v>
      </c>
      <c r="L710" s="124">
        <f t="shared" si="285"/>
        <v>0</v>
      </c>
      <c r="M710" s="120"/>
      <c r="N710" s="132">
        <f t="shared" si="273"/>
        <v>9081965.9299616776</v>
      </c>
      <c r="O710" s="124">
        <f t="shared" si="286"/>
        <v>3308116.103193969</v>
      </c>
      <c r="P710" s="124">
        <f t="shared" si="287"/>
        <v>1</v>
      </c>
      <c r="Q710" s="124">
        <f t="shared" si="288"/>
        <v>1</v>
      </c>
      <c r="R710" s="124">
        <f t="shared" si="289"/>
        <v>3192533.4526663199</v>
      </c>
      <c r="S710" s="124">
        <f t="shared" si="290"/>
        <v>45400.302775735887</v>
      </c>
      <c r="T710" s="124">
        <f t="shared" si="291"/>
        <v>3192856.250113002</v>
      </c>
      <c r="U710" s="124">
        <f t="shared" si="292"/>
        <v>1</v>
      </c>
      <c r="V710" s="124">
        <f t="shared" si="293"/>
        <v>0</v>
      </c>
      <c r="W710" s="124">
        <f t="shared" si="294"/>
        <v>1</v>
      </c>
      <c r="X710" s="124">
        <f t="shared" si="295"/>
        <v>1</v>
      </c>
      <c r="Y710" s="124">
        <f t="shared" si="296"/>
        <v>0</v>
      </c>
      <c r="Z710" s="124">
        <f t="shared" si="297"/>
        <v>1</v>
      </c>
      <c r="AA710" s="124">
        <f t="shared" si="274"/>
        <v>2.372024236216665E-4</v>
      </c>
      <c r="AB710" s="124">
        <f t="shared" si="298"/>
        <v>0</v>
      </c>
      <c r="AC710" s="124">
        <f t="shared" si="299"/>
        <v>0</v>
      </c>
    </row>
    <row r="711" spans="2:29" s="114" customFormat="1">
      <c r="B711" s="115">
        <f t="shared" si="275"/>
        <v>6.1799999999998958</v>
      </c>
      <c r="C711" s="124">
        <f t="shared" si="276"/>
        <v>1513561.2484358472</v>
      </c>
      <c r="D711" s="124">
        <f t="shared" si="277"/>
        <v>1762.2855729600371</v>
      </c>
      <c r="E711" s="124">
        <f t="shared" si="278"/>
        <v>1</v>
      </c>
      <c r="F711" s="124">
        <f t="shared" si="279"/>
        <v>1</v>
      </c>
      <c r="G711" s="124">
        <f t="shared" si="280"/>
        <v>1762.6286875498192</v>
      </c>
      <c r="H711" s="124">
        <f t="shared" si="281"/>
        <v>1</v>
      </c>
      <c r="I711" s="124">
        <f t="shared" si="282"/>
        <v>1</v>
      </c>
      <c r="J711" s="124">
        <f t="shared" si="283"/>
        <v>7.1484168834756795E-9</v>
      </c>
      <c r="K711" s="124">
        <f t="shared" si="284"/>
        <v>0</v>
      </c>
      <c r="L711" s="124">
        <f t="shared" si="285"/>
        <v>0</v>
      </c>
      <c r="M711" s="120"/>
      <c r="N711" s="132">
        <f t="shared" si="273"/>
        <v>9509985.7976885065</v>
      </c>
      <c r="O711" s="124">
        <f t="shared" si="286"/>
        <v>3312269.4852052354</v>
      </c>
      <c r="P711" s="124">
        <f t="shared" si="287"/>
        <v>1</v>
      </c>
      <c r="Q711" s="124">
        <f t="shared" si="288"/>
        <v>1</v>
      </c>
      <c r="R711" s="124">
        <f t="shared" si="289"/>
        <v>3192914.0467012213</v>
      </c>
      <c r="S711" s="124">
        <f t="shared" si="290"/>
        <v>43396.467096630557</v>
      </c>
      <c r="T711" s="124">
        <f t="shared" si="291"/>
        <v>3193208.9444598574</v>
      </c>
      <c r="U711" s="124">
        <f t="shared" si="292"/>
        <v>1</v>
      </c>
      <c r="V711" s="124">
        <f t="shared" si="293"/>
        <v>0</v>
      </c>
      <c r="W711" s="124">
        <f t="shared" si="294"/>
        <v>1</v>
      </c>
      <c r="X711" s="124">
        <f t="shared" si="295"/>
        <v>1</v>
      </c>
      <c r="Y711" s="124">
        <f t="shared" si="296"/>
        <v>0</v>
      </c>
      <c r="Z711" s="124">
        <f t="shared" si="297"/>
        <v>1</v>
      </c>
      <c r="AA711" s="124">
        <f t="shared" si="274"/>
        <v>2.52756785981333E-4</v>
      </c>
      <c r="AB711" s="124">
        <f t="shared" si="298"/>
        <v>0</v>
      </c>
      <c r="AC711" s="124">
        <f t="shared" si="299"/>
        <v>0</v>
      </c>
    </row>
    <row r="712" spans="2:29" s="114" customFormat="1">
      <c r="B712" s="115">
        <f t="shared" si="275"/>
        <v>6.1999999999998954</v>
      </c>
      <c r="C712" s="124">
        <f t="shared" si="276"/>
        <v>1584893.1924607325</v>
      </c>
      <c r="D712" s="124">
        <f t="shared" si="277"/>
        <v>1757.0012341710469</v>
      </c>
      <c r="E712" s="124">
        <f t="shared" si="278"/>
        <v>1</v>
      </c>
      <c r="F712" s="124">
        <f t="shared" si="279"/>
        <v>1</v>
      </c>
      <c r="G712" s="124">
        <f t="shared" si="280"/>
        <v>1756.5362362726714</v>
      </c>
      <c r="H712" s="124">
        <f t="shared" si="281"/>
        <v>1</v>
      </c>
      <c r="I712" s="124">
        <f t="shared" si="282"/>
        <v>1</v>
      </c>
      <c r="J712" s="124">
        <f t="shared" si="283"/>
        <v>1.3214216566250106E-8</v>
      </c>
      <c r="K712" s="124">
        <f t="shared" si="284"/>
        <v>0</v>
      </c>
      <c r="L712" s="124">
        <f t="shared" si="285"/>
        <v>0</v>
      </c>
      <c r="M712" s="120"/>
      <c r="N712" s="132">
        <f t="shared" si="273"/>
        <v>9958177.6203182228</v>
      </c>
      <c r="O712" s="124">
        <f t="shared" si="286"/>
        <v>3316383.5153146219</v>
      </c>
      <c r="P712" s="124">
        <f t="shared" si="287"/>
        <v>1</v>
      </c>
      <c r="Q712" s="124">
        <f t="shared" si="288"/>
        <v>1</v>
      </c>
      <c r="R712" s="124">
        <f t="shared" si="289"/>
        <v>3193261.8437654283</v>
      </c>
      <c r="S712" s="124">
        <f t="shared" si="290"/>
        <v>41477.789464070498</v>
      </c>
      <c r="T712" s="124">
        <f t="shared" si="291"/>
        <v>3193531.2132288623</v>
      </c>
      <c r="U712" s="124">
        <f t="shared" si="292"/>
        <v>1</v>
      </c>
      <c r="V712" s="124">
        <f t="shared" si="293"/>
        <v>0</v>
      </c>
      <c r="W712" s="124">
        <f t="shared" si="294"/>
        <v>1</v>
      </c>
      <c r="X712" s="124">
        <f t="shared" si="295"/>
        <v>1</v>
      </c>
      <c r="Y712" s="124">
        <f t="shared" si="296"/>
        <v>0</v>
      </c>
      <c r="Z712" s="124">
        <f t="shared" si="297"/>
        <v>1</v>
      </c>
      <c r="AA712" s="124">
        <f t="shared" si="274"/>
        <v>2.6874954642367333E-4</v>
      </c>
      <c r="AB712" s="124">
        <f t="shared" si="298"/>
        <v>0</v>
      </c>
      <c r="AC712" s="124">
        <f t="shared" si="299"/>
        <v>0</v>
      </c>
    </row>
    <row r="713" spans="2:29" s="114" customFormat="1">
      <c r="B713" s="115">
        <f t="shared" si="275"/>
        <v>6.2199999999998949</v>
      </c>
      <c r="C713" s="124">
        <f t="shared" si="276"/>
        <v>1659586.9074371613</v>
      </c>
      <c r="D713" s="124">
        <f t="shared" si="277"/>
        <v>1751.7866814457536</v>
      </c>
      <c r="E713" s="124">
        <f t="shared" si="278"/>
        <v>1</v>
      </c>
      <c r="F713" s="124">
        <f t="shared" si="279"/>
        <v>1</v>
      </c>
      <c r="G713" s="124">
        <f t="shared" si="280"/>
        <v>1750.5446051549532</v>
      </c>
      <c r="H713" s="124">
        <f t="shared" si="281"/>
        <v>1</v>
      </c>
      <c r="I713" s="124">
        <f t="shared" si="282"/>
        <v>1</v>
      </c>
      <c r="J713" s="124">
        <f t="shared" si="283"/>
        <v>9.4887880651116884E-8</v>
      </c>
      <c r="K713" s="124">
        <f t="shared" si="284"/>
        <v>0</v>
      </c>
      <c r="L713" s="124">
        <f t="shared" si="285"/>
        <v>0</v>
      </c>
      <c r="M713" s="120"/>
      <c r="N713" s="132">
        <f t="shared" si="273"/>
        <v>10427492.072796781</v>
      </c>
      <c r="O713" s="124">
        <f t="shared" si="286"/>
        <v>3320458.4977571964</v>
      </c>
      <c r="P713" s="124">
        <f t="shared" si="287"/>
        <v>1</v>
      </c>
      <c r="Q713" s="124">
        <f t="shared" si="288"/>
        <v>1</v>
      </c>
      <c r="R713" s="124">
        <f t="shared" si="289"/>
        <v>3193579.6150226551</v>
      </c>
      <c r="S713" s="124">
        <f t="shared" si="290"/>
        <v>39641.071998707965</v>
      </c>
      <c r="T713" s="124">
        <f t="shared" si="291"/>
        <v>3193825.6326977927</v>
      </c>
      <c r="U713" s="124">
        <f t="shared" si="292"/>
        <v>1</v>
      </c>
      <c r="V713" s="124">
        <f t="shared" si="293"/>
        <v>0</v>
      </c>
      <c r="W713" s="124">
        <f t="shared" si="294"/>
        <v>1</v>
      </c>
      <c r="X713" s="124">
        <f t="shared" si="295"/>
        <v>1</v>
      </c>
      <c r="Y713" s="124">
        <f t="shared" si="296"/>
        <v>0</v>
      </c>
      <c r="Z713" s="124">
        <f t="shared" si="297"/>
        <v>1</v>
      </c>
      <c r="AA713" s="124">
        <f t="shared" si="274"/>
        <v>2.8516584797595647E-4</v>
      </c>
      <c r="AB713" s="124">
        <f t="shared" si="298"/>
        <v>0</v>
      </c>
      <c r="AC713" s="124">
        <f t="shared" si="299"/>
        <v>0</v>
      </c>
    </row>
    <row r="714" spans="2:29" s="114" customFormat="1">
      <c r="B714" s="115">
        <f t="shared" si="275"/>
        <v>6.2399999999998945</v>
      </c>
      <c r="C714" s="124">
        <f t="shared" si="276"/>
        <v>1737800.828748957</v>
      </c>
      <c r="D714" s="124">
        <f t="shared" si="277"/>
        <v>1746.6408782139199</v>
      </c>
      <c r="E714" s="124">
        <f t="shared" si="278"/>
        <v>1</v>
      </c>
      <c r="F714" s="124">
        <f t="shared" si="279"/>
        <v>1</v>
      </c>
      <c r="G714" s="124">
        <f t="shared" si="280"/>
        <v>1744.665829080461</v>
      </c>
      <c r="H714" s="124">
        <f t="shared" si="281"/>
        <v>1</v>
      </c>
      <c r="I714" s="124">
        <f t="shared" si="282"/>
        <v>1</v>
      </c>
      <c r="J714" s="124">
        <f t="shared" si="283"/>
        <v>2.4143960349587692E-7</v>
      </c>
      <c r="K714" s="124">
        <f t="shared" si="284"/>
        <v>0</v>
      </c>
      <c r="L714" s="124">
        <f t="shared" si="285"/>
        <v>0</v>
      </c>
      <c r="M714" s="120"/>
      <c r="N714" s="132">
        <f t="shared" si="273"/>
        <v>10918924.633999955</v>
      </c>
      <c r="O714" s="124">
        <f t="shared" si="286"/>
        <v>3324494.7358999909</v>
      </c>
      <c r="P714" s="124">
        <f t="shared" si="287"/>
        <v>1</v>
      </c>
      <c r="Q714" s="124">
        <f t="shared" si="288"/>
        <v>1</v>
      </c>
      <c r="R714" s="124">
        <f t="shared" si="289"/>
        <v>3193869.9066887116</v>
      </c>
      <c r="S714" s="124">
        <f t="shared" si="290"/>
        <v>37883.181688031611</v>
      </c>
      <c r="T714" s="124">
        <f t="shared" si="291"/>
        <v>3194094.5690925573</v>
      </c>
      <c r="U714" s="124">
        <f t="shared" si="292"/>
        <v>1</v>
      </c>
      <c r="V714" s="124">
        <f t="shared" si="293"/>
        <v>0</v>
      </c>
      <c r="W714" s="124">
        <f t="shared" si="294"/>
        <v>1</v>
      </c>
      <c r="X714" s="124">
        <f t="shared" si="295"/>
        <v>1</v>
      </c>
      <c r="Y714" s="124">
        <f t="shared" si="296"/>
        <v>0</v>
      </c>
      <c r="Z714" s="124">
        <f t="shared" si="297"/>
        <v>1</v>
      </c>
      <c r="AA714" s="124">
        <f t="shared" si="274"/>
        <v>3.0199068741689069E-4</v>
      </c>
      <c r="AB714" s="124">
        <f t="shared" si="298"/>
        <v>0</v>
      </c>
      <c r="AC714" s="124">
        <f t="shared" si="299"/>
        <v>0</v>
      </c>
    </row>
    <row r="715" spans="2:29" s="114" customFormat="1">
      <c r="B715" s="115">
        <f t="shared" si="275"/>
        <v>6.2599999999998941</v>
      </c>
      <c r="C715" s="124">
        <f t="shared" si="276"/>
        <v>1819700.8586095418</v>
      </c>
      <c r="D715" s="124">
        <f t="shared" si="277"/>
        <v>1741.5628056640012</v>
      </c>
      <c r="E715" s="124">
        <f t="shared" si="278"/>
        <v>1</v>
      </c>
      <c r="F715" s="124">
        <f t="shared" si="279"/>
        <v>1</v>
      </c>
      <c r="G715" s="124">
        <f t="shared" si="280"/>
        <v>1738.9113053850974</v>
      </c>
      <c r="H715" s="124">
        <f t="shared" si="281"/>
        <v>1</v>
      </c>
      <c r="I715" s="124">
        <f t="shared" si="282"/>
        <v>1</v>
      </c>
      <c r="J715" s="124">
        <f t="shared" si="283"/>
        <v>4.3786004854923839E-7</v>
      </c>
      <c r="K715" s="124">
        <f t="shared" si="284"/>
        <v>0</v>
      </c>
      <c r="L715" s="124">
        <f t="shared" si="285"/>
        <v>0</v>
      </c>
      <c r="M715" s="120"/>
      <c r="N715" s="132">
        <f t="shared" si="273"/>
        <v>11433517.69827755</v>
      </c>
      <c r="O715" s="124">
        <f t="shared" si="286"/>
        <v>3328492.5322078308</v>
      </c>
      <c r="P715" s="124">
        <f t="shared" si="287"/>
        <v>1</v>
      </c>
      <c r="Q715" s="124">
        <f t="shared" si="288"/>
        <v>1</v>
      </c>
      <c r="R715" s="124">
        <f t="shared" si="289"/>
        <v>3194135.0567420358</v>
      </c>
      <c r="S715" s="124">
        <f t="shared" si="290"/>
        <v>36201.057092515708</v>
      </c>
      <c r="T715" s="124">
        <f t="shared" si="291"/>
        <v>3194340.1943504801</v>
      </c>
      <c r="U715" s="124">
        <f t="shared" si="292"/>
        <v>1</v>
      </c>
      <c r="V715" s="124">
        <f t="shared" si="293"/>
        <v>0</v>
      </c>
      <c r="W715" s="124">
        <f t="shared" si="294"/>
        <v>1</v>
      </c>
      <c r="X715" s="124">
        <f t="shared" si="295"/>
        <v>1</v>
      </c>
      <c r="Y715" s="124">
        <f t="shared" si="296"/>
        <v>0</v>
      </c>
      <c r="Z715" s="124">
        <f t="shared" si="297"/>
        <v>1</v>
      </c>
      <c r="AA715" s="124">
        <f t="shared" si="274"/>
        <v>3.1920898760014898E-4</v>
      </c>
      <c r="AB715" s="124">
        <f t="shared" si="298"/>
        <v>0</v>
      </c>
      <c r="AC715" s="124">
        <f t="shared" si="299"/>
        <v>0</v>
      </c>
    </row>
    <row r="716" spans="2:29" s="114" customFormat="1">
      <c r="B716" s="115">
        <f t="shared" si="275"/>
        <v>6.2799999999998937</v>
      </c>
      <c r="C716" s="124">
        <f t="shared" si="276"/>
        <v>1905460.7179627842</v>
      </c>
      <c r="D716" s="124">
        <f t="shared" si="277"/>
        <v>1736.5514623931851</v>
      </c>
      <c r="E716" s="124">
        <f t="shared" si="278"/>
        <v>1</v>
      </c>
      <c r="F716" s="124">
        <f t="shared" si="279"/>
        <v>1</v>
      </c>
      <c r="G716" s="124">
        <f t="shared" si="280"/>
        <v>1733.2916411645124</v>
      </c>
      <c r="H716" s="124">
        <f t="shared" si="281"/>
        <v>1</v>
      </c>
      <c r="I716" s="124">
        <f t="shared" si="282"/>
        <v>1</v>
      </c>
      <c r="J716" s="124">
        <f t="shared" si="283"/>
        <v>6.6588121212137991E-7</v>
      </c>
      <c r="K716" s="124">
        <f t="shared" si="284"/>
        <v>0</v>
      </c>
      <c r="L716" s="124">
        <f t="shared" si="285"/>
        <v>0</v>
      </c>
      <c r="M716" s="120"/>
      <c r="N716" s="132">
        <f t="shared" si="273"/>
        <v>11972362.786511632</v>
      </c>
      <c r="O716" s="124">
        <f t="shared" si="286"/>
        <v>3332452.1882100427</v>
      </c>
      <c r="P716" s="124">
        <f t="shared" si="287"/>
        <v>1</v>
      </c>
      <c r="Q716" s="124">
        <f t="shared" si="288"/>
        <v>1</v>
      </c>
      <c r="R716" s="124">
        <f t="shared" si="289"/>
        <v>3194377.2106600567</v>
      </c>
      <c r="S716" s="124">
        <f t="shared" si="290"/>
        <v>34591.713623161755</v>
      </c>
      <c r="T716" s="124">
        <f t="shared" si="291"/>
        <v>3194564.5009352546</v>
      </c>
      <c r="U716" s="124">
        <f t="shared" si="292"/>
        <v>1</v>
      </c>
      <c r="V716" s="124">
        <f t="shared" si="293"/>
        <v>0</v>
      </c>
      <c r="W716" s="124">
        <f t="shared" si="294"/>
        <v>1</v>
      </c>
      <c r="X716" s="124">
        <f t="shared" si="295"/>
        <v>1</v>
      </c>
      <c r="Y716" s="124">
        <f t="shared" si="296"/>
        <v>0</v>
      </c>
      <c r="Z716" s="124">
        <f t="shared" si="297"/>
        <v>1</v>
      </c>
      <c r="AA716" s="124">
        <f t="shared" si="274"/>
        <v>3.3680566139506786E-4</v>
      </c>
      <c r="AB716" s="124">
        <f t="shared" si="298"/>
        <v>0</v>
      </c>
      <c r="AC716" s="124">
        <f t="shared" si="299"/>
        <v>0</v>
      </c>
    </row>
    <row r="717" spans="2:29" s="114" customFormat="1">
      <c r="B717" s="115">
        <f t="shared" si="275"/>
        <v>6.2999999999998932</v>
      </c>
      <c r="C717" s="124">
        <f t="shared" si="276"/>
        <v>1995262.3149683909</v>
      </c>
      <c r="D717" s="124">
        <f t="shared" si="277"/>
        <v>1731.6058640651336</v>
      </c>
      <c r="E717" s="124">
        <f t="shared" si="278"/>
        <v>1</v>
      </c>
      <c r="F717" s="124">
        <f t="shared" si="279"/>
        <v>1</v>
      </c>
      <c r="G717" s="124">
        <f t="shared" si="280"/>
        <v>1727.8165040793147</v>
      </c>
      <c r="H717" s="124">
        <f t="shared" si="281"/>
        <v>1</v>
      </c>
      <c r="I717" s="124">
        <f t="shared" si="282"/>
        <v>1</v>
      </c>
      <c r="J717" s="124">
        <f t="shared" si="283"/>
        <v>9.052186907975539E-7</v>
      </c>
      <c r="K717" s="124">
        <f t="shared" si="284"/>
        <v>0</v>
      </c>
      <c r="L717" s="124">
        <f t="shared" si="285"/>
        <v>0</v>
      </c>
      <c r="M717" s="120"/>
      <c r="N717" s="132">
        <f t="shared" si="273"/>
        <v>12536602.861378521</v>
      </c>
      <c r="O717" s="124">
        <f t="shared" si="286"/>
        <v>3336374.0044682394</v>
      </c>
      <c r="P717" s="124">
        <f t="shared" si="287"/>
        <v>1</v>
      </c>
      <c r="Q717" s="124">
        <f t="shared" si="288"/>
        <v>1</v>
      </c>
      <c r="R717" s="124">
        <f t="shared" si="289"/>
        <v>3194598.3361889017</v>
      </c>
      <c r="S717" s="124">
        <f t="shared" si="290"/>
        <v>33052.247577290211</v>
      </c>
      <c r="T717" s="124">
        <f t="shared" si="291"/>
        <v>3194769.3157176166</v>
      </c>
      <c r="U717" s="124">
        <f t="shared" si="292"/>
        <v>1</v>
      </c>
      <c r="V717" s="124">
        <f t="shared" si="293"/>
        <v>0</v>
      </c>
      <c r="W717" s="124">
        <f t="shared" si="294"/>
        <v>1</v>
      </c>
      <c r="X717" s="124">
        <f t="shared" si="295"/>
        <v>1</v>
      </c>
      <c r="Y717" s="124">
        <f t="shared" si="296"/>
        <v>0</v>
      </c>
      <c r="Z717" s="124">
        <f t="shared" si="297"/>
        <v>1</v>
      </c>
      <c r="AA717" s="124">
        <f t="shared" si="274"/>
        <v>3.5476566785007526E-4</v>
      </c>
      <c r="AB717" s="124">
        <f t="shared" si="298"/>
        <v>0</v>
      </c>
      <c r="AC717" s="124">
        <f t="shared" si="299"/>
        <v>0</v>
      </c>
    </row>
    <row r="718" spans="2:29" s="114" customFormat="1">
      <c r="B718" s="115">
        <f t="shared" si="275"/>
        <v>6.3199999999998928</v>
      </c>
      <c r="C718" s="124">
        <f t="shared" si="276"/>
        <v>2089296.1308535275</v>
      </c>
      <c r="D718" s="124">
        <f t="shared" si="277"/>
        <v>1726.7250430752897</v>
      </c>
      <c r="E718" s="124">
        <f t="shared" si="278"/>
        <v>1</v>
      </c>
      <c r="F718" s="124">
        <f t="shared" si="279"/>
        <v>1</v>
      </c>
      <c r="G718" s="124">
        <f t="shared" si="280"/>
        <v>1722.4944791212927</v>
      </c>
      <c r="H718" s="124">
        <f t="shared" si="281"/>
        <v>1</v>
      </c>
      <c r="I718" s="124">
        <f t="shared" si="282"/>
        <v>1</v>
      </c>
      <c r="J718" s="124">
        <f t="shared" si="283"/>
        <v>1.1349687605352853E-6</v>
      </c>
      <c r="K718" s="124">
        <f t="shared" si="284"/>
        <v>0</v>
      </c>
      <c r="L718" s="124">
        <f t="shared" si="285"/>
        <v>0</v>
      </c>
      <c r="M718" s="120"/>
      <c r="N718" s="132">
        <f t="shared" si="273"/>
        <v>13127434.751726042</v>
      </c>
      <c r="O718" s="124">
        <f t="shared" si="286"/>
        <v>3340258.2805451299</v>
      </c>
      <c r="P718" s="124">
        <f t="shared" si="287"/>
        <v>1</v>
      </c>
      <c r="Q718" s="124">
        <f t="shared" si="288"/>
        <v>1</v>
      </c>
      <c r="R718" s="124">
        <f t="shared" si="289"/>
        <v>3194800.2371652313</v>
      </c>
      <c r="S718" s="124">
        <f t="shared" si="290"/>
        <v>31579.839099674697</v>
      </c>
      <c r="T718" s="124">
        <f t="shared" si="291"/>
        <v>3194956.3129452299</v>
      </c>
      <c r="U718" s="124">
        <f t="shared" si="292"/>
        <v>1</v>
      </c>
      <c r="V718" s="124">
        <f t="shared" si="293"/>
        <v>0</v>
      </c>
      <c r="W718" s="124">
        <f t="shared" si="294"/>
        <v>1</v>
      </c>
      <c r="X718" s="124">
        <f t="shared" si="295"/>
        <v>1</v>
      </c>
      <c r="Y718" s="124">
        <f t="shared" si="296"/>
        <v>0</v>
      </c>
      <c r="Z718" s="124">
        <f t="shared" si="297"/>
        <v>1</v>
      </c>
      <c r="AA718" s="124">
        <f t="shared" si="274"/>
        <v>3.7307406119112762E-4</v>
      </c>
      <c r="AB718" s="124">
        <f t="shared" si="298"/>
        <v>0</v>
      </c>
      <c r="AC718" s="124">
        <f t="shared" si="299"/>
        <v>0</v>
      </c>
    </row>
    <row r="719" spans="2:29" s="114" customFormat="1">
      <c r="B719" s="115">
        <f t="shared" si="275"/>
        <v>6.3399999999998924</v>
      </c>
      <c r="C719" s="124">
        <f t="shared" si="276"/>
        <v>2187761.6239490118</v>
      </c>
      <c r="D719" s="124">
        <f t="shared" si="277"/>
        <v>1721.9080482235629</v>
      </c>
      <c r="E719" s="124">
        <f t="shared" si="278"/>
        <v>1</v>
      </c>
      <c r="F719" s="124">
        <f t="shared" si="279"/>
        <v>1</v>
      </c>
      <c r="G719" s="124">
        <f t="shared" si="280"/>
        <v>1717.3329342694497</v>
      </c>
      <c r="H719" s="124">
        <f t="shared" si="281"/>
        <v>1</v>
      </c>
      <c r="I719" s="124">
        <f t="shared" si="282"/>
        <v>1</v>
      </c>
      <c r="J719" s="124">
        <f t="shared" si="283"/>
        <v>1.3350813927916084E-6</v>
      </c>
      <c r="K719" s="124">
        <f t="shared" si="284"/>
        <v>0</v>
      </c>
      <c r="L719" s="124">
        <f t="shared" si="285"/>
        <v>0</v>
      </c>
      <c r="M719" s="120"/>
      <c r="N719" s="132">
        <f t="shared" si="273"/>
        <v>13746111.691207781</v>
      </c>
      <c r="O719" s="124">
        <f t="shared" si="286"/>
        <v>3344105.3149742512</v>
      </c>
      <c r="P719" s="124">
        <f t="shared" si="287"/>
        <v>1</v>
      </c>
      <c r="Q719" s="124">
        <f t="shared" si="288"/>
        <v>1</v>
      </c>
      <c r="R719" s="124">
        <f t="shared" si="289"/>
        <v>3194984.5664175306</v>
      </c>
      <c r="S719" s="124">
        <f t="shared" si="290"/>
        <v>30171.754217852475</v>
      </c>
      <c r="T719" s="124">
        <f t="shared" si="291"/>
        <v>3195127.026332255</v>
      </c>
      <c r="U719" s="124">
        <f t="shared" si="292"/>
        <v>1</v>
      </c>
      <c r="V719" s="124">
        <f t="shared" si="293"/>
        <v>0</v>
      </c>
      <c r="W719" s="124">
        <f t="shared" si="294"/>
        <v>1</v>
      </c>
      <c r="X719" s="124">
        <f t="shared" si="295"/>
        <v>1</v>
      </c>
      <c r="Y719" s="124">
        <f t="shared" si="296"/>
        <v>0</v>
      </c>
      <c r="Z719" s="124">
        <f t="shared" si="297"/>
        <v>1</v>
      </c>
      <c r="AA719" s="124">
        <f t="shared" si="274"/>
        <v>3.9171603325793673E-4</v>
      </c>
      <c r="AB719" s="124">
        <f t="shared" si="298"/>
        <v>0</v>
      </c>
      <c r="AC719" s="124">
        <f t="shared" si="299"/>
        <v>0</v>
      </c>
    </row>
    <row r="720" spans="2:29" s="114" customFormat="1">
      <c r="B720" s="115">
        <f t="shared" si="275"/>
        <v>6.359999999999892</v>
      </c>
      <c r="C720" s="124">
        <f t="shared" si="276"/>
        <v>2290867.6527672065</v>
      </c>
      <c r="D720" s="124">
        <f t="shared" si="277"/>
        <v>1717.1539443941926</v>
      </c>
      <c r="E720" s="124">
        <f t="shared" si="278"/>
        <v>1</v>
      </c>
      <c r="F720" s="124">
        <f t="shared" si="279"/>
        <v>1</v>
      </c>
      <c r="G720" s="124">
        <f t="shared" si="280"/>
        <v>1712.3378982981901</v>
      </c>
      <c r="H720" s="124">
        <f t="shared" si="281"/>
        <v>1</v>
      </c>
      <c r="I720" s="124">
        <f t="shared" si="282"/>
        <v>1</v>
      </c>
      <c r="J720" s="124">
        <f t="shared" si="283"/>
        <v>1.4878217615758717E-6</v>
      </c>
      <c r="K720" s="124">
        <f t="shared" si="284"/>
        <v>0</v>
      </c>
      <c r="L720" s="124">
        <f t="shared" si="285"/>
        <v>0</v>
      </c>
      <c r="M720" s="120"/>
      <c r="N720" s="132">
        <f t="shared" si="273"/>
        <v>14393945.976559898</v>
      </c>
      <c r="O720" s="124">
        <f t="shared" si="286"/>
        <v>3347915.4052306591</v>
      </c>
      <c r="P720" s="124">
        <f t="shared" si="287"/>
        <v>1</v>
      </c>
      <c r="Q720" s="124">
        <f t="shared" si="288"/>
        <v>1</v>
      </c>
      <c r="R720" s="124">
        <f t="shared" si="289"/>
        <v>3195152.8377804803</v>
      </c>
      <c r="S720" s="124">
        <f t="shared" si="290"/>
        <v>28825.346083689554</v>
      </c>
      <c r="T720" s="124">
        <f t="shared" si="291"/>
        <v>3195282.8603041545</v>
      </c>
      <c r="U720" s="124">
        <f t="shared" si="292"/>
        <v>1</v>
      </c>
      <c r="V720" s="124">
        <f t="shared" si="293"/>
        <v>0</v>
      </c>
      <c r="W720" s="124">
        <f t="shared" si="294"/>
        <v>1</v>
      </c>
      <c r="X720" s="124">
        <f t="shared" si="295"/>
        <v>1</v>
      </c>
      <c r="Y720" s="124">
        <f t="shared" si="296"/>
        <v>0</v>
      </c>
      <c r="Z720" s="124">
        <f t="shared" si="297"/>
        <v>1</v>
      </c>
      <c r="AA720" s="124">
        <f t="shared" si="274"/>
        <v>4.1067694996494379E-4</v>
      </c>
      <c r="AB720" s="124">
        <f t="shared" si="298"/>
        <v>0</v>
      </c>
      <c r="AC720" s="124">
        <f t="shared" si="299"/>
        <v>0</v>
      </c>
    </row>
    <row r="721" spans="2:29" s="114" customFormat="1">
      <c r="B721" s="115">
        <f t="shared" si="275"/>
        <v>6.3799999999998915</v>
      </c>
      <c r="C721" s="124">
        <f t="shared" si="276"/>
        <v>2398832.9190188926</v>
      </c>
      <c r="D721" s="124">
        <f t="shared" si="277"/>
        <v>1712.4618122426523</v>
      </c>
      <c r="E721" s="124">
        <f t="shared" si="278"/>
        <v>1</v>
      </c>
      <c r="F721" s="124">
        <f t="shared" si="279"/>
        <v>1</v>
      </c>
      <c r="G721" s="124">
        <f t="shared" si="280"/>
        <v>1707.5139541920801</v>
      </c>
      <c r="H721" s="124">
        <f t="shared" si="281"/>
        <v>1</v>
      </c>
      <c r="I721" s="124">
        <f t="shared" si="282"/>
        <v>1</v>
      </c>
      <c r="J721" s="124">
        <f t="shared" si="283"/>
        <v>1.5791290602185207E-6</v>
      </c>
      <c r="K721" s="124">
        <f t="shared" si="284"/>
        <v>0</v>
      </c>
      <c r="L721" s="124">
        <f t="shared" si="285"/>
        <v>0</v>
      </c>
      <c r="M721" s="120"/>
      <c r="N721" s="132">
        <f t="shared" si="273"/>
        <v>15072311.751158224</v>
      </c>
      <c r="O721" s="124">
        <f t="shared" si="286"/>
        <v>3351688.8477026359</v>
      </c>
      <c r="P721" s="124">
        <f t="shared" si="287"/>
        <v>1</v>
      </c>
      <c r="Q721" s="124">
        <f t="shared" si="288"/>
        <v>1</v>
      </c>
      <c r="R721" s="124">
        <f t="shared" si="289"/>
        <v>3195306.4372605006</v>
      </c>
      <c r="S721" s="124">
        <f t="shared" si="290"/>
        <v>27538.055538019158</v>
      </c>
      <c r="T721" s="124">
        <f t="shared" si="291"/>
        <v>3195425.1004367494</v>
      </c>
      <c r="U721" s="124">
        <f t="shared" si="292"/>
        <v>1</v>
      </c>
      <c r="V721" s="124">
        <f t="shared" si="293"/>
        <v>0</v>
      </c>
      <c r="W721" s="124">
        <f t="shared" si="294"/>
        <v>1</v>
      </c>
      <c r="X721" s="124">
        <f t="shared" si="295"/>
        <v>1</v>
      </c>
      <c r="Y721" s="124">
        <f t="shared" si="296"/>
        <v>0</v>
      </c>
      <c r="Z721" s="124">
        <f t="shared" si="297"/>
        <v>1</v>
      </c>
      <c r="AA721" s="124">
        <f t="shared" si="274"/>
        <v>4.2994238235115074E-4</v>
      </c>
      <c r="AB721" s="124">
        <f t="shared" si="298"/>
        <v>0</v>
      </c>
      <c r="AC721" s="124">
        <f t="shared" si="299"/>
        <v>0</v>
      </c>
    </row>
    <row r="722" spans="2:29" s="114" customFormat="1">
      <c r="B722" s="115">
        <f t="shared" si="275"/>
        <v>6.3999999999998911</v>
      </c>
      <c r="C722" s="124">
        <f t="shared" si="276"/>
        <v>2511886.4315089537</v>
      </c>
      <c r="D722" s="124">
        <f t="shared" si="277"/>
        <v>1707.8307478893837</v>
      </c>
      <c r="E722" s="124">
        <f t="shared" si="278"/>
        <v>1</v>
      </c>
      <c r="F722" s="124">
        <f t="shared" si="279"/>
        <v>1</v>
      </c>
      <c r="G722" s="124">
        <f t="shared" si="280"/>
        <v>1702.8641516649875</v>
      </c>
      <c r="H722" s="124">
        <f t="shared" si="281"/>
        <v>1</v>
      </c>
      <c r="I722" s="124">
        <f t="shared" si="282"/>
        <v>1</v>
      </c>
      <c r="J722" s="124">
        <f t="shared" si="283"/>
        <v>1.5997834235967911E-6</v>
      </c>
      <c r="K722" s="124">
        <f t="shared" si="284"/>
        <v>0</v>
      </c>
      <c r="L722" s="124">
        <f t="shared" si="285"/>
        <v>0</v>
      </c>
      <c r="M722" s="120"/>
      <c r="N722" s="132">
        <f t="shared" si="273"/>
        <v>15782647.91976082</v>
      </c>
      <c r="O722" s="124">
        <f t="shared" si="286"/>
        <v>3355425.9376642425</v>
      </c>
      <c r="P722" s="124">
        <f t="shared" si="287"/>
        <v>1</v>
      </c>
      <c r="Q722" s="124">
        <f t="shared" si="288"/>
        <v>1</v>
      </c>
      <c r="R722" s="124">
        <f t="shared" si="289"/>
        <v>3195446.6333934856</v>
      </c>
      <c r="S722" s="124">
        <f t="shared" si="290"/>
        <v>26307.411101334892</v>
      </c>
      <c r="T722" s="124">
        <f t="shared" si="291"/>
        <v>3195554.9231306631</v>
      </c>
      <c r="U722" s="124">
        <f t="shared" si="292"/>
        <v>1</v>
      </c>
      <c r="V722" s="124">
        <f t="shared" si="293"/>
        <v>0</v>
      </c>
      <c r="W722" s="124">
        <f t="shared" si="294"/>
        <v>1</v>
      </c>
      <c r="X722" s="124">
        <f t="shared" si="295"/>
        <v>1</v>
      </c>
      <c r="Y722" s="124">
        <f t="shared" si="296"/>
        <v>0</v>
      </c>
      <c r="Z722" s="124">
        <f t="shared" si="297"/>
        <v>1</v>
      </c>
      <c r="AA722" s="124">
        <f t="shared" si="274"/>
        <v>4.4949813274984448E-4</v>
      </c>
      <c r="AB722" s="124">
        <f t="shared" si="298"/>
        <v>0</v>
      </c>
      <c r="AC722" s="124">
        <f t="shared" si="299"/>
        <v>0</v>
      </c>
    </row>
    <row r="723" spans="2:29" s="114" customFormat="1">
      <c r="B723" s="115">
        <f t="shared" si="275"/>
        <v>6.4199999999998907</v>
      </c>
      <c r="C723" s="124">
        <f t="shared" si="276"/>
        <v>2630267.9918947252</v>
      </c>
      <c r="D723" s="124">
        <f t="shared" si="277"/>
        <v>1703.2598626202391</v>
      </c>
      <c r="E723" s="124">
        <f t="shared" si="278"/>
        <v>1</v>
      </c>
      <c r="F723" s="124">
        <f t="shared" si="279"/>
        <v>1</v>
      </c>
      <c r="G723" s="124">
        <f t="shared" si="280"/>
        <v>1698.3899421705007</v>
      </c>
      <c r="H723" s="124">
        <f t="shared" si="281"/>
        <v>1</v>
      </c>
      <c r="I723" s="124">
        <f t="shared" si="282"/>
        <v>1</v>
      </c>
      <c r="J723" s="124">
        <f t="shared" si="283"/>
        <v>1.5462999376061685E-6</v>
      </c>
      <c r="K723" s="124">
        <f t="shared" si="284"/>
        <v>0</v>
      </c>
      <c r="L723" s="124">
        <f t="shared" si="285"/>
        <v>0</v>
      </c>
      <c r="M723" s="120"/>
      <c r="N723" s="132">
        <f t="shared" si="273"/>
        <v>16526461.200617693</v>
      </c>
      <c r="O723" s="124">
        <f t="shared" si="286"/>
        <v>3359126.9692488145</v>
      </c>
      <c r="P723" s="124">
        <f t="shared" si="287"/>
        <v>1</v>
      </c>
      <c r="Q723" s="124">
        <f t="shared" si="288"/>
        <v>1</v>
      </c>
      <c r="R723" s="124">
        <f t="shared" si="289"/>
        <v>3195574.5868374803</v>
      </c>
      <c r="S723" s="124">
        <f t="shared" si="290"/>
        <v>25131.02848105022</v>
      </c>
      <c r="T723" s="124">
        <f t="shared" si="291"/>
        <v>3195673.404563434</v>
      </c>
      <c r="U723" s="124">
        <f t="shared" si="292"/>
        <v>1</v>
      </c>
      <c r="V723" s="124">
        <f t="shared" si="293"/>
        <v>0</v>
      </c>
      <c r="W723" s="124">
        <f t="shared" si="294"/>
        <v>1</v>
      </c>
      <c r="X723" s="124">
        <f t="shared" si="295"/>
        <v>1</v>
      </c>
      <c r="Y723" s="124">
        <f t="shared" si="296"/>
        <v>0</v>
      </c>
      <c r="Z723" s="124">
        <f t="shared" si="297"/>
        <v>1</v>
      </c>
      <c r="AA723" s="124">
        <f t="shared" si="274"/>
        <v>4.693302565817823E-4</v>
      </c>
      <c r="AB723" s="124">
        <f t="shared" si="298"/>
        <v>0</v>
      </c>
      <c r="AC723" s="124">
        <f t="shared" si="299"/>
        <v>0</v>
      </c>
    </row>
    <row r="724" spans="2:29" s="114" customFormat="1">
      <c r="B724" s="115">
        <f t="shared" si="275"/>
        <v>6.4399999999998903</v>
      </c>
      <c r="C724" s="124">
        <f t="shared" si="276"/>
        <v>2754228.7033374733</v>
      </c>
      <c r="D724" s="124">
        <f t="shared" si="277"/>
        <v>1698.7482825934458</v>
      </c>
      <c r="E724" s="124">
        <f t="shared" si="278"/>
        <v>1</v>
      </c>
      <c r="F724" s="124">
        <f t="shared" si="279"/>
        <v>1</v>
      </c>
      <c r="G724" s="124">
        <f t="shared" si="280"/>
        <v>1694.0911395210976</v>
      </c>
      <c r="H724" s="124">
        <f t="shared" si="281"/>
        <v>1</v>
      </c>
      <c r="I724" s="124">
        <f t="shared" si="282"/>
        <v>1</v>
      </c>
      <c r="J724" s="124">
        <f t="shared" si="283"/>
        <v>1.4214831251185301E-6</v>
      </c>
      <c r="K724" s="124">
        <f t="shared" si="284"/>
        <v>0</v>
      </c>
      <c r="L724" s="124">
        <f t="shared" si="285"/>
        <v>0</v>
      </c>
      <c r="M724" s="120"/>
      <c r="N724" s="132">
        <f t="shared" si="273"/>
        <v>17305329.321422298</v>
      </c>
      <c r="O724" s="124">
        <f t="shared" si="286"/>
        <v>3362792.2354233745</v>
      </c>
      <c r="P724" s="124">
        <f t="shared" si="287"/>
        <v>1</v>
      </c>
      <c r="Q724" s="124">
        <f t="shared" si="288"/>
        <v>1</v>
      </c>
      <c r="R724" s="124">
        <f t="shared" si="289"/>
        <v>3195691.3592438172</v>
      </c>
      <c r="S724" s="124">
        <f t="shared" si="290"/>
        <v>24006.609674632662</v>
      </c>
      <c r="T724" s="124">
        <f t="shared" si="291"/>
        <v>3195781.5289618387</v>
      </c>
      <c r="U724" s="124">
        <f t="shared" si="292"/>
        <v>1</v>
      </c>
      <c r="V724" s="124">
        <f t="shared" si="293"/>
        <v>0</v>
      </c>
      <c r="W724" s="124">
        <f t="shared" si="294"/>
        <v>1</v>
      </c>
      <c r="X724" s="124">
        <f t="shared" si="295"/>
        <v>1</v>
      </c>
      <c r="Y724" s="124">
        <f t="shared" si="296"/>
        <v>0</v>
      </c>
      <c r="Z724" s="124">
        <f t="shared" si="297"/>
        <v>1</v>
      </c>
      <c r="AA724" s="124">
        <f t="shared" si="274"/>
        <v>4.8942508023747881E-4</v>
      </c>
      <c r="AB724" s="124">
        <f t="shared" si="298"/>
        <v>0</v>
      </c>
      <c r="AC724" s="124">
        <f t="shared" si="299"/>
        <v>0</v>
      </c>
    </row>
    <row r="725" spans="2:29" s="114" customFormat="1">
      <c r="B725" s="115">
        <f t="shared" si="275"/>
        <v>6.4599999999998898</v>
      </c>
      <c r="C725" s="124">
        <f t="shared" si="276"/>
        <v>2884031.5031258799</v>
      </c>
      <c r="D725" s="124">
        <f t="shared" si="277"/>
        <v>1694.2951485529422</v>
      </c>
      <c r="E725" s="124">
        <f t="shared" si="278"/>
        <v>1</v>
      </c>
      <c r="F725" s="124">
        <f t="shared" si="279"/>
        <v>1</v>
      </c>
      <c r="G725" s="124">
        <f t="shared" si="280"/>
        <v>1689.9659088039093</v>
      </c>
      <c r="H725" s="124">
        <f t="shared" si="281"/>
        <v>1</v>
      </c>
      <c r="I725" s="124">
        <f t="shared" si="282"/>
        <v>1</v>
      </c>
      <c r="J725" s="124">
        <f t="shared" si="283"/>
        <v>1.2345953848976999E-6</v>
      </c>
      <c r="K725" s="124">
        <f t="shared" si="284"/>
        <v>0</v>
      </c>
      <c r="L725" s="124">
        <f t="shared" si="285"/>
        <v>0</v>
      </c>
      <c r="M725" s="120"/>
      <c r="N725" s="132">
        <f t="shared" si="273"/>
        <v>18120904.365883585</v>
      </c>
      <c r="O725" s="124">
        <f t="shared" si="286"/>
        <v>3366422.0279639014</v>
      </c>
      <c r="P725" s="124">
        <f t="shared" si="287"/>
        <v>1</v>
      </c>
      <c r="Q725" s="124">
        <f t="shared" si="288"/>
        <v>1</v>
      </c>
      <c r="R725" s="124">
        <f t="shared" si="289"/>
        <v>3195797.9214501893</v>
      </c>
      <c r="S725" s="124">
        <f t="shared" si="290"/>
        <v>22931.941737905196</v>
      </c>
      <c r="T725" s="124">
        <f t="shared" si="291"/>
        <v>3195880.1962365895</v>
      </c>
      <c r="U725" s="124">
        <f t="shared" si="292"/>
        <v>1</v>
      </c>
      <c r="V725" s="124">
        <f t="shared" si="293"/>
        <v>0</v>
      </c>
      <c r="W725" s="124">
        <f t="shared" si="294"/>
        <v>1</v>
      </c>
      <c r="X725" s="124">
        <f t="shared" si="295"/>
        <v>1</v>
      </c>
      <c r="Y725" s="124">
        <f t="shared" si="296"/>
        <v>0</v>
      </c>
      <c r="Z725" s="124">
        <f t="shared" si="297"/>
        <v>1</v>
      </c>
      <c r="AA725" s="124">
        <f t="shared" si="274"/>
        <v>5.0976921548159294E-4</v>
      </c>
      <c r="AB725" s="124">
        <f t="shared" si="298"/>
        <v>0</v>
      </c>
      <c r="AC725" s="124">
        <f t="shared" si="299"/>
        <v>0</v>
      </c>
    </row>
    <row r="726" spans="2:29" s="114" customFormat="1">
      <c r="B726" s="115">
        <f t="shared" si="275"/>
        <v>6.4799999999998894</v>
      </c>
      <c r="C726" s="124">
        <f t="shared" si="276"/>
        <v>3019951.7204012498</v>
      </c>
      <c r="D726" s="124">
        <f t="shared" si="277"/>
        <v>1689.8996155479454</v>
      </c>
      <c r="E726" s="124">
        <f t="shared" si="278"/>
        <v>1</v>
      </c>
      <c r="F726" s="124">
        <f t="shared" si="279"/>
        <v>1</v>
      </c>
      <c r="G726" s="124">
        <f t="shared" si="280"/>
        <v>1686.0107856934287</v>
      </c>
      <c r="H726" s="124">
        <f t="shared" si="281"/>
        <v>1</v>
      </c>
      <c r="I726" s="124">
        <f t="shared" si="282"/>
        <v>1</v>
      </c>
      <c r="J726" s="124">
        <f t="shared" si="283"/>
        <v>1.001117513827152E-6</v>
      </c>
      <c r="K726" s="124">
        <f t="shared" si="284"/>
        <v>0</v>
      </c>
      <c r="L726" s="124">
        <f t="shared" si="285"/>
        <v>0</v>
      </c>
      <c r="M726" s="120"/>
      <c r="N726" s="132">
        <f t="shared" si="273"/>
        <v>18974916.278016847</v>
      </c>
      <c r="O726" s="124">
        <f t="shared" si="286"/>
        <v>3370016.6374314493</v>
      </c>
      <c r="P726" s="124">
        <f t="shared" si="287"/>
        <v>1</v>
      </c>
      <c r="Q726" s="124">
        <f t="shared" si="288"/>
        <v>1</v>
      </c>
      <c r="R726" s="124">
        <f t="shared" si="289"/>
        <v>3195895.1610385533</v>
      </c>
      <c r="S726" s="124">
        <f t="shared" si="290"/>
        <v>21904.895278878888</v>
      </c>
      <c r="T726" s="124">
        <f t="shared" si="291"/>
        <v>3195970.2290207301</v>
      </c>
      <c r="U726" s="124">
        <f t="shared" si="292"/>
        <v>1</v>
      </c>
      <c r="V726" s="124">
        <f t="shared" si="293"/>
        <v>0</v>
      </c>
      <c r="W726" s="124">
        <f t="shared" si="294"/>
        <v>1</v>
      </c>
      <c r="X726" s="124">
        <f t="shared" si="295"/>
        <v>1</v>
      </c>
      <c r="Y726" s="124">
        <f t="shared" si="296"/>
        <v>0</v>
      </c>
      <c r="Z726" s="124">
        <f t="shared" si="297"/>
        <v>1</v>
      </c>
      <c r="AA726" s="124">
        <f t="shared" si="274"/>
        <v>5.3034957077699766E-4</v>
      </c>
      <c r="AB726" s="124">
        <f t="shared" si="298"/>
        <v>0</v>
      </c>
      <c r="AC726" s="124">
        <f t="shared" si="299"/>
        <v>0</v>
      </c>
    </row>
    <row r="727" spans="2:29" s="114" customFormat="1">
      <c r="B727" s="115">
        <f t="shared" si="275"/>
        <v>6.499999999999889</v>
      </c>
      <c r="C727" s="124">
        <f t="shared" si="276"/>
        <v>3162277.6601675763</v>
      </c>
      <c r="D727" s="124">
        <f t="shared" si="277"/>
        <v>1685.5608526585761</v>
      </c>
      <c r="E727" s="124">
        <f t="shared" si="278"/>
        <v>1</v>
      </c>
      <c r="F727" s="124">
        <f t="shared" si="279"/>
        <v>1</v>
      </c>
      <c r="G727" s="124">
        <f t="shared" si="280"/>
        <v>1682.2207275243422</v>
      </c>
      <c r="H727" s="124">
        <f t="shared" si="281"/>
        <v>1</v>
      </c>
      <c r="I727" s="124">
        <f t="shared" si="282"/>
        <v>1</v>
      </c>
      <c r="J727" s="124">
        <f t="shared" si="283"/>
        <v>7.4210701886761648E-7</v>
      </c>
      <c r="K727" s="124">
        <f t="shared" si="284"/>
        <v>0</v>
      </c>
      <c r="L727" s="124">
        <f t="shared" si="285"/>
        <v>0</v>
      </c>
      <c r="M727" s="120"/>
      <c r="N727" s="132">
        <f t="shared" si="273"/>
        <v>19869176.531587157</v>
      </c>
      <c r="O727" s="124">
        <f t="shared" si="286"/>
        <v>3373576.3531491291</v>
      </c>
      <c r="P727" s="124">
        <f t="shared" si="287"/>
        <v>1</v>
      </c>
      <c r="Q727" s="124">
        <f t="shared" si="288"/>
        <v>1</v>
      </c>
      <c r="R727" s="124">
        <f t="shared" si="289"/>
        <v>3195983.8892996875</v>
      </c>
      <c r="S727" s="124">
        <f t="shared" si="290"/>
        <v>20923.422729545859</v>
      </c>
      <c r="T727" s="124">
        <f t="shared" si="291"/>
        <v>3196052.3791517993</v>
      </c>
      <c r="U727" s="124">
        <f t="shared" si="292"/>
        <v>1</v>
      </c>
      <c r="V727" s="124">
        <f t="shared" si="293"/>
        <v>0</v>
      </c>
      <c r="W727" s="124">
        <f t="shared" si="294"/>
        <v>1</v>
      </c>
      <c r="X727" s="124">
        <f t="shared" si="295"/>
        <v>1</v>
      </c>
      <c r="Y727" s="124">
        <f t="shared" si="296"/>
        <v>0</v>
      </c>
      <c r="Z727" s="124">
        <f t="shared" si="297"/>
        <v>1</v>
      </c>
      <c r="AA727" s="124">
        <f t="shared" si="274"/>
        <v>5.5115335989270968E-4</v>
      </c>
      <c r="AB727" s="124">
        <f t="shared" si="298"/>
        <v>0</v>
      </c>
      <c r="AC727" s="124">
        <f t="shared" si="299"/>
        <v>0</v>
      </c>
    </row>
    <row r="728" spans="2:29" s="114" customFormat="1">
      <c r="B728" s="115">
        <f t="shared" si="275"/>
        <v>6.5199999999998886</v>
      </c>
      <c r="C728" s="124">
        <f t="shared" si="276"/>
        <v>3311311.2148250635</v>
      </c>
      <c r="D728" s="124">
        <f t="shared" si="277"/>
        <v>1681.2780427274365</v>
      </c>
      <c r="E728" s="124">
        <f t="shared" si="278"/>
        <v>1</v>
      </c>
      <c r="F728" s="124">
        <f t="shared" si="279"/>
        <v>1</v>
      </c>
      <c r="G728" s="124">
        <f t="shared" si="280"/>
        <v>1678.5891966164254</v>
      </c>
      <c r="H728" s="124">
        <f t="shared" si="281"/>
        <v>1</v>
      </c>
      <c r="I728" s="124">
        <f t="shared" si="282"/>
        <v>1</v>
      </c>
      <c r="J728" s="124">
        <f t="shared" si="283"/>
        <v>4.8318835546008182E-7</v>
      </c>
      <c r="K728" s="124">
        <f t="shared" si="284"/>
        <v>0</v>
      </c>
      <c r="L728" s="124">
        <f t="shared" si="285"/>
        <v>0</v>
      </c>
      <c r="M728" s="120"/>
      <c r="N728" s="132">
        <f t="shared" si="273"/>
        <v>20805581.972487826</v>
      </c>
      <c r="O728" s="124">
        <f t="shared" si="286"/>
        <v>3377101.4631799296</v>
      </c>
      <c r="P728" s="124">
        <f t="shared" si="287"/>
        <v>1</v>
      </c>
      <c r="Q728" s="124">
        <f t="shared" si="288"/>
        <v>1</v>
      </c>
      <c r="R728" s="124">
        <f t="shared" si="289"/>
        <v>3196064.8476448148</v>
      </c>
      <c r="S728" s="124">
        <f t="shared" si="290"/>
        <v>19985.556441035369</v>
      </c>
      <c r="T728" s="124">
        <f t="shared" si="291"/>
        <v>3196127.3336363072</v>
      </c>
      <c r="U728" s="124">
        <f t="shared" si="292"/>
        <v>1</v>
      </c>
      <c r="V728" s="124">
        <f t="shared" si="293"/>
        <v>0</v>
      </c>
      <c r="W728" s="124">
        <f t="shared" si="294"/>
        <v>1</v>
      </c>
      <c r="X728" s="124">
        <f t="shared" si="295"/>
        <v>1</v>
      </c>
      <c r="Y728" s="124">
        <f t="shared" si="296"/>
        <v>0</v>
      </c>
      <c r="Z728" s="124">
        <f t="shared" si="297"/>
        <v>1</v>
      </c>
      <c r="AA728" s="124">
        <f t="shared" si="274"/>
        <v>5.7216810812742364E-4</v>
      </c>
      <c r="AB728" s="124">
        <f t="shared" si="298"/>
        <v>0</v>
      </c>
      <c r="AC728" s="124">
        <f t="shared" si="299"/>
        <v>0</v>
      </c>
    </row>
    <row r="729" spans="2:29" s="114" customFormat="1">
      <c r="B729" s="115">
        <f t="shared" si="275"/>
        <v>6.5399999999998881</v>
      </c>
      <c r="C729" s="124">
        <f t="shared" si="276"/>
        <v>3467368.5045244284</v>
      </c>
      <c r="D729" s="124">
        <f t="shared" si="277"/>
        <v>1677.0503820969586</v>
      </c>
      <c r="E729" s="124">
        <f t="shared" si="278"/>
        <v>1</v>
      </c>
      <c r="F729" s="124">
        <f t="shared" si="279"/>
        <v>1</v>
      </c>
      <c r="G729" s="124">
        <f t="shared" si="280"/>
        <v>1675.1082753624232</v>
      </c>
      <c r="H729" s="124">
        <f t="shared" si="281"/>
        <v>1</v>
      </c>
      <c r="I729" s="124">
        <f t="shared" si="282"/>
        <v>1</v>
      </c>
      <c r="J729" s="124">
        <f t="shared" si="283"/>
        <v>2.5323618860131589E-7</v>
      </c>
      <c r="K729" s="124">
        <f t="shared" si="284"/>
        <v>0</v>
      </c>
      <c r="L729" s="124">
        <f t="shared" si="285"/>
        <v>0</v>
      </c>
      <c r="M729" s="120"/>
      <c r="N729" s="132">
        <f t="shared" si="273"/>
        <v>21786118.842205144</v>
      </c>
      <c r="O729" s="124">
        <f t="shared" si="286"/>
        <v>3380592.2543053813</v>
      </c>
      <c r="P729" s="124">
        <f t="shared" si="287"/>
        <v>1</v>
      </c>
      <c r="Q729" s="124">
        <f t="shared" si="288"/>
        <v>1</v>
      </c>
      <c r="R729" s="124">
        <f t="shared" si="289"/>
        <v>3196138.7135030916</v>
      </c>
      <c r="S729" s="124">
        <f t="shared" si="290"/>
        <v>19089.406641323199</v>
      </c>
      <c r="T729" s="124">
        <f t="shared" si="291"/>
        <v>3196195.720133408</v>
      </c>
      <c r="U729" s="124">
        <f t="shared" si="292"/>
        <v>1</v>
      </c>
      <c r="V729" s="124">
        <f t="shared" si="293"/>
        <v>0</v>
      </c>
      <c r="W729" s="124">
        <f t="shared" si="294"/>
        <v>1</v>
      </c>
      <c r="X729" s="124">
        <f t="shared" si="295"/>
        <v>1</v>
      </c>
      <c r="Y729" s="124">
        <f t="shared" si="296"/>
        <v>0</v>
      </c>
      <c r="Z729" s="124">
        <f t="shared" si="297"/>
        <v>1</v>
      </c>
      <c r="AA729" s="124">
        <f t="shared" si="274"/>
        <v>5.9338165644852545E-4</v>
      </c>
      <c r="AB729" s="124">
        <f t="shared" si="298"/>
        <v>0</v>
      </c>
      <c r="AC729" s="124">
        <f t="shared" si="299"/>
        <v>0</v>
      </c>
    </row>
    <row r="730" spans="2:29" s="114" customFormat="1">
      <c r="B730" s="115">
        <f t="shared" si="275"/>
        <v>6.5599999999998877</v>
      </c>
      <c r="C730" s="124">
        <f t="shared" si="276"/>
        <v>3630780.5477000829</v>
      </c>
      <c r="D730" s="124">
        <f t="shared" si="277"/>
        <v>1672.8770803524212</v>
      </c>
      <c r="E730" s="124">
        <f t="shared" si="278"/>
        <v>1</v>
      </c>
      <c r="F730" s="124">
        <f t="shared" si="279"/>
        <v>1</v>
      </c>
      <c r="G730" s="124">
        <f t="shared" si="280"/>
        <v>1671.7688115325288</v>
      </c>
      <c r="H730" s="124">
        <f t="shared" si="281"/>
        <v>1</v>
      </c>
      <c r="I730" s="124">
        <f t="shared" si="282"/>
        <v>1</v>
      </c>
      <c r="J730" s="124">
        <f t="shared" si="283"/>
        <v>8.2835898396331747E-8</v>
      </c>
      <c r="K730" s="124">
        <f t="shared" si="284"/>
        <v>0</v>
      </c>
      <c r="L730" s="124">
        <f t="shared" si="285"/>
        <v>0</v>
      </c>
      <c r="M730" s="120"/>
      <c r="N730" s="132">
        <f t="shared" si="273"/>
        <v>22812866.99090261</v>
      </c>
      <c r="O730" s="124">
        <f t="shared" si="286"/>
        <v>3384049.0120049077</v>
      </c>
      <c r="P730" s="124">
        <f t="shared" si="287"/>
        <v>1</v>
      </c>
      <c r="Q730" s="124">
        <f t="shared" si="288"/>
        <v>1</v>
      </c>
      <c r="R730" s="124">
        <f t="shared" si="289"/>
        <v>3196206.1057419293</v>
      </c>
      <c r="S730" s="124">
        <f t="shared" si="290"/>
        <v>18233.159289212766</v>
      </c>
      <c r="T730" s="124">
        <f t="shared" si="291"/>
        <v>3196258.1119927806</v>
      </c>
      <c r="U730" s="124">
        <f t="shared" si="292"/>
        <v>1</v>
      </c>
      <c r="V730" s="124">
        <f t="shared" si="293"/>
        <v>0</v>
      </c>
      <c r="W730" s="124">
        <f t="shared" si="294"/>
        <v>1</v>
      </c>
      <c r="X730" s="124">
        <f t="shared" si="295"/>
        <v>1</v>
      </c>
      <c r="Y730" s="124">
        <f t="shared" si="296"/>
        <v>0</v>
      </c>
      <c r="Z730" s="124">
        <f t="shared" si="297"/>
        <v>1</v>
      </c>
      <c r="AA730" s="124">
        <f t="shared" si="274"/>
        <v>6.1478216381758777E-4</v>
      </c>
      <c r="AB730" s="124">
        <f t="shared" si="298"/>
        <v>0</v>
      </c>
      <c r="AC730" s="124">
        <f t="shared" si="299"/>
        <v>0</v>
      </c>
    </row>
    <row r="731" spans="2:29" s="114" customFormat="1">
      <c r="B731" s="115">
        <f t="shared" si="275"/>
        <v>6.5799999999998873</v>
      </c>
      <c r="C731" s="124">
        <f t="shared" si="276"/>
        <v>3801893.9632046302</v>
      </c>
      <c r="D731" s="124">
        <f t="shared" si="277"/>
        <v>1668.7573600704745</v>
      </c>
      <c r="E731" s="124">
        <f t="shared" si="278"/>
        <v>1</v>
      </c>
      <c r="F731" s="124">
        <f t="shared" si="279"/>
        <v>1</v>
      </c>
      <c r="G731" s="124">
        <f t="shared" si="280"/>
        <v>1668.5605911579805</v>
      </c>
      <c r="H731" s="124">
        <f t="shared" si="281"/>
        <v>1</v>
      </c>
      <c r="I731" s="124">
        <f t="shared" si="282"/>
        <v>1</v>
      </c>
      <c r="J731" s="124">
        <f t="shared" si="283"/>
        <v>2.6226867166538427E-9</v>
      </c>
      <c r="K731" s="124">
        <f t="shared" si="284"/>
        <v>0</v>
      </c>
      <c r="L731" s="124">
        <f t="shared" si="285"/>
        <v>0</v>
      </c>
      <c r="M731" s="120"/>
      <c r="N731" s="132">
        <f t="shared" si="273"/>
        <v>23888004.289062098</v>
      </c>
      <c r="O731" s="124">
        <f t="shared" si="286"/>
        <v>3387472.0204360923</v>
      </c>
      <c r="P731" s="124">
        <f t="shared" si="287"/>
        <v>1</v>
      </c>
      <c r="Q731" s="124">
        <f t="shared" si="288"/>
        <v>1</v>
      </c>
      <c r="R731" s="124">
        <f t="shared" si="289"/>
        <v>3196267.5896452423</v>
      </c>
      <c r="S731" s="124">
        <f t="shared" si="290"/>
        <v>17415.073853491282</v>
      </c>
      <c r="T731" s="124">
        <f t="shared" si="291"/>
        <v>3196315.0328798834</v>
      </c>
      <c r="U731" s="124">
        <f t="shared" si="292"/>
        <v>1</v>
      </c>
      <c r="V731" s="124">
        <f t="shared" si="293"/>
        <v>0</v>
      </c>
      <c r="W731" s="124">
        <f t="shared" si="294"/>
        <v>1</v>
      </c>
      <c r="X731" s="124">
        <f t="shared" si="295"/>
        <v>1</v>
      </c>
      <c r="Y731" s="124">
        <f t="shared" si="296"/>
        <v>0</v>
      </c>
      <c r="Z731" s="124">
        <f t="shared" si="297"/>
        <v>1</v>
      </c>
      <c r="AA731" s="124">
        <f t="shared" si="274"/>
        <v>6.3635810794780126E-4</v>
      </c>
      <c r="AB731" s="124">
        <f t="shared" si="298"/>
        <v>0</v>
      </c>
      <c r="AC731" s="124">
        <f t="shared" si="299"/>
        <v>0</v>
      </c>
    </row>
    <row r="732" spans="2:29" s="114" customFormat="1">
      <c r="B732" s="115">
        <f t="shared" si="275"/>
        <v>6.5999999999998868</v>
      </c>
      <c r="C732" s="124">
        <f t="shared" si="276"/>
        <v>3981071.7055339436</v>
      </c>
      <c r="D732" s="124">
        <f t="shared" si="277"/>
        <v>1664.6904565730624</v>
      </c>
      <c r="E732" s="124">
        <f t="shared" si="278"/>
        <v>1</v>
      </c>
      <c r="F732" s="124">
        <f t="shared" si="279"/>
        <v>1</v>
      </c>
      <c r="G732" s="124">
        <f t="shared" si="280"/>
        <v>1665.472535281813</v>
      </c>
      <c r="H732" s="124">
        <f t="shared" si="281"/>
        <v>1</v>
      </c>
      <c r="I732" s="124">
        <f t="shared" si="282"/>
        <v>1</v>
      </c>
      <c r="J732" s="124">
        <f t="shared" si="283"/>
        <v>4.161008234350948E-8</v>
      </c>
      <c r="K732" s="124">
        <f t="shared" si="284"/>
        <v>0</v>
      </c>
      <c r="L732" s="124">
        <f t="shared" si="285"/>
        <v>0</v>
      </c>
      <c r="M732" s="120"/>
      <c r="N732" s="132">
        <f t="shared" si="273"/>
        <v>25013811.247039251</v>
      </c>
      <c r="O732" s="124">
        <f t="shared" si="286"/>
        <v>3390861.5624156855</v>
      </c>
      <c r="P732" s="124">
        <f t="shared" si="287"/>
        <v>1</v>
      </c>
      <c r="Q732" s="124">
        <f t="shared" si="288"/>
        <v>1</v>
      </c>
      <c r="R732" s="124">
        <f t="shared" si="289"/>
        <v>3196323.6814827379</v>
      </c>
      <c r="S732" s="124">
        <f t="shared" si="290"/>
        <v>16633.48104194189</v>
      </c>
      <c r="T732" s="124">
        <f t="shared" si="291"/>
        <v>3196366.9610197973</v>
      </c>
      <c r="U732" s="124">
        <f t="shared" si="292"/>
        <v>1</v>
      </c>
      <c r="V732" s="124">
        <f t="shared" si="293"/>
        <v>0</v>
      </c>
      <c r="W732" s="124">
        <f t="shared" si="294"/>
        <v>1</v>
      </c>
      <c r="X732" s="124">
        <f t="shared" si="295"/>
        <v>1</v>
      </c>
      <c r="Y732" s="124">
        <f t="shared" si="296"/>
        <v>0</v>
      </c>
      <c r="Z732" s="124">
        <f t="shared" si="297"/>
        <v>1</v>
      </c>
      <c r="AA732" s="124">
        <f t="shared" si="274"/>
        <v>6.5809828471089492E-4</v>
      </c>
      <c r="AB732" s="124">
        <f t="shared" si="298"/>
        <v>0</v>
      </c>
      <c r="AC732" s="124">
        <f t="shared" si="299"/>
        <v>0</v>
      </c>
    </row>
    <row r="733" spans="2:29" s="114" customFormat="1">
      <c r="B733" s="115">
        <f t="shared" si="275"/>
        <v>6.6199999999998864</v>
      </c>
      <c r="C733" s="124">
        <f t="shared" si="276"/>
        <v>4168693.8347022682</v>
      </c>
      <c r="D733" s="124">
        <f t="shared" si="277"/>
        <v>1660.6756176866102</v>
      </c>
      <c r="E733" s="124">
        <f t="shared" si="278"/>
        <v>1</v>
      </c>
      <c r="F733" s="124">
        <f t="shared" si="279"/>
        <v>1</v>
      </c>
      <c r="G733" s="124">
        <f t="shared" si="280"/>
        <v>1662.4929158631323</v>
      </c>
      <c r="H733" s="124">
        <f t="shared" si="281"/>
        <v>1</v>
      </c>
      <c r="I733" s="124">
        <f t="shared" si="282"/>
        <v>1</v>
      </c>
      <c r="J733" s="124">
        <f t="shared" si="283"/>
        <v>2.2561935234921539E-7</v>
      </c>
      <c r="K733" s="124">
        <f t="shared" si="284"/>
        <v>0</v>
      </c>
      <c r="L733" s="124">
        <f t="shared" si="285"/>
        <v>0</v>
      </c>
      <c r="M733" s="120"/>
      <c r="N733" s="132">
        <f t="shared" si="273"/>
        <v>26192675.852331419</v>
      </c>
      <c r="O733" s="124">
        <f t="shared" si="286"/>
        <v>3394217.9194012587</v>
      </c>
      <c r="P733" s="124">
        <f t="shared" si="287"/>
        <v>1</v>
      </c>
      <c r="Q733" s="124">
        <f t="shared" si="288"/>
        <v>1</v>
      </c>
      <c r="R733" s="124">
        <f t="shared" si="289"/>
        <v>3196374.8527014148</v>
      </c>
      <c r="S733" s="124">
        <f t="shared" si="290"/>
        <v>15886.78050119571</v>
      </c>
      <c r="T733" s="124">
        <f t="shared" si="291"/>
        <v>3196414.3330889829</v>
      </c>
      <c r="U733" s="124">
        <f t="shared" si="292"/>
        <v>1</v>
      </c>
      <c r="V733" s="124">
        <f t="shared" si="293"/>
        <v>0</v>
      </c>
      <c r="W733" s="124">
        <f t="shared" si="294"/>
        <v>1</v>
      </c>
      <c r="X733" s="124">
        <f t="shared" si="295"/>
        <v>1</v>
      </c>
      <c r="Y733" s="124">
        <f t="shared" si="296"/>
        <v>0</v>
      </c>
      <c r="Z733" s="124">
        <f t="shared" si="297"/>
        <v>1</v>
      </c>
      <c r="AA733" s="124">
        <f t="shared" si="274"/>
        <v>6.7999180638787164E-4</v>
      </c>
      <c r="AB733" s="124">
        <f t="shared" si="298"/>
        <v>0</v>
      </c>
      <c r="AC733" s="124">
        <f t="shared" si="299"/>
        <v>0</v>
      </c>
    </row>
    <row r="734" spans="2:29" s="114" customFormat="1">
      <c r="B734" s="115">
        <f t="shared" si="275"/>
        <v>6.639999999999886</v>
      </c>
      <c r="C734" s="124">
        <f t="shared" si="276"/>
        <v>4365158.3224005224</v>
      </c>
      <c r="D734" s="124">
        <f t="shared" si="277"/>
        <v>1656.7121035063417</v>
      </c>
      <c r="E734" s="124">
        <f t="shared" si="278"/>
        <v>1</v>
      </c>
      <c r="F734" s="124">
        <f t="shared" si="279"/>
        <v>1</v>
      </c>
      <c r="G734" s="124">
        <f t="shared" si="280"/>
        <v>1659.6095852515689</v>
      </c>
      <c r="H734" s="124">
        <f t="shared" si="281"/>
        <v>1</v>
      </c>
      <c r="I734" s="124">
        <f t="shared" si="282"/>
        <v>1</v>
      </c>
      <c r="J734" s="124">
        <f t="shared" si="283"/>
        <v>5.7591308963927335E-7</v>
      </c>
      <c r="K734" s="124">
        <f t="shared" si="284"/>
        <v>0</v>
      </c>
      <c r="L734" s="124">
        <f t="shared" si="285"/>
        <v>0</v>
      </c>
      <c r="M734" s="120"/>
      <c r="N734" s="132">
        <f t="shared" si="273"/>
        <v>27427098.634819653</v>
      </c>
      <c r="O734" s="124">
        <f t="shared" si="286"/>
        <v>3397541.3714737869</v>
      </c>
      <c r="P734" s="124">
        <f t="shared" si="287"/>
        <v>1</v>
      </c>
      <c r="Q734" s="124">
        <f t="shared" si="288"/>
        <v>1</v>
      </c>
      <c r="R734" s="124">
        <f t="shared" si="289"/>
        <v>3196421.533768483</v>
      </c>
      <c r="S734" s="124">
        <f t="shared" si="290"/>
        <v>15173.438505175825</v>
      </c>
      <c r="T734" s="124">
        <f t="shared" si="291"/>
        <v>3196457.5477823778</v>
      </c>
      <c r="U734" s="124">
        <f t="shared" si="292"/>
        <v>1</v>
      </c>
      <c r="V734" s="124">
        <f t="shared" si="293"/>
        <v>0</v>
      </c>
      <c r="W734" s="124">
        <f t="shared" si="294"/>
        <v>1</v>
      </c>
      <c r="X734" s="124">
        <f t="shared" si="295"/>
        <v>1</v>
      </c>
      <c r="Y734" s="124">
        <f t="shared" si="296"/>
        <v>0</v>
      </c>
      <c r="Z734" s="124">
        <f t="shared" si="297"/>
        <v>1</v>
      </c>
      <c r="AA734" s="124">
        <f t="shared" si="274"/>
        <v>7.0202809894022813E-4</v>
      </c>
      <c r="AB734" s="124">
        <f t="shared" si="298"/>
        <v>0</v>
      </c>
      <c r="AC734" s="124">
        <f t="shared" si="299"/>
        <v>0</v>
      </c>
    </row>
    <row r="735" spans="2:29" s="114" customFormat="1">
      <c r="B735" s="115">
        <f t="shared" si="275"/>
        <v>6.6599999999998856</v>
      </c>
      <c r="C735" s="124">
        <f t="shared" si="276"/>
        <v>4570881.8961475501</v>
      </c>
      <c r="D735" s="124">
        <f t="shared" si="277"/>
        <v>1652.7991861656249</v>
      </c>
      <c r="E735" s="124">
        <f t="shared" si="278"/>
        <v>1</v>
      </c>
      <c r="F735" s="124">
        <f t="shared" si="279"/>
        <v>1</v>
      </c>
      <c r="G735" s="124">
        <f t="shared" si="280"/>
        <v>1656.8102129689105</v>
      </c>
      <c r="H735" s="124">
        <f t="shared" si="281"/>
        <v>1</v>
      </c>
      <c r="I735" s="124">
        <f t="shared" si="282"/>
        <v>1</v>
      </c>
      <c r="J735" s="124">
        <f t="shared" si="283"/>
        <v>1.1081197232805395E-6</v>
      </c>
      <c r="K735" s="124">
        <f t="shared" si="284"/>
        <v>0</v>
      </c>
      <c r="L735" s="124">
        <f t="shared" si="285"/>
        <v>0</v>
      </c>
      <c r="M735" s="120"/>
      <c r="N735" s="132">
        <f t="shared" si="273"/>
        <v>28719697.970727455</v>
      </c>
      <c r="O735" s="124">
        <f t="shared" si="286"/>
        <v>3400832.1973207672</v>
      </c>
      <c r="P735" s="124">
        <f t="shared" si="287"/>
        <v>1</v>
      </c>
      <c r="Q735" s="124">
        <f t="shared" si="288"/>
        <v>1</v>
      </c>
      <c r="R735" s="124">
        <f t="shared" si="289"/>
        <v>3196464.1176930121</v>
      </c>
      <c r="S735" s="124">
        <f t="shared" si="290"/>
        <v>14491.985647071031</v>
      </c>
      <c r="T735" s="124">
        <f t="shared" si="291"/>
        <v>3196496.96908146</v>
      </c>
      <c r="U735" s="124">
        <f t="shared" si="292"/>
        <v>1</v>
      </c>
      <c r="V735" s="124">
        <f t="shared" si="293"/>
        <v>0</v>
      </c>
      <c r="W735" s="124">
        <f t="shared" si="294"/>
        <v>1</v>
      </c>
      <c r="X735" s="124">
        <f t="shared" si="295"/>
        <v>1</v>
      </c>
      <c r="Y735" s="124">
        <f t="shared" si="296"/>
        <v>0</v>
      </c>
      <c r="Z735" s="124">
        <f t="shared" si="297"/>
        <v>1</v>
      </c>
      <c r="AA735" s="124">
        <f t="shared" si="274"/>
        <v>7.2419689845202814E-4</v>
      </c>
      <c r="AB735" s="124">
        <f t="shared" si="298"/>
        <v>0</v>
      </c>
      <c r="AC735" s="124">
        <f t="shared" si="299"/>
        <v>0</v>
      </c>
    </row>
    <row r="736" spans="2:29" s="114" customFormat="1">
      <c r="B736" s="115">
        <f t="shared" si="275"/>
        <v>6.6799999999998851</v>
      </c>
      <c r="C736" s="124">
        <f t="shared" si="276"/>
        <v>4786300.9232251262</v>
      </c>
      <c r="D736" s="124">
        <f t="shared" si="277"/>
        <v>1648.9361496102201</v>
      </c>
      <c r="E736" s="124">
        <f t="shared" si="278"/>
        <v>1</v>
      </c>
      <c r="F736" s="124">
        <f t="shared" si="279"/>
        <v>1</v>
      </c>
      <c r="G736" s="124">
        <f t="shared" si="280"/>
        <v>1654.0825230981684</v>
      </c>
      <c r="H736" s="124">
        <f t="shared" si="281"/>
        <v>1</v>
      </c>
      <c r="I736" s="124">
        <f t="shared" si="282"/>
        <v>1</v>
      </c>
      <c r="J736" s="124">
        <f t="shared" si="283"/>
        <v>1.8315123911647182E-6</v>
      </c>
      <c r="K736" s="124">
        <f t="shared" si="284"/>
        <v>0</v>
      </c>
      <c r="L736" s="124">
        <f t="shared" si="285"/>
        <v>0</v>
      </c>
      <c r="M736" s="120"/>
      <c r="N736" s="132">
        <f t="shared" si="273"/>
        <v>30073215.636548202</v>
      </c>
      <c r="O736" s="124">
        <f t="shared" si="286"/>
        <v>3404090.674220203</v>
      </c>
      <c r="P736" s="124">
        <f t="shared" si="287"/>
        <v>1</v>
      </c>
      <c r="Q736" s="124">
        <f t="shared" si="288"/>
        <v>1</v>
      </c>
      <c r="R736" s="124">
        <f t="shared" si="289"/>
        <v>3196502.9632517709</v>
      </c>
      <c r="S736" s="124">
        <f t="shared" si="290"/>
        <v>13841.014547324403</v>
      </c>
      <c r="T736" s="124">
        <f t="shared" si="291"/>
        <v>3196532.9292471008</v>
      </c>
      <c r="U736" s="124">
        <f t="shared" si="292"/>
        <v>1</v>
      </c>
      <c r="V736" s="124">
        <f t="shared" si="293"/>
        <v>0</v>
      </c>
      <c r="W736" s="124">
        <f t="shared" si="294"/>
        <v>1</v>
      </c>
      <c r="X736" s="124">
        <f t="shared" si="295"/>
        <v>1</v>
      </c>
      <c r="Y736" s="124">
        <f t="shared" si="296"/>
        <v>0</v>
      </c>
      <c r="Z736" s="124">
        <f t="shared" si="297"/>
        <v>1</v>
      </c>
      <c r="AA736" s="124">
        <f t="shared" si="274"/>
        <v>7.4648824688295962E-4</v>
      </c>
      <c r="AB736" s="124">
        <f t="shared" si="298"/>
        <v>0</v>
      </c>
      <c r="AC736" s="124">
        <f t="shared" si="299"/>
        <v>0</v>
      </c>
    </row>
    <row r="737" spans="2:29" s="114" customFormat="1">
      <c r="B737" s="115">
        <f t="shared" si="275"/>
        <v>6.6999999999998847</v>
      </c>
      <c r="C737" s="124">
        <f t="shared" si="276"/>
        <v>5011872.3362713959</v>
      </c>
      <c r="D737" s="124">
        <f t="shared" si="277"/>
        <v>1645.1222893773099</v>
      </c>
      <c r="E737" s="124">
        <f t="shared" si="278"/>
        <v>1</v>
      </c>
      <c r="F737" s="124">
        <f t="shared" si="279"/>
        <v>1</v>
      </c>
      <c r="G737" s="124">
        <f t="shared" si="280"/>
        <v>1651.414525429193</v>
      </c>
      <c r="H737" s="124">
        <f t="shared" si="281"/>
        <v>1</v>
      </c>
      <c r="I737" s="124">
        <f t="shared" si="282"/>
        <v>1</v>
      </c>
      <c r="J737" s="124">
        <f t="shared" si="283"/>
        <v>2.7486777177911868E-6</v>
      </c>
      <c r="K737" s="124">
        <f t="shared" si="284"/>
        <v>0</v>
      </c>
      <c r="L737" s="124">
        <f t="shared" si="285"/>
        <v>0</v>
      </c>
      <c r="M737" s="120"/>
      <c r="N737" s="132">
        <f t="shared" si="273"/>
        <v>31490522.624720261</v>
      </c>
      <c r="O737" s="124">
        <f t="shared" si="286"/>
        <v>3407317.078025159</v>
      </c>
      <c r="P737" s="124">
        <f t="shared" si="287"/>
        <v>1</v>
      </c>
      <c r="Q737" s="124">
        <f t="shared" si="288"/>
        <v>1</v>
      </c>
      <c r="R737" s="124">
        <f t="shared" si="289"/>
        <v>3196538.3979429402</v>
      </c>
      <c r="S737" s="124">
        <f t="shared" si="290"/>
        <v>13219.17758799637</v>
      </c>
      <c r="T737" s="124">
        <f t="shared" si="291"/>
        <v>3196565.7315593748</v>
      </c>
      <c r="U737" s="124">
        <f t="shared" si="292"/>
        <v>1</v>
      </c>
      <c r="V737" s="124">
        <f t="shared" si="293"/>
        <v>0</v>
      </c>
      <c r="W737" s="124">
        <f t="shared" si="294"/>
        <v>1</v>
      </c>
      <c r="X737" s="124">
        <f t="shared" si="295"/>
        <v>1</v>
      </c>
      <c r="Y737" s="124">
        <f t="shared" si="296"/>
        <v>0</v>
      </c>
      <c r="Z737" s="124">
        <f t="shared" si="297"/>
        <v>1</v>
      </c>
      <c r="AA737" s="124">
        <f t="shared" si="274"/>
        <v>7.6889248724941982E-4</v>
      </c>
      <c r="AB737" s="124">
        <f t="shared" si="298"/>
        <v>0</v>
      </c>
      <c r="AC737" s="124">
        <f t="shared" si="299"/>
        <v>0</v>
      </c>
    </row>
    <row r="738" spans="2:29" s="114" customFormat="1">
      <c r="B738" s="115">
        <f t="shared" si="275"/>
        <v>6.7199999999998843</v>
      </c>
      <c r="C738" s="124">
        <f t="shared" si="276"/>
        <v>5248074.6024963353</v>
      </c>
      <c r="D738" s="124">
        <f t="shared" si="277"/>
        <v>1641.356912379207</v>
      </c>
      <c r="E738" s="124">
        <f t="shared" si="278"/>
        <v>1</v>
      </c>
      <c r="F738" s="124">
        <f t="shared" si="279"/>
        <v>1</v>
      </c>
      <c r="G738" s="124">
        <f t="shared" si="280"/>
        <v>1648.7947336724874</v>
      </c>
      <c r="H738" s="124">
        <f t="shared" si="281"/>
        <v>1</v>
      </c>
      <c r="I738" s="124">
        <f t="shared" si="282"/>
        <v>1</v>
      </c>
      <c r="J738" s="124">
        <f t="shared" si="283"/>
        <v>3.8555802025670978E-6</v>
      </c>
      <c r="K738" s="124">
        <f t="shared" si="284"/>
        <v>0</v>
      </c>
      <c r="L738" s="124">
        <f t="shared" si="285"/>
        <v>0</v>
      </c>
      <c r="M738" s="120"/>
      <c r="N738" s="132">
        <f t="shared" si="273"/>
        <v>32974625.233387321</v>
      </c>
      <c r="O738" s="124">
        <f t="shared" si="286"/>
        <v>3410511.6831490896</v>
      </c>
      <c r="P738" s="124">
        <f t="shared" si="287"/>
        <v>1</v>
      </c>
      <c r="Q738" s="124">
        <f t="shared" si="288"/>
        <v>1</v>
      </c>
      <c r="R738" s="124">
        <f t="shared" si="289"/>
        <v>3196570.7206896981</v>
      </c>
      <c r="S738" s="124">
        <f t="shared" si="290"/>
        <v>12625.184682016872</v>
      </c>
      <c r="T738" s="124">
        <f t="shared" si="291"/>
        <v>3196595.6528248787</v>
      </c>
      <c r="U738" s="124">
        <f t="shared" si="292"/>
        <v>1</v>
      </c>
      <c r="V738" s="124">
        <f t="shared" si="293"/>
        <v>0</v>
      </c>
      <c r="W738" s="124">
        <f t="shared" si="294"/>
        <v>1</v>
      </c>
      <c r="X738" s="124">
        <f t="shared" si="295"/>
        <v>1</v>
      </c>
      <c r="Y738" s="124">
        <f t="shared" si="296"/>
        <v>0</v>
      </c>
      <c r="Z738" s="124">
        <f t="shared" si="297"/>
        <v>1</v>
      </c>
      <c r="AA738" s="124">
        <f t="shared" si="274"/>
        <v>7.9140025834174811E-4</v>
      </c>
      <c r="AB738" s="124">
        <f t="shared" si="298"/>
        <v>0</v>
      </c>
      <c r="AC738" s="124">
        <f t="shared" si="299"/>
        <v>0</v>
      </c>
    </row>
    <row r="739" spans="2:29" s="114" customFormat="1">
      <c r="B739" s="115">
        <f t="shared" si="275"/>
        <v>6.7399999999998839</v>
      </c>
      <c r="C739" s="124">
        <f t="shared" si="276"/>
        <v>5495408.7385747889</v>
      </c>
      <c r="D739" s="124">
        <f t="shared" si="277"/>
        <v>1637.6393366916343</v>
      </c>
      <c r="E739" s="124">
        <f t="shared" si="278"/>
        <v>1</v>
      </c>
      <c r="F739" s="124">
        <f t="shared" si="279"/>
        <v>1</v>
      </c>
      <c r="G739" s="124">
        <f t="shared" si="280"/>
        <v>1646.2123645383413</v>
      </c>
      <c r="H739" s="124">
        <f t="shared" si="281"/>
        <v>1</v>
      </c>
      <c r="I739" s="124">
        <f t="shared" si="282"/>
        <v>1</v>
      </c>
      <c r="J739" s="124">
        <f t="shared" si="283"/>
        <v>5.1419989513014397E-6</v>
      </c>
      <c r="K739" s="124">
        <f t="shared" si="284"/>
        <v>0</v>
      </c>
      <c r="L739" s="124">
        <f t="shared" si="285"/>
        <v>0</v>
      </c>
      <c r="M739" s="120"/>
      <c r="N739" s="132">
        <f t="shared" si="273"/>
        <v>34528671.443159416</v>
      </c>
      <c r="O739" s="124">
        <f t="shared" si="286"/>
        <v>3413674.7625517994</v>
      </c>
      <c r="P739" s="124">
        <f t="shared" si="287"/>
        <v>1</v>
      </c>
      <c r="Q739" s="124">
        <f t="shared" si="288"/>
        <v>1</v>
      </c>
      <c r="R739" s="124">
        <f t="shared" si="289"/>
        <v>3196600.2043140507</v>
      </c>
      <c r="S739" s="124">
        <f t="shared" si="290"/>
        <v>12057.801084249515</v>
      </c>
      <c r="T739" s="124">
        <f t="shared" si="291"/>
        <v>3196622.9456705744</v>
      </c>
      <c r="U739" s="124">
        <f t="shared" si="292"/>
        <v>1</v>
      </c>
      <c r="V739" s="124">
        <f t="shared" si="293"/>
        <v>0</v>
      </c>
      <c r="W739" s="124">
        <f t="shared" si="294"/>
        <v>1</v>
      </c>
      <c r="X739" s="124">
        <f t="shared" si="295"/>
        <v>1</v>
      </c>
      <c r="Y739" s="124">
        <f t="shared" si="296"/>
        <v>0</v>
      </c>
      <c r="Z739" s="124">
        <f t="shared" si="297"/>
        <v>1</v>
      </c>
      <c r="AA739" s="124">
        <f t="shared" si="274"/>
        <v>8.140024890682969E-4</v>
      </c>
      <c r="AB739" s="124">
        <f t="shared" si="298"/>
        <v>0</v>
      </c>
      <c r="AC739" s="124">
        <f t="shared" si="299"/>
        <v>0</v>
      </c>
    </row>
    <row r="740" spans="2:29" s="114" customFormat="1">
      <c r="B740" s="115">
        <f t="shared" si="275"/>
        <v>6.7599999999998834</v>
      </c>
      <c r="C740" s="124">
        <f t="shared" si="276"/>
        <v>5754399.3733700328</v>
      </c>
      <c r="D740" s="124">
        <f t="shared" si="277"/>
        <v>1633.968891346457</v>
      </c>
      <c r="E740" s="124">
        <f t="shared" si="278"/>
        <v>1</v>
      </c>
      <c r="F740" s="124">
        <f t="shared" si="279"/>
        <v>1</v>
      </c>
      <c r="G740" s="124">
        <f t="shared" si="280"/>
        <v>1643.6575122745091</v>
      </c>
      <c r="H740" s="124">
        <f t="shared" si="281"/>
        <v>1</v>
      </c>
      <c r="I740" s="124">
        <f t="shared" si="282"/>
        <v>1</v>
      </c>
      <c r="J740" s="124">
        <f t="shared" si="283"/>
        <v>6.5922880151232804E-6</v>
      </c>
      <c r="K740" s="124">
        <f t="shared" si="284"/>
        <v>0</v>
      </c>
      <c r="L740" s="124">
        <f t="shared" si="285"/>
        <v>0</v>
      </c>
      <c r="M740" s="120"/>
      <c r="N740" s="132">
        <f t="shared" si="273"/>
        <v>36155957.594402008</v>
      </c>
      <c r="O740" s="124">
        <f t="shared" si="286"/>
        <v>3416806.5877260496</v>
      </c>
      <c r="P740" s="124">
        <f t="shared" si="287"/>
        <v>1</v>
      </c>
      <c r="Q740" s="124">
        <f t="shared" si="288"/>
        <v>1</v>
      </c>
      <c r="R740" s="124">
        <f t="shared" si="289"/>
        <v>3196627.0977997645</v>
      </c>
      <c r="S740" s="124">
        <f t="shared" si="290"/>
        <v>11515.845249915297</v>
      </c>
      <c r="T740" s="124">
        <f t="shared" si="291"/>
        <v>3196647.84064175</v>
      </c>
      <c r="U740" s="124">
        <f t="shared" si="292"/>
        <v>1</v>
      </c>
      <c r="V740" s="124">
        <f t="shared" si="293"/>
        <v>0</v>
      </c>
      <c r="W740" s="124">
        <f t="shared" si="294"/>
        <v>1</v>
      </c>
      <c r="X740" s="124">
        <f t="shared" si="295"/>
        <v>1</v>
      </c>
      <c r="Y740" s="124">
        <f t="shared" si="296"/>
        <v>0</v>
      </c>
      <c r="Z740" s="124">
        <f t="shared" si="297"/>
        <v>1</v>
      </c>
      <c r="AA740" s="124">
        <f t="shared" si="274"/>
        <v>8.3669039250804024E-4</v>
      </c>
      <c r="AB740" s="124">
        <f t="shared" si="298"/>
        <v>0</v>
      </c>
      <c r="AC740" s="124">
        <f t="shared" si="299"/>
        <v>0</v>
      </c>
    </row>
    <row r="741" spans="2:29" s="114" customFormat="1">
      <c r="B741" s="115">
        <f t="shared" si="275"/>
        <v>6.779999999999883</v>
      </c>
      <c r="C741" s="124">
        <f t="shared" si="276"/>
        <v>6025595.8607419673</v>
      </c>
      <c r="D741" s="124">
        <f t="shared" si="277"/>
        <v>1630.3449161287836</v>
      </c>
      <c r="E741" s="124">
        <f t="shared" si="278"/>
        <v>1</v>
      </c>
      <c r="F741" s="124">
        <f t="shared" si="279"/>
        <v>1</v>
      </c>
      <c r="G741" s="124">
        <f t="shared" si="280"/>
        <v>1641.1212943270691</v>
      </c>
      <c r="H741" s="124">
        <f t="shared" si="281"/>
        <v>1</v>
      </c>
      <c r="I741" s="124">
        <f t="shared" si="282"/>
        <v>1</v>
      </c>
      <c r="J741" s="124">
        <f t="shared" si="283"/>
        <v>8.1863918117142844E-6</v>
      </c>
      <c r="K741" s="124">
        <f t="shared" si="284"/>
        <v>0</v>
      </c>
      <c r="L741" s="124">
        <f t="shared" si="285"/>
        <v>0</v>
      </c>
      <c r="M741" s="120"/>
      <c r="N741" s="132">
        <f t="shared" si="273"/>
        <v>37859935.37921606</v>
      </c>
      <c r="O741" s="124">
        <f t="shared" si="286"/>
        <v>3419907.4286848404</v>
      </c>
      <c r="P741" s="124">
        <f t="shared" si="287"/>
        <v>1</v>
      </c>
      <c r="Q741" s="124">
        <f t="shared" si="288"/>
        <v>1</v>
      </c>
      <c r="R741" s="124">
        <f t="shared" si="289"/>
        <v>3196651.6283618296</v>
      </c>
      <c r="S741" s="124">
        <f t="shared" si="290"/>
        <v>10998.186744742512</v>
      </c>
      <c r="T741" s="124">
        <f t="shared" si="291"/>
        <v>3196670.5481203422</v>
      </c>
      <c r="U741" s="124">
        <f t="shared" si="292"/>
        <v>1</v>
      </c>
      <c r="V741" s="124">
        <f t="shared" si="293"/>
        <v>0</v>
      </c>
      <c r="W741" s="124">
        <f t="shared" si="294"/>
        <v>1</v>
      </c>
      <c r="X741" s="124">
        <f t="shared" si="295"/>
        <v>1</v>
      </c>
      <c r="Y741" s="124">
        <f t="shared" si="296"/>
        <v>0</v>
      </c>
      <c r="Z741" s="124">
        <f t="shared" si="297"/>
        <v>1</v>
      </c>
      <c r="AA741" s="124">
        <f t="shared" si="274"/>
        <v>8.5945545974217778E-4</v>
      </c>
      <c r="AB741" s="124">
        <f t="shared" si="298"/>
        <v>0</v>
      </c>
      <c r="AC741" s="124">
        <f t="shared" si="299"/>
        <v>0</v>
      </c>
    </row>
    <row r="742" spans="2:29" s="114" customFormat="1">
      <c r="B742" s="115">
        <f t="shared" si="275"/>
        <v>6.7999999999998826</v>
      </c>
      <c r="C742" s="124">
        <f t="shared" si="276"/>
        <v>6309573.4448002335</v>
      </c>
      <c r="D742" s="124">
        <f t="shared" si="277"/>
        <v>1626.7667613783124</v>
      </c>
      <c r="E742" s="124">
        <f t="shared" si="278"/>
        <v>1</v>
      </c>
      <c r="F742" s="124">
        <f t="shared" si="279"/>
        <v>1</v>
      </c>
      <c r="G742" s="124">
        <f t="shared" si="280"/>
        <v>1638.5959650782902</v>
      </c>
      <c r="H742" s="124">
        <f t="shared" si="281"/>
        <v>1</v>
      </c>
      <c r="I742" s="124">
        <f t="shared" si="282"/>
        <v>1</v>
      </c>
      <c r="J742" s="124">
        <f t="shared" si="283"/>
        <v>9.9010344675232677E-6</v>
      </c>
      <c r="K742" s="124">
        <f t="shared" si="284"/>
        <v>0</v>
      </c>
      <c r="L742" s="124">
        <f t="shared" si="285"/>
        <v>0</v>
      </c>
      <c r="M742" s="120"/>
      <c r="N742" s="132">
        <f t="shared" si="273"/>
        <v>39644219.162939318</v>
      </c>
      <c r="O742" s="124">
        <f t="shared" si="286"/>
        <v>3422977.5539492671</v>
      </c>
      <c r="P742" s="124">
        <f t="shared" si="287"/>
        <v>1</v>
      </c>
      <c r="Q742" s="124">
        <f t="shared" si="288"/>
        <v>1</v>
      </c>
      <c r="R742" s="124">
        <f t="shared" si="289"/>
        <v>3196674.0033385386</v>
      </c>
      <c r="S742" s="124">
        <f t="shared" si="290"/>
        <v>10503.744210195473</v>
      </c>
      <c r="T742" s="124">
        <f t="shared" si="291"/>
        <v>3196691.2600785946</v>
      </c>
      <c r="U742" s="124">
        <f t="shared" si="292"/>
        <v>1</v>
      </c>
      <c r="V742" s="124">
        <f t="shared" si="293"/>
        <v>0</v>
      </c>
      <c r="W742" s="124">
        <f t="shared" si="294"/>
        <v>1</v>
      </c>
      <c r="X742" s="124">
        <f t="shared" si="295"/>
        <v>1</v>
      </c>
      <c r="Y742" s="124">
        <f t="shared" si="296"/>
        <v>0</v>
      </c>
      <c r="Z742" s="124">
        <f t="shared" si="297"/>
        <v>1</v>
      </c>
      <c r="AA742" s="124">
        <f t="shared" si="274"/>
        <v>8.8228945352423799E-4</v>
      </c>
      <c r="AB742" s="124">
        <f t="shared" si="298"/>
        <v>0</v>
      </c>
      <c r="AC742" s="124">
        <f t="shared" si="299"/>
        <v>0</v>
      </c>
    </row>
    <row r="743" spans="2:29" s="114" customFormat="1">
      <c r="B743" s="115">
        <f t="shared" si="275"/>
        <v>6.8199999999998822</v>
      </c>
      <c r="C743" s="124">
        <f t="shared" si="276"/>
        <v>6606934.4800741803</v>
      </c>
      <c r="D743" s="124">
        <f t="shared" si="277"/>
        <v>1623.2337877948457</v>
      </c>
      <c r="E743" s="124">
        <f t="shared" si="278"/>
        <v>1</v>
      </c>
      <c r="F743" s="124">
        <f t="shared" si="279"/>
        <v>1</v>
      </c>
      <c r="G743" s="124">
        <f t="shared" si="280"/>
        <v>1636.0749960454714</v>
      </c>
      <c r="H743" s="124">
        <f t="shared" si="281"/>
        <v>1</v>
      </c>
      <c r="I743" s="124">
        <f t="shared" si="282"/>
        <v>1</v>
      </c>
      <c r="J743" s="124">
        <f t="shared" si="283"/>
        <v>1.1710997070449067E-5</v>
      </c>
      <c r="K743" s="124">
        <f t="shared" si="284"/>
        <v>0</v>
      </c>
      <c r="L743" s="124">
        <f t="shared" si="285"/>
        <v>0</v>
      </c>
      <c r="M743" s="120"/>
      <c r="N743" s="132">
        <f t="shared" si="273"/>
        <v>41512593.650700286</v>
      </c>
      <c r="O743" s="124">
        <f t="shared" si="286"/>
        <v>3426017.2305370257</v>
      </c>
      <c r="P743" s="124">
        <f t="shared" si="287"/>
        <v>1</v>
      </c>
      <c r="Q743" s="124">
        <f t="shared" si="288"/>
        <v>1</v>
      </c>
      <c r="R743" s="124">
        <f t="shared" si="289"/>
        <v>3196694.4119209815</v>
      </c>
      <c r="S743" s="124">
        <f t="shared" si="290"/>
        <v>10031.483386267053</v>
      </c>
      <c r="T743" s="124">
        <f t="shared" si="291"/>
        <v>3196710.1516818441</v>
      </c>
      <c r="U743" s="124">
        <f t="shared" si="292"/>
        <v>1</v>
      </c>
      <c r="V743" s="124">
        <f t="shared" si="293"/>
        <v>0</v>
      </c>
      <c r="W743" s="124">
        <f t="shared" si="294"/>
        <v>1</v>
      </c>
      <c r="X743" s="124">
        <f t="shared" si="295"/>
        <v>1</v>
      </c>
      <c r="Y743" s="124">
        <f t="shared" si="296"/>
        <v>0</v>
      </c>
      <c r="Z743" s="124">
        <f t="shared" si="297"/>
        <v>1</v>
      </c>
      <c r="AA743" s="124">
        <f t="shared" si="274"/>
        <v>9.0518440184284964E-4</v>
      </c>
      <c r="AB743" s="124">
        <f t="shared" si="298"/>
        <v>0</v>
      </c>
      <c r="AC743" s="124">
        <f t="shared" si="299"/>
        <v>0</v>
      </c>
    </row>
    <row r="744" spans="2:29" s="114" customFormat="1">
      <c r="B744" s="115">
        <f t="shared" si="275"/>
        <v>6.8399999999998817</v>
      </c>
      <c r="C744" s="124">
        <f t="shared" si="276"/>
        <v>6918309.7091874871</v>
      </c>
      <c r="D744" s="124">
        <f t="shared" si="277"/>
        <v>1619.7453662478624</v>
      </c>
      <c r="E744" s="124">
        <f t="shared" si="278"/>
        <v>1</v>
      </c>
      <c r="F744" s="124">
        <f t="shared" si="279"/>
        <v>1</v>
      </c>
      <c r="G744" s="124">
        <f t="shared" si="280"/>
        <v>1633.5531224048982</v>
      </c>
      <c r="H744" s="124">
        <f t="shared" si="281"/>
        <v>1</v>
      </c>
      <c r="I744" s="124">
        <f t="shared" si="282"/>
        <v>1</v>
      </c>
      <c r="J744" s="124">
        <f t="shared" si="283"/>
        <v>1.3590399529570345E-5</v>
      </c>
      <c r="K744" s="124">
        <f t="shared" si="284"/>
        <v>0</v>
      </c>
      <c r="L744" s="124">
        <f t="shared" si="285"/>
        <v>0</v>
      </c>
      <c r="M744" s="120"/>
      <c r="N744" s="132">
        <f t="shared" si="273"/>
        <v>43469021.915284693</v>
      </c>
      <c r="O744" s="124">
        <f t="shared" si="286"/>
        <v>3429026.7239515567</v>
      </c>
      <c r="P744" s="124">
        <f t="shared" si="287"/>
        <v>1</v>
      </c>
      <c r="Q744" s="124">
        <f t="shared" si="288"/>
        <v>1</v>
      </c>
      <c r="R744" s="124">
        <f t="shared" si="289"/>
        <v>3196713.0267336387</v>
      </c>
      <c r="S744" s="124">
        <f t="shared" si="290"/>
        <v>9580.4151935820082</v>
      </c>
      <c r="T744" s="124">
        <f t="shared" si="291"/>
        <v>3196727.3827531529</v>
      </c>
      <c r="U744" s="124">
        <f t="shared" si="292"/>
        <v>1</v>
      </c>
      <c r="V744" s="124">
        <f t="shared" si="293"/>
        <v>0</v>
      </c>
      <c r="W744" s="124">
        <f t="shared" si="294"/>
        <v>1</v>
      </c>
      <c r="X744" s="124">
        <f t="shared" si="295"/>
        <v>1</v>
      </c>
      <c r="Y744" s="124">
        <f t="shared" si="296"/>
        <v>0</v>
      </c>
      <c r="Z744" s="124">
        <f t="shared" si="297"/>
        <v>1</v>
      </c>
      <c r="AA744" s="124">
        <f t="shared" si="274"/>
        <v>9.2813259142124739E-4</v>
      </c>
      <c r="AB744" s="124">
        <f t="shared" si="298"/>
        <v>0</v>
      </c>
      <c r="AC744" s="124">
        <f t="shared" si="299"/>
        <v>0</v>
      </c>
    </row>
    <row r="745" spans="2:29" s="114" customFormat="1">
      <c r="B745" s="115">
        <f t="shared" si="275"/>
        <v>6.8599999999998813</v>
      </c>
      <c r="C745" s="124">
        <f t="shared" si="276"/>
        <v>7244359.6007479327</v>
      </c>
      <c r="D745" s="124">
        <f t="shared" si="277"/>
        <v>1616.3008775900578</v>
      </c>
      <c r="E745" s="124">
        <f t="shared" si="278"/>
        <v>1</v>
      </c>
      <c r="F745" s="124">
        <f t="shared" si="279"/>
        <v>1</v>
      </c>
      <c r="G745" s="124">
        <f t="shared" si="280"/>
        <v>1631.0263571374267</v>
      </c>
      <c r="H745" s="124">
        <f t="shared" si="281"/>
        <v>1</v>
      </c>
      <c r="I745" s="124">
        <f t="shared" si="282"/>
        <v>1</v>
      </c>
      <c r="J745" s="124">
        <f t="shared" si="283"/>
        <v>1.5513912994290798E-5</v>
      </c>
      <c r="K745" s="124">
        <f t="shared" si="284"/>
        <v>0</v>
      </c>
      <c r="L745" s="124">
        <f t="shared" si="285"/>
        <v>0</v>
      </c>
      <c r="M745" s="120"/>
      <c r="N745" s="132">
        <f t="shared" si="273"/>
        <v>45517653.803344786</v>
      </c>
      <c r="O745" s="124">
        <f t="shared" si="286"/>
        <v>3432006.2981716678</v>
      </c>
      <c r="P745" s="124">
        <f t="shared" si="287"/>
        <v>1</v>
      </c>
      <c r="Q745" s="124">
        <f t="shared" si="288"/>
        <v>1</v>
      </c>
      <c r="R745" s="124">
        <f t="shared" si="289"/>
        <v>3196730.0052786013</v>
      </c>
      <c r="S745" s="124">
        <f t="shared" si="290"/>
        <v>9149.5938759293349</v>
      </c>
      <c r="T745" s="124">
        <f t="shared" si="291"/>
        <v>3196743.0991114406</v>
      </c>
      <c r="U745" s="124">
        <f t="shared" si="292"/>
        <v>1</v>
      </c>
      <c r="V745" s="124">
        <f t="shared" si="293"/>
        <v>0</v>
      </c>
      <c r="W745" s="124">
        <f t="shared" si="294"/>
        <v>1</v>
      </c>
      <c r="X745" s="124">
        <f t="shared" si="295"/>
        <v>1</v>
      </c>
      <c r="Y745" s="124">
        <f t="shared" si="296"/>
        <v>0</v>
      </c>
      <c r="Z745" s="124">
        <f t="shared" si="297"/>
        <v>1</v>
      </c>
      <c r="AA745" s="124">
        <f t="shared" si="274"/>
        <v>9.5112656119211996E-4</v>
      </c>
      <c r="AB745" s="124">
        <f t="shared" si="298"/>
        <v>0</v>
      </c>
      <c r="AC745" s="124">
        <f t="shared" si="299"/>
        <v>0</v>
      </c>
    </row>
    <row r="746" spans="2:29" s="114" customFormat="1">
      <c r="B746" s="115">
        <f t="shared" si="275"/>
        <v>6.8799999999998809</v>
      </c>
      <c r="C746" s="124">
        <f t="shared" si="276"/>
        <v>7585775.7502897624</v>
      </c>
      <c r="D746" s="124">
        <f t="shared" si="277"/>
        <v>1612.8997124747675</v>
      </c>
      <c r="E746" s="124">
        <f t="shared" si="278"/>
        <v>1</v>
      </c>
      <c r="F746" s="124">
        <f t="shared" si="279"/>
        <v>1</v>
      </c>
      <c r="G746" s="124">
        <f t="shared" si="280"/>
        <v>1628.4919753804545</v>
      </c>
      <c r="H746" s="124">
        <f t="shared" si="281"/>
        <v>1</v>
      </c>
      <c r="I746" s="124">
        <f t="shared" si="282"/>
        <v>1</v>
      </c>
      <c r="J746" s="124">
        <f t="shared" si="283"/>
        <v>1.7457842990135991E-5</v>
      </c>
      <c r="K746" s="124">
        <f t="shared" si="284"/>
        <v>0</v>
      </c>
      <c r="L746" s="124">
        <f t="shared" si="285"/>
        <v>0</v>
      </c>
      <c r="M746" s="120"/>
      <c r="N746" s="132">
        <f t="shared" si="273"/>
        <v>47662834.737779833</v>
      </c>
      <c r="O746" s="124">
        <f t="shared" si="286"/>
        <v>3434956.2156418725</v>
      </c>
      <c r="P746" s="124">
        <f t="shared" si="287"/>
        <v>1</v>
      </c>
      <c r="Q746" s="124">
        <f t="shared" si="288"/>
        <v>1</v>
      </c>
      <c r="R746" s="124">
        <f t="shared" si="289"/>
        <v>3196745.4912549732</v>
      </c>
      <c r="S746" s="124">
        <f t="shared" si="290"/>
        <v>8738.11520381234</v>
      </c>
      <c r="T746" s="124">
        <f t="shared" si="291"/>
        <v>3196757.4337938614</v>
      </c>
      <c r="U746" s="124">
        <f t="shared" si="292"/>
        <v>1</v>
      </c>
      <c r="V746" s="124">
        <f t="shared" si="293"/>
        <v>0</v>
      </c>
      <c r="W746" s="124">
        <f t="shared" si="294"/>
        <v>1</v>
      </c>
      <c r="X746" s="124">
        <f t="shared" si="295"/>
        <v>1</v>
      </c>
      <c r="Y746" s="124">
        <f t="shared" si="296"/>
        <v>0</v>
      </c>
      <c r="Z746" s="124">
        <f t="shared" si="297"/>
        <v>1</v>
      </c>
      <c r="AA746" s="124">
        <f t="shared" si="274"/>
        <v>9.7415909578105837E-4</v>
      </c>
      <c r="AB746" s="124">
        <f t="shared" si="298"/>
        <v>0</v>
      </c>
      <c r="AC746" s="124">
        <f t="shared" si="299"/>
        <v>0</v>
      </c>
    </row>
    <row r="747" spans="2:29" s="114" customFormat="1">
      <c r="B747" s="115">
        <f t="shared" si="275"/>
        <v>6.8999999999998805</v>
      </c>
      <c r="C747" s="124">
        <f t="shared" si="276"/>
        <v>7943282.3472406408</v>
      </c>
      <c r="D747" s="124">
        <f t="shared" si="277"/>
        <v>1609.5412711771746</v>
      </c>
      <c r="E747" s="124">
        <f t="shared" si="278"/>
        <v>1</v>
      </c>
      <c r="F747" s="124">
        <f t="shared" si="279"/>
        <v>1</v>
      </c>
      <c r="G747" s="124">
        <f t="shared" si="280"/>
        <v>1625.948472629454</v>
      </c>
      <c r="H747" s="124">
        <f t="shared" si="281"/>
        <v>1</v>
      </c>
      <c r="I747" s="124">
        <f t="shared" si="282"/>
        <v>1</v>
      </c>
      <c r="J747" s="124">
        <f t="shared" si="283"/>
        <v>1.9401040638631636E-5</v>
      </c>
      <c r="K747" s="124">
        <f t="shared" si="284"/>
        <v>0</v>
      </c>
      <c r="L747" s="124">
        <f t="shared" si="285"/>
        <v>0</v>
      </c>
      <c r="M747" s="120"/>
      <c r="N747" s="132">
        <f t="shared" si="273"/>
        <v>49909114.934961371</v>
      </c>
      <c r="O747" s="124">
        <f t="shared" si="286"/>
        <v>3437876.7372631258</v>
      </c>
      <c r="P747" s="124">
        <f t="shared" si="287"/>
        <v>1</v>
      </c>
      <c r="Q747" s="124">
        <f t="shared" si="288"/>
        <v>1</v>
      </c>
      <c r="R747" s="124">
        <f t="shared" si="289"/>
        <v>3196759.6157640694</v>
      </c>
      <c r="S747" s="124">
        <f t="shared" si="290"/>
        <v>8345.1147391573832</v>
      </c>
      <c r="T747" s="124">
        <f t="shared" si="291"/>
        <v>3196770.5081722788</v>
      </c>
      <c r="U747" s="124">
        <f t="shared" si="292"/>
        <v>1</v>
      </c>
      <c r="V747" s="124">
        <f t="shared" si="293"/>
        <v>0</v>
      </c>
      <c r="W747" s="124">
        <f t="shared" si="294"/>
        <v>1</v>
      </c>
      <c r="X747" s="124">
        <f t="shared" si="295"/>
        <v>1</v>
      </c>
      <c r="Y747" s="124">
        <f t="shared" si="296"/>
        <v>0</v>
      </c>
      <c r="Z747" s="124">
        <f t="shared" si="297"/>
        <v>1</v>
      </c>
      <c r="AA747" s="124">
        <f t="shared" si="274"/>
        <v>9.9722321902510837E-4</v>
      </c>
      <c r="AB747" s="124">
        <f t="shared" si="298"/>
        <v>0</v>
      </c>
      <c r="AC747" s="124">
        <f t="shared" si="299"/>
        <v>0</v>
      </c>
    </row>
    <row r="748" spans="2:29" s="114" customFormat="1">
      <c r="B748" s="115">
        <f t="shared" si="275"/>
        <v>6.91999999999988</v>
      </c>
      <c r="C748" s="124">
        <f t="shared" si="276"/>
        <v>8317637.7110244315</v>
      </c>
      <c r="D748" s="124">
        <f t="shared" si="277"/>
        <v>1606.2249634192224</v>
      </c>
      <c r="E748" s="124">
        <f t="shared" si="278"/>
        <v>1</v>
      </c>
      <c r="F748" s="124">
        <f t="shared" si="279"/>
        <v>1</v>
      </c>
      <c r="G748" s="124">
        <f t="shared" si="280"/>
        <v>1623.3955011941148</v>
      </c>
      <c r="H748" s="124">
        <f t="shared" si="281"/>
        <v>1</v>
      </c>
      <c r="I748" s="124">
        <f t="shared" si="282"/>
        <v>1</v>
      </c>
      <c r="J748" s="124">
        <f t="shared" si="283"/>
        <v>2.1325617523949754E-5</v>
      </c>
      <c r="K748" s="124">
        <f t="shared" si="284"/>
        <v>0</v>
      </c>
      <c r="L748" s="124">
        <f t="shared" si="285"/>
        <v>0</v>
      </c>
      <c r="M748" s="120"/>
      <c r="N748" s="132">
        <f t="shared" si="273"/>
        <v>52261259.05635155</v>
      </c>
      <c r="O748" s="124">
        <f t="shared" si="286"/>
        <v>3440768.1223843209</v>
      </c>
      <c r="P748" s="124">
        <f t="shared" si="287"/>
        <v>1</v>
      </c>
      <c r="Q748" s="124">
        <f t="shared" si="288"/>
        <v>1</v>
      </c>
      <c r="R748" s="124">
        <f t="shared" si="289"/>
        <v>3196772.4984101225</v>
      </c>
      <c r="S748" s="124">
        <f t="shared" si="290"/>
        <v>7969.7661609497827</v>
      </c>
      <c r="T748" s="124">
        <f t="shared" si="291"/>
        <v>3196782.4329728722</v>
      </c>
      <c r="U748" s="124">
        <f t="shared" si="292"/>
        <v>1</v>
      </c>
      <c r="V748" s="124">
        <f t="shared" si="293"/>
        <v>0</v>
      </c>
      <c r="W748" s="124">
        <f t="shared" si="294"/>
        <v>1</v>
      </c>
      <c r="X748" s="124">
        <f t="shared" si="295"/>
        <v>1</v>
      </c>
      <c r="Y748" s="124">
        <f t="shared" si="296"/>
        <v>0</v>
      </c>
      <c r="Z748" s="124">
        <f t="shared" si="297"/>
        <v>1</v>
      </c>
      <c r="AA748" s="124">
        <f t="shared" si="274"/>
        <v>1.0203121875518588E-3</v>
      </c>
      <c r="AB748" s="124">
        <f t="shared" si="298"/>
        <v>0</v>
      </c>
      <c r="AC748" s="124">
        <f t="shared" si="299"/>
        <v>0</v>
      </c>
    </row>
    <row r="749" spans="2:29" s="114" customFormat="1">
      <c r="B749" s="115">
        <f t="shared" si="275"/>
        <v>6.9399999999998796</v>
      </c>
      <c r="C749" s="124">
        <f t="shared" si="276"/>
        <v>8709635.8995584026</v>
      </c>
      <c r="D749" s="124">
        <f t="shared" si="277"/>
        <v>1602.9502081981368</v>
      </c>
      <c r="E749" s="124">
        <f t="shared" si="278"/>
        <v>1</v>
      </c>
      <c r="F749" s="124">
        <f t="shared" si="279"/>
        <v>1</v>
      </c>
      <c r="G749" s="124">
        <f t="shared" si="280"/>
        <v>1620.8337897386041</v>
      </c>
      <c r="H749" s="124">
        <f t="shared" si="281"/>
        <v>1</v>
      </c>
      <c r="I749" s="124">
        <f t="shared" si="282"/>
        <v>1</v>
      </c>
      <c r="J749" s="124">
        <f t="shared" si="283"/>
        <v>2.3217457106538461E-5</v>
      </c>
      <c r="K749" s="124">
        <f t="shared" si="284"/>
        <v>0</v>
      </c>
      <c r="L749" s="124">
        <f t="shared" si="285"/>
        <v>0</v>
      </c>
      <c r="M749" s="120"/>
      <c r="N749" s="132">
        <f t="shared" si="273"/>
        <v>54724256.314989217</v>
      </c>
      <c r="O749" s="124">
        <f t="shared" si="286"/>
        <v>3443630.6287940624</v>
      </c>
      <c r="P749" s="124">
        <f t="shared" si="287"/>
        <v>1</v>
      </c>
      <c r="Q749" s="124">
        <f t="shared" si="288"/>
        <v>1</v>
      </c>
      <c r="R749" s="124">
        <f t="shared" si="289"/>
        <v>3196784.2483054493</v>
      </c>
      <c r="S749" s="124">
        <f t="shared" si="290"/>
        <v>7611.2796512538207</v>
      </c>
      <c r="T749" s="124">
        <f t="shared" si="291"/>
        <v>3196793.3092071759</v>
      </c>
      <c r="U749" s="124">
        <f t="shared" si="292"/>
        <v>1</v>
      </c>
      <c r="V749" s="124">
        <f t="shared" si="293"/>
        <v>0</v>
      </c>
      <c r="W749" s="124">
        <f t="shared" si="294"/>
        <v>1</v>
      </c>
      <c r="X749" s="124">
        <f t="shared" si="295"/>
        <v>1</v>
      </c>
      <c r="Y749" s="124">
        <f t="shared" si="296"/>
        <v>0</v>
      </c>
      <c r="Z749" s="124">
        <f t="shared" si="297"/>
        <v>1</v>
      </c>
      <c r="AA749" s="124">
        <f t="shared" si="274"/>
        <v>1.0434194844349696E-3</v>
      </c>
      <c r="AB749" s="124">
        <f t="shared" si="298"/>
        <v>0</v>
      </c>
      <c r="AC749" s="124">
        <f t="shared" si="299"/>
        <v>0</v>
      </c>
    </row>
    <row r="750" spans="2:29" s="114" customFormat="1">
      <c r="B750" s="115">
        <f t="shared" si="275"/>
        <v>6.9599999999998792</v>
      </c>
      <c r="C750" s="124">
        <f t="shared" si="276"/>
        <v>9120108.3935565799</v>
      </c>
      <c r="D750" s="124">
        <f t="shared" si="277"/>
        <v>1599.7164336185049</v>
      </c>
      <c r="E750" s="124">
        <f t="shared" si="278"/>
        <v>1</v>
      </c>
      <c r="F750" s="124">
        <f t="shared" si="279"/>
        <v>1</v>
      </c>
      <c r="G750" s="124">
        <f t="shared" si="280"/>
        <v>1618.2650508118491</v>
      </c>
      <c r="H750" s="124">
        <f t="shared" si="281"/>
        <v>1</v>
      </c>
      <c r="I750" s="124">
        <f t="shared" si="282"/>
        <v>1</v>
      </c>
      <c r="J750" s="124">
        <f t="shared" si="283"/>
        <v>2.5066530591978381E-5</v>
      </c>
      <c r="K750" s="124">
        <f t="shared" si="284"/>
        <v>0</v>
      </c>
      <c r="L750" s="124">
        <f t="shared" si="285"/>
        <v>0</v>
      </c>
      <c r="M750" s="120"/>
      <c r="N750" s="132">
        <f t="shared" si="273"/>
        <v>57303331.058279924</v>
      </c>
      <c r="O750" s="124">
        <f t="shared" si="286"/>
        <v>3446464.5127132521</v>
      </c>
      <c r="P750" s="124">
        <f t="shared" si="287"/>
        <v>1</v>
      </c>
      <c r="Q750" s="124">
        <f t="shared" si="288"/>
        <v>1</v>
      </c>
      <c r="R750" s="124">
        <f t="shared" si="289"/>
        <v>3196794.9649882563</v>
      </c>
      <c r="S750" s="124">
        <f t="shared" si="290"/>
        <v>7268.900340818429</v>
      </c>
      <c r="T750" s="124">
        <f t="shared" si="291"/>
        <v>3196803.2290221481</v>
      </c>
      <c r="U750" s="124">
        <f t="shared" si="292"/>
        <v>1</v>
      </c>
      <c r="V750" s="124">
        <f t="shared" si="293"/>
        <v>0</v>
      </c>
      <c r="W750" s="124">
        <f t="shared" si="294"/>
        <v>1</v>
      </c>
      <c r="X750" s="124">
        <f t="shared" si="295"/>
        <v>1</v>
      </c>
      <c r="Y750" s="124">
        <f t="shared" si="296"/>
        <v>0</v>
      </c>
      <c r="Z750" s="124">
        <f t="shared" si="297"/>
        <v>1</v>
      </c>
      <c r="AA750" s="124">
        <f t="shared" si="274"/>
        <v>1.0665388129457098E-3</v>
      </c>
      <c r="AB750" s="124">
        <f t="shared" si="298"/>
        <v>0</v>
      </c>
      <c r="AC750" s="124">
        <f t="shared" si="299"/>
        <v>0</v>
      </c>
    </row>
    <row r="751" spans="2:29" s="114" customFormat="1">
      <c r="B751" s="115">
        <f t="shared" si="275"/>
        <v>6.9799999999998787</v>
      </c>
      <c r="C751" s="124">
        <f t="shared" si="276"/>
        <v>9549925.8602117207</v>
      </c>
      <c r="D751" s="124">
        <f t="shared" si="277"/>
        <v>1596.5230767277762</v>
      </c>
      <c r="E751" s="124">
        <f t="shared" si="278"/>
        <v>1</v>
      </c>
      <c r="F751" s="124">
        <f t="shared" si="279"/>
        <v>1</v>
      </c>
      <c r="G751" s="124">
        <f t="shared" si="280"/>
        <v>1615.6918810223935</v>
      </c>
      <c r="H751" s="124">
        <f t="shared" si="281"/>
        <v>1</v>
      </c>
      <c r="I751" s="124">
        <f t="shared" si="282"/>
        <v>1</v>
      </c>
      <c r="J751" s="124">
        <f t="shared" si="283"/>
        <v>2.6867036863242739E-5</v>
      </c>
      <c r="K751" s="124">
        <f t="shared" si="284"/>
        <v>0</v>
      </c>
      <c r="L751" s="124">
        <f t="shared" si="285"/>
        <v>0</v>
      </c>
      <c r="M751" s="120"/>
      <c r="N751" s="132">
        <f t="shared" si="273"/>
        <v>60003953.849536657</v>
      </c>
      <c r="O751" s="124">
        <f t="shared" si="286"/>
        <v>3449270.0287879328</v>
      </c>
      <c r="P751" s="124">
        <f t="shared" si="287"/>
        <v>1</v>
      </c>
      <c r="Q751" s="124">
        <f t="shared" si="288"/>
        <v>1</v>
      </c>
      <c r="R751" s="124">
        <f t="shared" si="289"/>
        <v>3196804.7392605869</v>
      </c>
      <c r="S751" s="124">
        <f t="shared" si="290"/>
        <v>6941.9068132610282</v>
      </c>
      <c r="T751" s="124">
        <f t="shared" si="291"/>
        <v>3196812.2764762323</v>
      </c>
      <c r="U751" s="124">
        <f t="shared" si="292"/>
        <v>1</v>
      </c>
      <c r="V751" s="124">
        <f t="shared" si="293"/>
        <v>0</v>
      </c>
      <c r="W751" s="124">
        <f t="shared" si="294"/>
        <v>1</v>
      </c>
      <c r="X751" s="124">
        <f t="shared" si="295"/>
        <v>1</v>
      </c>
      <c r="Y751" s="124">
        <f t="shared" si="296"/>
        <v>0</v>
      </c>
      <c r="Z751" s="124">
        <f t="shared" si="297"/>
        <v>1</v>
      </c>
      <c r="AA751" s="124">
        <f t="shared" si="274"/>
        <v>1.0896640904098723E-3</v>
      </c>
      <c r="AB751" s="124">
        <f t="shared" si="298"/>
        <v>0</v>
      </c>
      <c r="AC751" s="124">
        <f t="shared" si="299"/>
        <v>0</v>
      </c>
    </row>
    <row r="752" spans="2:29" s="114" customFormat="1">
      <c r="B752" s="115">
        <f t="shared" si="275"/>
        <v>6.9999999999998783</v>
      </c>
      <c r="C752" s="124">
        <f t="shared" si="276"/>
        <v>9999999.9999972004</v>
      </c>
      <c r="D752" s="124">
        <f t="shared" si="277"/>
        <v>1593.3695833551717</v>
      </c>
      <c r="E752" s="124">
        <f t="shared" si="278"/>
        <v>1</v>
      </c>
      <c r="F752" s="124">
        <f t="shared" si="279"/>
        <v>1</v>
      </c>
      <c r="G752" s="124">
        <f t="shared" si="280"/>
        <v>1613.1176579821392</v>
      </c>
      <c r="H752" s="124">
        <f t="shared" si="281"/>
        <v>1</v>
      </c>
      <c r="I752" s="124">
        <f t="shared" si="282"/>
        <v>1</v>
      </c>
      <c r="J752" s="124">
        <f t="shared" si="283"/>
        <v>2.8617394025248153E-5</v>
      </c>
      <c r="K752" s="124">
        <f t="shared" si="284"/>
        <v>0</v>
      </c>
      <c r="L752" s="124">
        <f t="shared" si="285"/>
        <v>0</v>
      </c>
      <c r="M752" s="120"/>
      <c r="N752" s="132">
        <f t="shared" si="273"/>
        <v>62831853.071778275</v>
      </c>
      <c r="O752" s="124">
        <f t="shared" si="286"/>
        <v>3452047.430082785</v>
      </c>
      <c r="P752" s="124">
        <f t="shared" si="287"/>
        <v>1</v>
      </c>
      <c r="Q752" s="124">
        <f t="shared" si="288"/>
        <v>1</v>
      </c>
      <c r="R752" s="124">
        <f t="shared" si="289"/>
        <v>3196813.6539532933</v>
      </c>
      <c r="S752" s="124">
        <f t="shared" si="290"/>
        <v>6629.6096666531284</v>
      </c>
      <c r="T752" s="124">
        <f t="shared" si="291"/>
        <v>3196820.5282477993</v>
      </c>
      <c r="U752" s="124">
        <f t="shared" si="292"/>
        <v>1</v>
      </c>
      <c r="V752" s="124">
        <f t="shared" si="293"/>
        <v>0</v>
      </c>
      <c r="W752" s="124">
        <f t="shared" si="294"/>
        <v>1</v>
      </c>
      <c r="X752" s="124">
        <f t="shared" si="295"/>
        <v>1</v>
      </c>
      <c r="Y752" s="124">
        <f t="shared" si="296"/>
        <v>0</v>
      </c>
      <c r="Z752" s="124">
        <f t="shared" si="297"/>
        <v>1</v>
      </c>
      <c r="AA752" s="124">
        <f t="shared" si="274"/>
        <v>1.112789442182859E-3</v>
      </c>
      <c r="AB752" s="124">
        <f t="shared" si="298"/>
        <v>0</v>
      </c>
      <c r="AC752" s="124">
        <f t="shared" si="299"/>
        <v>0</v>
      </c>
    </row>
    <row r="753" s="114" customFormat="1"/>
    <row r="754" s="114" customFormat="1"/>
    <row r="755" s="114" customFormat="1"/>
    <row r="756" s="114" customFormat="1"/>
    <row r="757" s="114" customFormat="1"/>
    <row r="758" s="114" customFormat="1"/>
    <row r="759" s="114" customFormat="1"/>
    <row r="760" s="114" customFormat="1"/>
    <row r="761" s="114" customFormat="1"/>
    <row r="762" s="114" customFormat="1"/>
    <row r="763" s="114" customFormat="1"/>
    <row r="764" s="114" customFormat="1"/>
    <row r="765" s="114" customFormat="1"/>
  </sheetData>
  <mergeCells count="26">
    <mergeCell ref="F2:O5"/>
    <mergeCell ref="J50:L50"/>
    <mergeCell ref="I27:J27"/>
    <mergeCell ref="I26:J26"/>
    <mergeCell ref="B50:B51"/>
    <mergeCell ref="C50:C51"/>
    <mergeCell ref="D50:F50"/>
    <mergeCell ref="G50:I50"/>
    <mergeCell ref="F26:F27"/>
    <mergeCell ref="B26:B27"/>
    <mergeCell ref="C26:E26"/>
    <mergeCell ref="B11:C11"/>
    <mergeCell ref="B12:C12"/>
    <mergeCell ref="B13:C13"/>
    <mergeCell ref="B14:C14"/>
    <mergeCell ref="J11:K11"/>
    <mergeCell ref="AA49:AC50"/>
    <mergeCell ref="R50:T50"/>
    <mergeCell ref="U50:W50"/>
    <mergeCell ref="X50:Z50"/>
    <mergeCell ref="J12:K12"/>
    <mergeCell ref="J13:K13"/>
    <mergeCell ref="J14:K14"/>
    <mergeCell ref="R49:Z49"/>
    <mergeCell ref="N49:N51"/>
    <mergeCell ref="O49:Q50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onvert_Relaxation_to_Dynamic">
                <anchor moveWithCells="1" sizeWithCells="1">
                  <from>
                    <xdr:col>7</xdr:col>
                    <xdr:colOff>114300</xdr:colOff>
                    <xdr:row>9</xdr:row>
                    <xdr:rowOff>142875</xdr:rowOff>
                  </from>
                  <to>
                    <xdr:col>8</xdr:col>
                    <xdr:colOff>533400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onvert_Dynamic_to_Relaxation">
                <anchor moveWithCells="1" sizeWithCells="1">
                  <from>
                    <xdr:col>7</xdr:col>
                    <xdr:colOff>133350</xdr:colOff>
                    <xdr:row>14</xdr:row>
                    <xdr:rowOff>47625</xdr:rowOff>
                  </from>
                  <to>
                    <xdr:col>8</xdr:col>
                    <xdr:colOff>552450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5AAFA-281A-4428-B9FC-6C97708D5765}">
  <sheetPr codeName="Sheet4">
    <tabColor rgb="FF92D050"/>
  </sheetPr>
  <dimension ref="C1:C661"/>
  <sheetViews>
    <sheetView showGridLines="0" workbookViewId="0">
      <selection activeCell="C1" sqref="C1"/>
    </sheetView>
  </sheetViews>
  <sheetFormatPr defaultRowHeight="15"/>
  <sheetData>
    <row r="1" spans="3:3">
      <c r="C1" s="133" t="s">
        <v>122</v>
      </c>
    </row>
    <row r="2" spans="3:3">
      <c r="C2" s="133" t="s">
        <v>123</v>
      </c>
    </row>
    <row r="3" spans="3:3">
      <c r="C3" s="133"/>
    </row>
    <row r="4" spans="3:3">
      <c r="C4" s="133" t="s">
        <v>124</v>
      </c>
    </row>
    <row r="5" spans="3:3">
      <c r="C5" s="133" t="s">
        <v>125</v>
      </c>
    </row>
    <row r="6" spans="3:3">
      <c r="C6" s="133" t="s">
        <v>126</v>
      </c>
    </row>
    <row r="7" spans="3:3">
      <c r="C7" s="133"/>
    </row>
    <row r="8" spans="3:3">
      <c r="C8" s="133" t="s">
        <v>127</v>
      </c>
    </row>
    <row r="9" spans="3:3">
      <c r="C9" s="133"/>
    </row>
    <row r="10" spans="3:3">
      <c r="C10" s="133" t="s">
        <v>128</v>
      </c>
    </row>
    <row r="11" spans="3:3">
      <c r="C11" s="133" t="s">
        <v>129</v>
      </c>
    </row>
    <row r="12" spans="3:3">
      <c r="C12" s="133" t="s">
        <v>130</v>
      </c>
    </row>
    <row r="13" spans="3:3">
      <c r="C13" s="133"/>
    </row>
    <row r="14" spans="3:3">
      <c r="C14" s="133" t="s">
        <v>131</v>
      </c>
    </row>
    <row r="15" spans="3:3">
      <c r="C15" s="133" t="s">
        <v>132</v>
      </c>
    </row>
    <row r="16" spans="3:3">
      <c r="C16" s="133" t="s">
        <v>133</v>
      </c>
    </row>
    <row r="17" spans="3:3">
      <c r="C17" s="133" t="s">
        <v>134</v>
      </c>
    </row>
    <row r="18" spans="3:3">
      <c r="C18" s="133" t="s">
        <v>135</v>
      </c>
    </row>
    <row r="19" spans="3:3">
      <c r="C19" s="133"/>
    </row>
    <row r="20" spans="3:3">
      <c r="C20" s="133" t="s">
        <v>136</v>
      </c>
    </row>
    <row r="21" spans="3:3">
      <c r="C21" s="133" t="s">
        <v>137</v>
      </c>
    </row>
    <row r="22" spans="3:3">
      <c r="C22" s="133" t="s">
        <v>138</v>
      </c>
    </row>
    <row r="23" spans="3:3">
      <c r="C23" s="133" t="s">
        <v>139</v>
      </c>
    </row>
    <row r="24" spans="3:3">
      <c r="C24" s="133" t="s">
        <v>140</v>
      </c>
    </row>
    <row r="25" spans="3:3">
      <c r="C25" s="133" t="s">
        <v>141</v>
      </c>
    </row>
    <row r="26" spans="3:3">
      <c r="C26" s="133"/>
    </row>
    <row r="27" spans="3:3">
      <c r="C27" s="133" t="s">
        <v>142</v>
      </c>
    </row>
    <row r="28" spans="3:3">
      <c r="C28" s="133" t="s">
        <v>143</v>
      </c>
    </row>
    <row r="29" spans="3:3">
      <c r="C29" s="133" t="s">
        <v>144</v>
      </c>
    </row>
    <row r="30" spans="3:3">
      <c r="C30" s="133" t="s">
        <v>145</v>
      </c>
    </row>
    <row r="31" spans="3:3">
      <c r="C31" s="133"/>
    </row>
    <row r="32" spans="3:3">
      <c r="C32" s="133" t="s">
        <v>146</v>
      </c>
    </row>
    <row r="33" spans="3:3">
      <c r="C33" s="133" t="s">
        <v>147</v>
      </c>
    </row>
    <row r="34" spans="3:3">
      <c r="C34" s="133" t="s">
        <v>148</v>
      </c>
    </row>
    <row r="35" spans="3:3">
      <c r="C35" s="133" t="s">
        <v>149</v>
      </c>
    </row>
    <row r="36" spans="3:3">
      <c r="C36" s="133" t="s">
        <v>150</v>
      </c>
    </row>
    <row r="37" spans="3:3">
      <c r="C37" s="133" t="s">
        <v>151</v>
      </c>
    </row>
    <row r="38" spans="3:3">
      <c r="C38" s="133" t="s">
        <v>152</v>
      </c>
    </row>
    <row r="39" spans="3:3">
      <c r="C39" s="133" t="s">
        <v>153</v>
      </c>
    </row>
    <row r="40" spans="3:3">
      <c r="C40" s="133" t="s">
        <v>154</v>
      </c>
    </row>
    <row r="41" spans="3:3">
      <c r="C41" s="133"/>
    </row>
    <row r="42" spans="3:3">
      <c r="C42" s="133" t="s">
        <v>155</v>
      </c>
    </row>
    <row r="43" spans="3:3">
      <c r="C43" s="133" t="s">
        <v>156</v>
      </c>
    </row>
    <row r="44" spans="3:3">
      <c r="C44" s="133" t="s">
        <v>157</v>
      </c>
    </row>
    <row r="45" spans="3:3">
      <c r="C45" s="133" t="s">
        <v>158</v>
      </c>
    </row>
    <row r="46" spans="3:3">
      <c r="C46" s="133" t="s">
        <v>159</v>
      </c>
    </row>
    <row r="47" spans="3:3">
      <c r="C47" s="133" t="s">
        <v>160</v>
      </c>
    </row>
    <row r="48" spans="3:3">
      <c r="C48" s="133" t="s">
        <v>161</v>
      </c>
    </row>
    <row r="49" spans="3:3">
      <c r="C49" s="133"/>
    </row>
    <row r="50" spans="3:3">
      <c r="C50" s="133" t="s">
        <v>162</v>
      </c>
    </row>
    <row r="51" spans="3:3">
      <c r="C51" s="133" t="s">
        <v>163</v>
      </c>
    </row>
    <row r="52" spans="3:3">
      <c r="C52" s="133" t="s">
        <v>164</v>
      </c>
    </row>
    <row r="53" spans="3:3">
      <c r="C53" s="133" t="s">
        <v>165</v>
      </c>
    </row>
    <row r="54" spans="3:3">
      <c r="C54" s="133" t="s">
        <v>166</v>
      </c>
    </row>
    <row r="55" spans="3:3">
      <c r="C55" s="133"/>
    </row>
    <row r="56" spans="3:3">
      <c r="C56" s="133" t="s">
        <v>167</v>
      </c>
    </row>
    <row r="57" spans="3:3">
      <c r="C57" s="133" t="s">
        <v>168</v>
      </c>
    </row>
    <row r="58" spans="3:3">
      <c r="C58" s="133"/>
    </row>
    <row r="59" spans="3:3">
      <c r="C59" s="133" t="s">
        <v>169</v>
      </c>
    </row>
    <row r="60" spans="3:3">
      <c r="C60" s="133"/>
    </row>
    <row r="61" spans="3:3">
      <c r="C61" s="133" t="s">
        <v>170</v>
      </c>
    </row>
    <row r="62" spans="3:3">
      <c r="C62" s="133"/>
    </row>
    <row r="63" spans="3:3">
      <c r="C63" s="133" t="s">
        <v>171</v>
      </c>
    </row>
    <row r="64" spans="3:3">
      <c r="C64" s="133"/>
    </row>
    <row r="65" spans="3:3">
      <c r="C65" s="133" t="s">
        <v>172</v>
      </c>
    </row>
    <row r="66" spans="3:3">
      <c r="C66" s="133" t="s">
        <v>173</v>
      </c>
    </row>
    <row r="67" spans="3:3">
      <c r="C67" s="133"/>
    </row>
    <row r="68" spans="3:3">
      <c r="C68" s="133" t="s">
        <v>174</v>
      </c>
    </row>
    <row r="69" spans="3:3">
      <c r="C69" s="133" t="s">
        <v>175</v>
      </c>
    </row>
    <row r="70" spans="3:3">
      <c r="C70" s="133" t="s">
        <v>176</v>
      </c>
    </row>
    <row r="71" spans="3:3">
      <c r="C71" s="133"/>
    </row>
    <row r="72" spans="3:3">
      <c r="C72" s="133" t="s">
        <v>177</v>
      </c>
    </row>
    <row r="73" spans="3:3">
      <c r="C73" s="133" t="s">
        <v>178</v>
      </c>
    </row>
    <row r="74" spans="3:3">
      <c r="C74" s="133" t="s">
        <v>179</v>
      </c>
    </row>
    <row r="75" spans="3:3">
      <c r="C75" s="133" t="s">
        <v>180</v>
      </c>
    </row>
    <row r="76" spans="3:3">
      <c r="C76" s="133"/>
    </row>
    <row r="77" spans="3:3">
      <c r="C77" s="133" t="s">
        <v>181</v>
      </c>
    </row>
    <row r="78" spans="3:3">
      <c r="C78" s="133" t="s">
        <v>182</v>
      </c>
    </row>
    <row r="79" spans="3:3">
      <c r="C79" s="133"/>
    </row>
    <row r="80" spans="3:3">
      <c r="C80" s="133" t="s">
        <v>183</v>
      </c>
    </row>
    <row r="81" spans="3:3">
      <c r="C81" s="133" t="s">
        <v>184</v>
      </c>
    </row>
    <row r="82" spans="3:3">
      <c r="C82" s="133" t="s">
        <v>185</v>
      </c>
    </row>
    <row r="83" spans="3:3">
      <c r="C83" s="133" t="s">
        <v>186</v>
      </c>
    </row>
    <row r="84" spans="3:3">
      <c r="C84" s="133" t="s">
        <v>187</v>
      </c>
    </row>
    <row r="85" spans="3:3">
      <c r="C85" s="133" t="s">
        <v>188</v>
      </c>
    </row>
    <row r="86" spans="3:3">
      <c r="C86" s="133"/>
    </row>
    <row r="87" spans="3:3">
      <c r="C87" s="133" t="s">
        <v>189</v>
      </c>
    </row>
    <row r="88" spans="3:3">
      <c r="C88" s="133" t="s">
        <v>190</v>
      </c>
    </row>
    <row r="89" spans="3:3">
      <c r="C89" s="133" t="s">
        <v>191</v>
      </c>
    </row>
    <row r="90" spans="3:3">
      <c r="C90" s="133"/>
    </row>
    <row r="91" spans="3:3">
      <c r="C91" s="133" t="s">
        <v>192</v>
      </c>
    </row>
    <row r="92" spans="3:3">
      <c r="C92" s="133" t="s">
        <v>193</v>
      </c>
    </row>
    <row r="93" spans="3:3">
      <c r="C93" s="133" t="s">
        <v>194</v>
      </c>
    </row>
    <row r="94" spans="3:3">
      <c r="C94" s="133" t="s">
        <v>195</v>
      </c>
    </row>
    <row r="95" spans="3:3">
      <c r="C95" s="133" t="s">
        <v>196</v>
      </c>
    </row>
    <row r="96" spans="3:3">
      <c r="C96" s="133" t="s">
        <v>197</v>
      </c>
    </row>
    <row r="97" spans="3:3">
      <c r="C97" s="133" t="s">
        <v>198</v>
      </c>
    </row>
    <row r="98" spans="3:3">
      <c r="C98" s="133" t="s">
        <v>199</v>
      </c>
    </row>
    <row r="99" spans="3:3">
      <c r="C99" s="133"/>
    </row>
    <row r="100" spans="3:3">
      <c r="C100" s="133" t="s">
        <v>200</v>
      </c>
    </row>
    <row r="101" spans="3:3">
      <c r="C101" s="133"/>
    </row>
    <row r="102" spans="3:3">
      <c r="C102" s="133" t="s">
        <v>201</v>
      </c>
    </row>
    <row r="103" spans="3:3">
      <c r="C103" s="133" t="s">
        <v>202</v>
      </c>
    </row>
    <row r="104" spans="3:3">
      <c r="C104" s="133" t="s">
        <v>203</v>
      </c>
    </row>
    <row r="105" spans="3:3">
      <c r="C105" s="133"/>
    </row>
    <row r="106" spans="3:3">
      <c r="C106" s="133" t="s">
        <v>204</v>
      </c>
    </row>
    <row r="107" spans="3:3">
      <c r="C107" s="133" t="s">
        <v>205</v>
      </c>
    </row>
    <row r="108" spans="3:3">
      <c r="C108" s="133" t="s">
        <v>206</v>
      </c>
    </row>
    <row r="109" spans="3:3">
      <c r="C109" s="133" t="s">
        <v>207</v>
      </c>
    </row>
    <row r="110" spans="3:3">
      <c r="C110" s="133"/>
    </row>
    <row r="111" spans="3:3">
      <c r="C111" s="133" t="s">
        <v>208</v>
      </c>
    </row>
    <row r="112" spans="3:3">
      <c r="C112" s="133" t="s">
        <v>209</v>
      </c>
    </row>
    <row r="113" spans="3:3">
      <c r="C113" s="133" t="s">
        <v>210</v>
      </c>
    </row>
    <row r="114" spans="3:3">
      <c r="C114" s="133" t="s">
        <v>211</v>
      </c>
    </row>
    <row r="115" spans="3:3">
      <c r="C115" s="133" t="s">
        <v>212</v>
      </c>
    </row>
    <row r="116" spans="3:3">
      <c r="C116" s="133" t="s">
        <v>213</v>
      </c>
    </row>
    <row r="117" spans="3:3">
      <c r="C117" s="133" t="s">
        <v>214</v>
      </c>
    </row>
    <row r="118" spans="3:3">
      <c r="C118" s="133" t="s">
        <v>215</v>
      </c>
    </row>
    <row r="119" spans="3:3">
      <c r="C119" s="133" t="s">
        <v>216</v>
      </c>
    </row>
    <row r="120" spans="3:3">
      <c r="C120" s="133" t="s">
        <v>217</v>
      </c>
    </row>
    <row r="121" spans="3:3">
      <c r="C121" s="133"/>
    </row>
    <row r="122" spans="3:3">
      <c r="C122" s="133" t="s">
        <v>218</v>
      </c>
    </row>
    <row r="123" spans="3:3">
      <c r="C123" s="133" t="s">
        <v>219</v>
      </c>
    </row>
    <row r="124" spans="3:3">
      <c r="C124" s="133" t="s">
        <v>220</v>
      </c>
    </row>
    <row r="125" spans="3:3">
      <c r="C125" s="133" t="s">
        <v>221</v>
      </c>
    </row>
    <row r="126" spans="3:3">
      <c r="C126" s="133" t="s">
        <v>222</v>
      </c>
    </row>
    <row r="127" spans="3:3">
      <c r="C127" s="133" t="s">
        <v>223</v>
      </c>
    </row>
    <row r="128" spans="3:3">
      <c r="C128" s="133" t="s">
        <v>224</v>
      </c>
    </row>
    <row r="129" spans="3:3">
      <c r="C129" s="133" t="s">
        <v>225</v>
      </c>
    </row>
    <row r="130" spans="3:3">
      <c r="C130" s="133" t="s">
        <v>226</v>
      </c>
    </row>
    <row r="131" spans="3:3">
      <c r="C131" s="133" t="s">
        <v>227</v>
      </c>
    </row>
    <row r="132" spans="3:3">
      <c r="C132" s="133" t="s">
        <v>228</v>
      </c>
    </row>
    <row r="133" spans="3:3">
      <c r="C133" s="133" t="s">
        <v>229</v>
      </c>
    </row>
    <row r="134" spans="3:3">
      <c r="C134" s="133"/>
    </row>
    <row r="135" spans="3:3">
      <c r="C135" s="133" t="s">
        <v>230</v>
      </c>
    </row>
    <row r="136" spans="3:3">
      <c r="C136" s="133" t="s">
        <v>231</v>
      </c>
    </row>
    <row r="137" spans="3:3">
      <c r="C137" s="133" t="s">
        <v>232</v>
      </c>
    </row>
    <row r="138" spans="3:3">
      <c r="C138" s="133"/>
    </row>
    <row r="139" spans="3:3">
      <c r="C139" s="133" t="s">
        <v>233</v>
      </c>
    </row>
    <row r="140" spans="3:3">
      <c r="C140" s="133" t="s">
        <v>234</v>
      </c>
    </row>
    <row r="141" spans="3:3">
      <c r="C141" s="133"/>
    </row>
    <row r="142" spans="3:3">
      <c r="C142" s="133" t="s">
        <v>235</v>
      </c>
    </row>
    <row r="143" spans="3:3">
      <c r="C143" s="133"/>
    </row>
    <row r="144" spans="3:3">
      <c r="C144" s="133" t="s">
        <v>236</v>
      </c>
    </row>
    <row r="145" spans="3:3">
      <c r="C145" s="133" t="s">
        <v>237</v>
      </c>
    </row>
    <row r="146" spans="3:3">
      <c r="C146" s="133" t="s">
        <v>238</v>
      </c>
    </row>
    <row r="147" spans="3:3">
      <c r="C147" s="133" t="s">
        <v>239</v>
      </c>
    </row>
    <row r="148" spans="3:3">
      <c r="C148" s="133" t="s">
        <v>240</v>
      </c>
    </row>
    <row r="149" spans="3:3">
      <c r="C149" s="133" t="s">
        <v>241</v>
      </c>
    </row>
    <row r="150" spans="3:3">
      <c r="C150" s="133" t="s">
        <v>242</v>
      </c>
    </row>
    <row r="151" spans="3:3">
      <c r="C151" s="133"/>
    </row>
    <row r="152" spans="3:3">
      <c r="C152" s="133" t="s">
        <v>243</v>
      </c>
    </row>
    <row r="153" spans="3:3">
      <c r="C153" s="133" t="s">
        <v>244</v>
      </c>
    </row>
    <row r="154" spans="3:3">
      <c r="C154" s="133" t="s">
        <v>245</v>
      </c>
    </row>
    <row r="155" spans="3:3">
      <c r="C155" s="133" t="s">
        <v>246</v>
      </c>
    </row>
    <row r="156" spans="3:3">
      <c r="C156" s="133" t="s">
        <v>247</v>
      </c>
    </row>
    <row r="157" spans="3:3">
      <c r="C157" s="133" t="s">
        <v>248</v>
      </c>
    </row>
    <row r="158" spans="3:3">
      <c r="C158" s="133" t="s">
        <v>249</v>
      </c>
    </row>
    <row r="159" spans="3:3">
      <c r="C159" s="133" t="s">
        <v>250</v>
      </c>
    </row>
    <row r="160" spans="3:3">
      <c r="C160" s="133" t="s">
        <v>251</v>
      </c>
    </row>
    <row r="161" spans="3:3">
      <c r="C161" s="133" t="s">
        <v>252</v>
      </c>
    </row>
    <row r="162" spans="3:3">
      <c r="C162" s="133"/>
    </row>
    <row r="163" spans="3:3">
      <c r="C163" s="133" t="s">
        <v>253</v>
      </c>
    </row>
    <row r="164" spans="3:3">
      <c r="C164" s="133" t="s">
        <v>254</v>
      </c>
    </row>
    <row r="165" spans="3:3">
      <c r="C165" s="133" t="s">
        <v>255</v>
      </c>
    </row>
    <row r="166" spans="3:3">
      <c r="C166" s="133"/>
    </row>
    <row r="167" spans="3:3">
      <c r="C167" s="133" t="s">
        <v>256</v>
      </c>
    </row>
    <row r="168" spans="3:3">
      <c r="C168" s="133"/>
    </row>
    <row r="169" spans="3:3">
      <c r="C169" s="133" t="s">
        <v>257</v>
      </c>
    </row>
    <row r="170" spans="3:3">
      <c r="C170" s="133" t="s">
        <v>258</v>
      </c>
    </row>
    <row r="171" spans="3:3">
      <c r="C171" s="133" t="s">
        <v>259</v>
      </c>
    </row>
    <row r="172" spans="3:3">
      <c r="C172" s="133" t="s">
        <v>260</v>
      </c>
    </row>
    <row r="173" spans="3:3">
      <c r="C173" s="133" t="s">
        <v>261</v>
      </c>
    </row>
    <row r="174" spans="3:3">
      <c r="C174" s="133"/>
    </row>
    <row r="175" spans="3:3">
      <c r="C175" s="133" t="s">
        <v>262</v>
      </c>
    </row>
    <row r="176" spans="3:3">
      <c r="C176" s="133" t="s">
        <v>263</v>
      </c>
    </row>
    <row r="177" spans="3:3">
      <c r="C177" s="133" t="s">
        <v>264</v>
      </c>
    </row>
    <row r="178" spans="3:3">
      <c r="C178" s="133" t="s">
        <v>265</v>
      </c>
    </row>
    <row r="179" spans="3:3">
      <c r="C179" s="133" t="s">
        <v>266</v>
      </c>
    </row>
    <row r="180" spans="3:3">
      <c r="C180" s="133" t="s">
        <v>267</v>
      </c>
    </row>
    <row r="181" spans="3:3">
      <c r="C181" s="133" t="s">
        <v>268</v>
      </c>
    </row>
    <row r="182" spans="3:3">
      <c r="C182" s="133"/>
    </row>
    <row r="183" spans="3:3">
      <c r="C183" s="133" t="s">
        <v>269</v>
      </c>
    </row>
    <row r="184" spans="3:3">
      <c r="C184" s="133"/>
    </row>
    <row r="185" spans="3:3">
      <c r="C185" s="133" t="s">
        <v>270</v>
      </c>
    </row>
    <row r="186" spans="3:3">
      <c r="C186" s="133" t="s">
        <v>271</v>
      </c>
    </row>
    <row r="187" spans="3:3">
      <c r="C187" s="133" t="s">
        <v>272</v>
      </c>
    </row>
    <row r="188" spans="3:3">
      <c r="C188" s="133" t="s">
        <v>273</v>
      </c>
    </row>
    <row r="189" spans="3:3">
      <c r="C189" s="133" t="s">
        <v>274</v>
      </c>
    </row>
    <row r="190" spans="3:3">
      <c r="C190" s="133" t="s">
        <v>275</v>
      </c>
    </row>
    <row r="191" spans="3:3">
      <c r="C191" s="133" t="s">
        <v>276</v>
      </c>
    </row>
    <row r="192" spans="3:3">
      <c r="C192" s="133"/>
    </row>
    <row r="193" spans="3:3">
      <c r="C193" s="133" t="s">
        <v>277</v>
      </c>
    </row>
    <row r="194" spans="3:3">
      <c r="C194" s="133" t="s">
        <v>278</v>
      </c>
    </row>
    <row r="195" spans="3:3">
      <c r="C195" s="133"/>
    </row>
    <row r="196" spans="3:3">
      <c r="C196" s="133" t="s">
        <v>279</v>
      </c>
    </row>
    <row r="197" spans="3:3">
      <c r="C197" s="133"/>
    </row>
    <row r="198" spans="3:3">
      <c r="C198" s="133" t="s">
        <v>280</v>
      </c>
    </row>
    <row r="199" spans="3:3">
      <c r="C199" s="133" t="s">
        <v>281</v>
      </c>
    </row>
    <row r="200" spans="3:3">
      <c r="C200" s="133" t="s">
        <v>282</v>
      </c>
    </row>
    <row r="201" spans="3:3">
      <c r="C201" s="133"/>
    </row>
    <row r="202" spans="3:3">
      <c r="C202" s="133" t="s">
        <v>283</v>
      </c>
    </row>
    <row r="203" spans="3:3">
      <c r="C203" s="133" t="s">
        <v>284</v>
      </c>
    </row>
    <row r="204" spans="3:3">
      <c r="C204" s="133"/>
    </row>
    <row r="205" spans="3:3">
      <c r="C205" s="133" t="s">
        <v>285</v>
      </c>
    </row>
    <row r="206" spans="3:3">
      <c r="C206" s="133" t="s">
        <v>286</v>
      </c>
    </row>
    <row r="207" spans="3:3">
      <c r="C207" s="133" t="s">
        <v>287</v>
      </c>
    </row>
    <row r="208" spans="3:3">
      <c r="C208" s="133" t="s">
        <v>288</v>
      </c>
    </row>
    <row r="209" spans="3:3">
      <c r="C209" s="133"/>
    </row>
    <row r="210" spans="3:3">
      <c r="C210" s="133" t="s">
        <v>289</v>
      </c>
    </row>
    <row r="211" spans="3:3">
      <c r="C211" s="133" t="s">
        <v>290</v>
      </c>
    </row>
    <row r="212" spans="3:3">
      <c r="C212" s="133" t="s">
        <v>291</v>
      </c>
    </row>
    <row r="213" spans="3:3">
      <c r="C213" s="133" t="s">
        <v>292</v>
      </c>
    </row>
    <row r="214" spans="3:3">
      <c r="C214" s="133" t="s">
        <v>293</v>
      </c>
    </row>
    <row r="215" spans="3:3">
      <c r="C215" s="133" t="s">
        <v>294</v>
      </c>
    </row>
    <row r="216" spans="3:3">
      <c r="C216" s="133" t="s">
        <v>295</v>
      </c>
    </row>
    <row r="217" spans="3:3">
      <c r="C217" s="133"/>
    </row>
    <row r="218" spans="3:3">
      <c r="C218" s="133" t="s">
        <v>296</v>
      </c>
    </row>
    <row r="219" spans="3:3">
      <c r="C219" s="133" t="s">
        <v>297</v>
      </c>
    </row>
    <row r="220" spans="3:3">
      <c r="C220" s="133" t="s">
        <v>298</v>
      </c>
    </row>
    <row r="221" spans="3:3">
      <c r="C221" s="133" t="s">
        <v>299</v>
      </c>
    </row>
    <row r="222" spans="3:3">
      <c r="C222" s="133"/>
    </row>
    <row r="223" spans="3:3">
      <c r="C223" s="133" t="s">
        <v>300</v>
      </c>
    </row>
    <row r="224" spans="3:3">
      <c r="C224" s="133" t="s">
        <v>301</v>
      </c>
    </row>
    <row r="225" spans="3:3">
      <c r="C225" s="133" t="s">
        <v>302</v>
      </c>
    </row>
    <row r="226" spans="3:3">
      <c r="C226" s="133" t="s">
        <v>303</v>
      </c>
    </row>
    <row r="227" spans="3:3">
      <c r="C227" s="133" t="s">
        <v>304</v>
      </c>
    </row>
    <row r="228" spans="3:3">
      <c r="C228" s="133" t="s">
        <v>305</v>
      </c>
    </row>
    <row r="229" spans="3:3">
      <c r="C229" s="133" t="s">
        <v>306</v>
      </c>
    </row>
    <row r="230" spans="3:3">
      <c r="C230" s="133" t="s">
        <v>307</v>
      </c>
    </row>
    <row r="231" spans="3:3">
      <c r="C231" s="133" t="s">
        <v>308</v>
      </c>
    </row>
    <row r="232" spans="3:3">
      <c r="C232" s="133"/>
    </row>
    <row r="233" spans="3:3">
      <c r="C233" s="133" t="s">
        <v>309</v>
      </c>
    </row>
    <row r="234" spans="3:3">
      <c r="C234" s="133"/>
    </row>
    <row r="235" spans="3:3">
      <c r="C235" s="133" t="s">
        <v>310</v>
      </c>
    </row>
    <row r="236" spans="3:3">
      <c r="C236" s="133" t="s">
        <v>311</v>
      </c>
    </row>
    <row r="237" spans="3:3">
      <c r="C237" s="133" t="s">
        <v>312</v>
      </c>
    </row>
    <row r="238" spans="3:3">
      <c r="C238" s="133" t="s">
        <v>313</v>
      </c>
    </row>
    <row r="239" spans="3:3">
      <c r="C239" s="133"/>
    </row>
    <row r="240" spans="3:3">
      <c r="C240" s="133" t="s">
        <v>314</v>
      </c>
    </row>
    <row r="241" spans="3:3">
      <c r="C241" s="133" t="s">
        <v>315</v>
      </c>
    </row>
    <row r="242" spans="3:3">
      <c r="C242" s="133" t="s">
        <v>316</v>
      </c>
    </row>
    <row r="243" spans="3:3">
      <c r="C243" s="133" t="s">
        <v>317</v>
      </c>
    </row>
    <row r="244" spans="3:3">
      <c r="C244" s="133"/>
    </row>
    <row r="245" spans="3:3">
      <c r="C245" s="133" t="s">
        <v>318</v>
      </c>
    </row>
    <row r="246" spans="3:3">
      <c r="C246" s="133" t="s">
        <v>319</v>
      </c>
    </row>
    <row r="247" spans="3:3">
      <c r="C247" s="133" t="s">
        <v>320</v>
      </c>
    </row>
    <row r="248" spans="3:3">
      <c r="C248" s="133" t="s">
        <v>321</v>
      </c>
    </row>
    <row r="249" spans="3:3">
      <c r="C249" s="133" t="s">
        <v>322</v>
      </c>
    </row>
    <row r="250" spans="3:3">
      <c r="C250" s="133" t="s">
        <v>323</v>
      </c>
    </row>
    <row r="251" spans="3:3">
      <c r="C251" s="133" t="s">
        <v>324</v>
      </c>
    </row>
    <row r="252" spans="3:3">
      <c r="C252" s="133" t="s">
        <v>325</v>
      </c>
    </row>
    <row r="253" spans="3:3">
      <c r="C253" s="133" t="s">
        <v>326</v>
      </c>
    </row>
    <row r="254" spans="3:3">
      <c r="C254" s="133" t="s">
        <v>327</v>
      </c>
    </row>
    <row r="255" spans="3:3">
      <c r="C255" s="133" t="s">
        <v>328</v>
      </c>
    </row>
    <row r="256" spans="3:3">
      <c r="C256" s="133"/>
    </row>
    <row r="257" spans="3:3">
      <c r="C257" s="133" t="s">
        <v>329</v>
      </c>
    </row>
    <row r="258" spans="3:3">
      <c r="C258" s="133" t="s">
        <v>330</v>
      </c>
    </row>
    <row r="259" spans="3:3">
      <c r="C259" s="133" t="s">
        <v>331</v>
      </c>
    </row>
    <row r="260" spans="3:3">
      <c r="C260" s="133" t="s">
        <v>332</v>
      </c>
    </row>
    <row r="261" spans="3:3">
      <c r="C261" s="133" t="s">
        <v>333</v>
      </c>
    </row>
    <row r="262" spans="3:3">
      <c r="C262" s="133"/>
    </row>
    <row r="263" spans="3:3">
      <c r="C263" s="133" t="s">
        <v>334</v>
      </c>
    </row>
    <row r="264" spans="3:3">
      <c r="C264" s="133" t="s">
        <v>335</v>
      </c>
    </row>
    <row r="265" spans="3:3">
      <c r="C265" s="133" t="s">
        <v>336</v>
      </c>
    </row>
    <row r="266" spans="3:3">
      <c r="C266" s="133" t="s">
        <v>337</v>
      </c>
    </row>
    <row r="267" spans="3:3">
      <c r="C267" s="133" t="s">
        <v>338</v>
      </c>
    </row>
    <row r="268" spans="3:3">
      <c r="C268" s="133" t="s">
        <v>339</v>
      </c>
    </row>
    <row r="269" spans="3:3">
      <c r="C269" s="133" t="s">
        <v>340</v>
      </c>
    </row>
    <row r="270" spans="3:3">
      <c r="C270" s="133" t="s">
        <v>341</v>
      </c>
    </row>
    <row r="271" spans="3:3">
      <c r="C271" s="133" t="s">
        <v>342</v>
      </c>
    </row>
    <row r="272" spans="3:3">
      <c r="C272" s="133" t="s">
        <v>343</v>
      </c>
    </row>
    <row r="273" spans="3:3">
      <c r="C273" s="133" t="s">
        <v>344</v>
      </c>
    </row>
    <row r="274" spans="3:3">
      <c r="C274" s="133" t="s">
        <v>345</v>
      </c>
    </row>
    <row r="275" spans="3:3">
      <c r="C275" s="133"/>
    </row>
    <row r="276" spans="3:3">
      <c r="C276" s="133" t="s">
        <v>346</v>
      </c>
    </row>
    <row r="277" spans="3:3">
      <c r="C277" s="133" t="s">
        <v>347</v>
      </c>
    </row>
    <row r="278" spans="3:3">
      <c r="C278" s="133" t="s">
        <v>348</v>
      </c>
    </row>
    <row r="279" spans="3:3">
      <c r="C279" s="133" t="s">
        <v>349</v>
      </c>
    </row>
    <row r="280" spans="3:3">
      <c r="C280" s="133"/>
    </row>
    <row r="281" spans="3:3">
      <c r="C281" s="133" t="s">
        <v>350</v>
      </c>
    </row>
    <row r="282" spans="3:3">
      <c r="C282" s="133" t="s">
        <v>351</v>
      </c>
    </row>
    <row r="283" spans="3:3">
      <c r="C283" s="133" t="s">
        <v>352</v>
      </c>
    </row>
    <row r="284" spans="3:3">
      <c r="C284" s="133"/>
    </row>
    <row r="285" spans="3:3">
      <c r="C285" s="133" t="s">
        <v>353</v>
      </c>
    </row>
    <row r="286" spans="3:3">
      <c r="C286" s="133" t="s">
        <v>354</v>
      </c>
    </row>
    <row r="287" spans="3:3">
      <c r="C287" s="133" t="s">
        <v>355</v>
      </c>
    </row>
    <row r="288" spans="3:3">
      <c r="C288" s="133" t="s">
        <v>356</v>
      </c>
    </row>
    <row r="289" spans="3:3">
      <c r="C289" s="133" t="s">
        <v>357</v>
      </c>
    </row>
    <row r="290" spans="3:3">
      <c r="C290" s="133" t="s">
        <v>358</v>
      </c>
    </row>
    <row r="291" spans="3:3">
      <c r="C291" s="133" t="s">
        <v>359</v>
      </c>
    </row>
    <row r="292" spans="3:3">
      <c r="C292" s="133" t="s">
        <v>360</v>
      </c>
    </row>
    <row r="293" spans="3:3">
      <c r="C293" s="133" t="s">
        <v>361</v>
      </c>
    </row>
    <row r="294" spans="3:3">
      <c r="C294" s="133" t="s">
        <v>362</v>
      </c>
    </row>
    <row r="295" spans="3:3">
      <c r="C295" s="133" t="s">
        <v>363</v>
      </c>
    </row>
    <row r="296" spans="3:3">
      <c r="C296" s="133" t="s">
        <v>364</v>
      </c>
    </row>
    <row r="297" spans="3:3">
      <c r="C297" s="133"/>
    </row>
    <row r="298" spans="3:3">
      <c r="C298" s="133" t="s">
        <v>365</v>
      </c>
    </row>
    <row r="299" spans="3:3">
      <c r="C299" s="133" t="s">
        <v>366</v>
      </c>
    </row>
    <row r="300" spans="3:3">
      <c r="C300" s="133" t="s">
        <v>367</v>
      </c>
    </row>
    <row r="301" spans="3:3">
      <c r="C301" s="133" t="s">
        <v>368</v>
      </c>
    </row>
    <row r="302" spans="3:3">
      <c r="C302" s="133" t="s">
        <v>369</v>
      </c>
    </row>
    <row r="303" spans="3:3">
      <c r="C303" s="133" t="s">
        <v>370</v>
      </c>
    </row>
    <row r="304" spans="3:3">
      <c r="C304" s="133" t="s">
        <v>371</v>
      </c>
    </row>
    <row r="305" spans="3:3">
      <c r="C305" s="133"/>
    </row>
    <row r="306" spans="3:3">
      <c r="C306" s="133" t="s">
        <v>372</v>
      </c>
    </row>
    <row r="307" spans="3:3">
      <c r="C307" s="133" t="s">
        <v>373</v>
      </c>
    </row>
    <row r="308" spans="3:3">
      <c r="C308" s="133" t="s">
        <v>374</v>
      </c>
    </row>
    <row r="309" spans="3:3">
      <c r="C309" s="133" t="s">
        <v>375</v>
      </c>
    </row>
    <row r="310" spans="3:3">
      <c r="C310" s="133" t="s">
        <v>376</v>
      </c>
    </row>
    <row r="311" spans="3:3">
      <c r="C311" s="133" t="s">
        <v>377</v>
      </c>
    </row>
    <row r="312" spans="3:3">
      <c r="C312" s="133" t="s">
        <v>378</v>
      </c>
    </row>
    <row r="313" spans="3:3">
      <c r="C313" s="133" t="s">
        <v>379</v>
      </c>
    </row>
    <row r="314" spans="3:3">
      <c r="C314" s="133" t="s">
        <v>380</v>
      </c>
    </row>
    <row r="315" spans="3:3">
      <c r="C315" s="133" t="s">
        <v>381</v>
      </c>
    </row>
    <row r="316" spans="3:3">
      <c r="C316" s="133"/>
    </row>
    <row r="317" spans="3:3">
      <c r="C317" s="133" t="s">
        <v>382</v>
      </c>
    </row>
    <row r="318" spans="3:3">
      <c r="C318" s="133" t="s">
        <v>383</v>
      </c>
    </row>
    <row r="319" spans="3:3">
      <c r="C319" s="133" t="s">
        <v>384</v>
      </c>
    </row>
    <row r="320" spans="3:3">
      <c r="C320" s="133" t="s">
        <v>385</v>
      </c>
    </row>
    <row r="321" spans="3:3">
      <c r="C321" s="133" t="s">
        <v>386</v>
      </c>
    </row>
    <row r="322" spans="3:3">
      <c r="C322" s="133" t="s">
        <v>387</v>
      </c>
    </row>
    <row r="323" spans="3:3">
      <c r="C323" s="133" t="s">
        <v>388</v>
      </c>
    </row>
    <row r="324" spans="3:3">
      <c r="C324" s="133"/>
    </row>
    <row r="325" spans="3:3">
      <c r="C325" s="133" t="s">
        <v>389</v>
      </c>
    </row>
    <row r="326" spans="3:3">
      <c r="C326" s="133" t="s">
        <v>390</v>
      </c>
    </row>
    <row r="327" spans="3:3">
      <c r="C327" s="133" t="s">
        <v>391</v>
      </c>
    </row>
    <row r="328" spans="3:3">
      <c r="C328" s="133" t="s">
        <v>392</v>
      </c>
    </row>
    <row r="329" spans="3:3">
      <c r="C329" s="133" t="s">
        <v>393</v>
      </c>
    </row>
    <row r="330" spans="3:3">
      <c r="C330" s="133"/>
    </row>
    <row r="331" spans="3:3">
      <c r="C331" s="133" t="s">
        <v>394</v>
      </c>
    </row>
    <row r="332" spans="3:3">
      <c r="C332" s="133"/>
    </row>
    <row r="333" spans="3:3">
      <c r="C333" s="133" t="s">
        <v>395</v>
      </c>
    </row>
    <row r="334" spans="3:3">
      <c r="C334" s="133" t="s">
        <v>396</v>
      </c>
    </row>
    <row r="335" spans="3:3">
      <c r="C335" s="133" t="s">
        <v>397</v>
      </c>
    </row>
    <row r="336" spans="3:3">
      <c r="C336" s="133" t="s">
        <v>398</v>
      </c>
    </row>
    <row r="337" spans="3:3">
      <c r="C337" s="133" t="s">
        <v>399</v>
      </c>
    </row>
    <row r="338" spans="3:3">
      <c r="C338" s="133" t="s">
        <v>400</v>
      </c>
    </row>
    <row r="339" spans="3:3">
      <c r="C339" s="133" t="s">
        <v>401</v>
      </c>
    </row>
    <row r="340" spans="3:3">
      <c r="C340" s="133" t="s">
        <v>402</v>
      </c>
    </row>
    <row r="341" spans="3:3">
      <c r="C341" s="133"/>
    </row>
    <row r="342" spans="3:3">
      <c r="C342" s="133" t="s">
        <v>403</v>
      </c>
    </row>
    <row r="343" spans="3:3">
      <c r="C343" s="133" t="s">
        <v>404</v>
      </c>
    </row>
    <row r="344" spans="3:3">
      <c r="C344" s="133" t="s">
        <v>405</v>
      </c>
    </row>
    <row r="345" spans="3:3">
      <c r="C345" s="133" t="s">
        <v>406</v>
      </c>
    </row>
    <row r="346" spans="3:3">
      <c r="C346" s="133" t="s">
        <v>407</v>
      </c>
    </row>
    <row r="347" spans="3:3">
      <c r="C347" s="133" t="s">
        <v>408</v>
      </c>
    </row>
    <row r="348" spans="3:3">
      <c r="C348" s="133"/>
    </row>
    <row r="349" spans="3:3">
      <c r="C349" s="133" t="s">
        <v>409</v>
      </c>
    </row>
    <row r="350" spans="3:3">
      <c r="C350" s="133" t="s">
        <v>410</v>
      </c>
    </row>
    <row r="351" spans="3:3">
      <c r="C351" s="133" t="s">
        <v>411</v>
      </c>
    </row>
    <row r="352" spans="3:3">
      <c r="C352" s="133"/>
    </row>
    <row r="353" spans="3:3">
      <c r="C353" s="133" t="s">
        <v>412</v>
      </c>
    </row>
    <row r="354" spans="3:3">
      <c r="C354" s="133" t="s">
        <v>413</v>
      </c>
    </row>
    <row r="355" spans="3:3">
      <c r="C355" s="133"/>
    </row>
    <row r="356" spans="3:3">
      <c r="C356" s="133" t="s">
        <v>414</v>
      </c>
    </row>
    <row r="357" spans="3:3">
      <c r="C357" s="133" t="s">
        <v>415</v>
      </c>
    </row>
    <row r="358" spans="3:3">
      <c r="C358" s="133" t="s">
        <v>416</v>
      </c>
    </row>
    <row r="359" spans="3:3">
      <c r="C359" s="133"/>
    </row>
    <row r="360" spans="3:3">
      <c r="C360" s="133" t="s">
        <v>417</v>
      </c>
    </row>
    <row r="361" spans="3:3">
      <c r="C361" s="133" t="s">
        <v>418</v>
      </c>
    </row>
    <row r="362" spans="3:3">
      <c r="C362" s="133" t="s">
        <v>419</v>
      </c>
    </row>
    <row r="363" spans="3:3">
      <c r="C363" s="133"/>
    </row>
    <row r="364" spans="3:3">
      <c r="C364" s="133" t="s">
        <v>420</v>
      </c>
    </row>
    <row r="365" spans="3:3">
      <c r="C365" s="133" t="s">
        <v>421</v>
      </c>
    </row>
    <row r="366" spans="3:3">
      <c r="C366" s="133"/>
    </row>
    <row r="367" spans="3:3">
      <c r="C367" s="133" t="s">
        <v>422</v>
      </c>
    </row>
    <row r="368" spans="3:3">
      <c r="C368" s="133" t="s">
        <v>423</v>
      </c>
    </row>
    <row r="369" spans="3:3">
      <c r="C369" s="133"/>
    </row>
    <row r="370" spans="3:3">
      <c r="C370" s="133" t="s">
        <v>424</v>
      </c>
    </row>
    <row r="371" spans="3:3">
      <c r="C371" s="133" t="s">
        <v>425</v>
      </c>
    </row>
    <row r="372" spans="3:3">
      <c r="C372" s="133" t="s">
        <v>426</v>
      </c>
    </row>
    <row r="373" spans="3:3">
      <c r="C373" s="133" t="s">
        <v>427</v>
      </c>
    </row>
    <row r="374" spans="3:3">
      <c r="C374" s="133" t="s">
        <v>428</v>
      </c>
    </row>
    <row r="375" spans="3:3">
      <c r="C375" s="133"/>
    </row>
    <row r="376" spans="3:3">
      <c r="C376" s="133" t="s">
        <v>429</v>
      </c>
    </row>
    <row r="377" spans="3:3">
      <c r="C377" s="133" t="s">
        <v>430</v>
      </c>
    </row>
    <row r="378" spans="3:3">
      <c r="C378" s="133" t="s">
        <v>431</v>
      </c>
    </row>
    <row r="379" spans="3:3">
      <c r="C379" s="133" t="s">
        <v>432</v>
      </c>
    </row>
    <row r="380" spans="3:3">
      <c r="C380" s="133" t="s">
        <v>433</v>
      </c>
    </row>
    <row r="381" spans="3:3">
      <c r="C381" s="133" t="s">
        <v>434</v>
      </c>
    </row>
    <row r="382" spans="3:3">
      <c r="C382" s="133" t="s">
        <v>435</v>
      </c>
    </row>
    <row r="383" spans="3:3">
      <c r="C383" s="133" t="s">
        <v>436</v>
      </c>
    </row>
    <row r="384" spans="3:3">
      <c r="C384" s="133" t="s">
        <v>437</v>
      </c>
    </row>
    <row r="385" spans="3:3">
      <c r="C385" s="133"/>
    </row>
    <row r="386" spans="3:3">
      <c r="C386" s="133" t="s">
        <v>438</v>
      </c>
    </row>
    <row r="387" spans="3:3">
      <c r="C387" s="133" t="s">
        <v>439</v>
      </c>
    </row>
    <row r="388" spans="3:3">
      <c r="C388" s="133" t="s">
        <v>440</v>
      </c>
    </row>
    <row r="389" spans="3:3">
      <c r="C389" s="133" t="s">
        <v>441</v>
      </c>
    </row>
    <row r="390" spans="3:3">
      <c r="C390" s="133"/>
    </row>
    <row r="391" spans="3:3">
      <c r="C391" s="133" t="s">
        <v>442</v>
      </c>
    </row>
    <row r="392" spans="3:3">
      <c r="C392" s="133" t="s">
        <v>443</v>
      </c>
    </row>
    <row r="393" spans="3:3">
      <c r="C393" s="133" t="s">
        <v>444</v>
      </c>
    </row>
    <row r="394" spans="3:3">
      <c r="C394" s="133"/>
    </row>
    <row r="395" spans="3:3">
      <c r="C395" s="133" t="s">
        <v>445</v>
      </c>
    </row>
    <row r="396" spans="3:3">
      <c r="C396" s="133"/>
    </row>
    <row r="397" spans="3:3">
      <c r="C397" s="133" t="s">
        <v>446</v>
      </c>
    </row>
    <row r="398" spans="3:3">
      <c r="C398" s="133" t="s">
        <v>447</v>
      </c>
    </row>
    <row r="399" spans="3:3">
      <c r="C399" s="133" t="s">
        <v>448</v>
      </c>
    </row>
    <row r="400" spans="3:3">
      <c r="C400" s="133" t="s">
        <v>449</v>
      </c>
    </row>
    <row r="401" spans="3:3">
      <c r="C401" s="133" t="s">
        <v>450</v>
      </c>
    </row>
    <row r="402" spans="3:3">
      <c r="C402" s="133"/>
    </row>
    <row r="403" spans="3:3">
      <c r="C403" s="133" t="s">
        <v>451</v>
      </c>
    </row>
    <row r="404" spans="3:3">
      <c r="C404" s="133" t="s">
        <v>452</v>
      </c>
    </row>
    <row r="405" spans="3:3">
      <c r="C405" s="133" t="s">
        <v>453</v>
      </c>
    </row>
    <row r="406" spans="3:3">
      <c r="C406" s="133" t="s">
        <v>454</v>
      </c>
    </row>
    <row r="407" spans="3:3">
      <c r="C407" s="133" t="s">
        <v>455</v>
      </c>
    </row>
    <row r="408" spans="3:3">
      <c r="C408" s="133" t="s">
        <v>456</v>
      </c>
    </row>
    <row r="409" spans="3:3">
      <c r="C409" s="133"/>
    </row>
    <row r="410" spans="3:3">
      <c r="C410" s="133" t="s">
        <v>457</v>
      </c>
    </row>
    <row r="411" spans="3:3">
      <c r="C411" s="133" t="s">
        <v>458</v>
      </c>
    </row>
    <row r="412" spans="3:3">
      <c r="C412" s="133" t="s">
        <v>459</v>
      </c>
    </row>
    <row r="413" spans="3:3">
      <c r="C413" s="133" t="s">
        <v>460</v>
      </c>
    </row>
    <row r="414" spans="3:3">
      <c r="C414" s="133" t="s">
        <v>461</v>
      </c>
    </row>
    <row r="415" spans="3:3">
      <c r="C415" s="133" t="s">
        <v>462</v>
      </c>
    </row>
    <row r="416" spans="3:3">
      <c r="C416" s="133"/>
    </row>
    <row r="417" spans="3:3">
      <c r="C417" s="133" t="s">
        <v>463</v>
      </c>
    </row>
    <row r="418" spans="3:3">
      <c r="C418" s="133" t="s">
        <v>464</v>
      </c>
    </row>
    <row r="419" spans="3:3">
      <c r="C419" s="133" t="s">
        <v>465</v>
      </c>
    </row>
    <row r="420" spans="3:3">
      <c r="C420" s="133" t="s">
        <v>466</v>
      </c>
    </row>
    <row r="421" spans="3:3">
      <c r="C421" s="133" t="s">
        <v>467</v>
      </c>
    </row>
    <row r="422" spans="3:3">
      <c r="C422" s="133"/>
    </row>
    <row r="423" spans="3:3">
      <c r="C423" s="133" t="s">
        <v>468</v>
      </c>
    </row>
    <row r="424" spans="3:3">
      <c r="C424" s="133"/>
    </row>
    <row r="425" spans="3:3">
      <c r="C425" s="133" t="s">
        <v>469</v>
      </c>
    </row>
    <row r="426" spans="3:3">
      <c r="C426" s="133" t="s">
        <v>470</v>
      </c>
    </row>
    <row r="427" spans="3:3">
      <c r="C427" s="133" t="s">
        <v>471</v>
      </c>
    </row>
    <row r="428" spans="3:3">
      <c r="C428" s="133" t="s">
        <v>472</v>
      </c>
    </row>
    <row r="429" spans="3:3">
      <c r="C429" s="133" t="s">
        <v>473</v>
      </c>
    </row>
    <row r="430" spans="3:3">
      <c r="C430" s="133" t="s">
        <v>474</v>
      </c>
    </row>
    <row r="431" spans="3:3">
      <c r="C431" s="133" t="s">
        <v>475</v>
      </c>
    </row>
    <row r="432" spans="3:3">
      <c r="C432" s="133" t="s">
        <v>476</v>
      </c>
    </row>
    <row r="433" spans="3:3">
      <c r="C433" s="133"/>
    </row>
    <row r="434" spans="3:3">
      <c r="C434" s="133" t="s">
        <v>477</v>
      </c>
    </row>
    <row r="435" spans="3:3">
      <c r="C435" s="133"/>
    </row>
    <row r="436" spans="3:3">
      <c r="C436" s="133" t="s">
        <v>478</v>
      </c>
    </row>
    <row r="437" spans="3:3">
      <c r="C437" s="133" t="s">
        <v>479</v>
      </c>
    </row>
    <row r="438" spans="3:3">
      <c r="C438" s="133" t="s">
        <v>480</v>
      </c>
    </row>
    <row r="439" spans="3:3">
      <c r="C439" s="133" t="s">
        <v>481</v>
      </c>
    </row>
    <row r="440" spans="3:3">
      <c r="C440" s="133"/>
    </row>
    <row r="441" spans="3:3">
      <c r="C441" s="133" t="s">
        <v>482</v>
      </c>
    </row>
    <row r="442" spans="3:3">
      <c r="C442" s="133" t="s">
        <v>483</v>
      </c>
    </row>
    <row r="443" spans="3:3">
      <c r="C443" s="133" t="s">
        <v>484</v>
      </c>
    </row>
    <row r="444" spans="3:3">
      <c r="C444" s="133" t="s">
        <v>485</v>
      </c>
    </row>
    <row r="445" spans="3:3">
      <c r="C445" s="133" t="s">
        <v>486</v>
      </c>
    </row>
    <row r="446" spans="3:3">
      <c r="C446" s="133" t="s">
        <v>487</v>
      </c>
    </row>
    <row r="447" spans="3:3">
      <c r="C447" s="133" t="s">
        <v>488</v>
      </c>
    </row>
    <row r="448" spans="3:3">
      <c r="C448" s="133" t="s">
        <v>489</v>
      </c>
    </row>
    <row r="449" spans="3:3">
      <c r="C449" s="133" t="s">
        <v>490</v>
      </c>
    </row>
    <row r="450" spans="3:3">
      <c r="C450" s="133"/>
    </row>
    <row r="451" spans="3:3">
      <c r="C451" s="133" t="s">
        <v>491</v>
      </c>
    </row>
    <row r="452" spans="3:3">
      <c r="C452" s="133" t="s">
        <v>492</v>
      </c>
    </row>
    <row r="453" spans="3:3">
      <c r="C453" s="133" t="s">
        <v>493</v>
      </c>
    </row>
    <row r="454" spans="3:3">
      <c r="C454" s="133" t="s">
        <v>494</v>
      </c>
    </row>
    <row r="455" spans="3:3">
      <c r="C455" s="133" t="s">
        <v>495</v>
      </c>
    </row>
    <row r="456" spans="3:3">
      <c r="C456" s="133" t="s">
        <v>496</v>
      </c>
    </row>
    <row r="457" spans="3:3">
      <c r="C457" s="133" t="s">
        <v>497</v>
      </c>
    </row>
    <row r="458" spans="3:3">
      <c r="C458" s="133"/>
    </row>
    <row r="459" spans="3:3">
      <c r="C459" s="133" t="s">
        <v>498</v>
      </c>
    </row>
    <row r="460" spans="3:3">
      <c r="C460" s="133"/>
    </row>
    <row r="461" spans="3:3">
      <c r="C461" s="133" t="s">
        <v>499</v>
      </c>
    </row>
    <row r="462" spans="3:3">
      <c r="C462" s="133" t="s">
        <v>500</v>
      </c>
    </row>
    <row r="463" spans="3:3">
      <c r="C463" s="133" t="s">
        <v>501</v>
      </c>
    </row>
    <row r="464" spans="3:3">
      <c r="C464" s="133"/>
    </row>
    <row r="465" spans="3:3">
      <c r="C465" s="133" t="s">
        <v>502</v>
      </c>
    </row>
    <row r="466" spans="3:3">
      <c r="C466" s="133" t="s">
        <v>503</v>
      </c>
    </row>
    <row r="467" spans="3:3">
      <c r="C467" s="133" t="s">
        <v>504</v>
      </c>
    </row>
    <row r="468" spans="3:3">
      <c r="C468" s="133" t="s">
        <v>505</v>
      </c>
    </row>
    <row r="469" spans="3:3">
      <c r="C469" s="133" t="s">
        <v>506</v>
      </c>
    </row>
    <row r="470" spans="3:3">
      <c r="C470" s="133" t="s">
        <v>507</v>
      </c>
    </row>
    <row r="471" spans="3:3">
      <c r="C471" s="133" t="s">
        <v>508</v>
      </c>
    </row>
    <row r="472" spans="3:3">
      <c r="C472" s="133" t="s">
        <v>509</v>
      </c>
    </row>
    <row r="473" spans="3:3">
      <c r="C473" s="133" t="s">
        <v>510</v>
      </c>
    </row>
    <row r="474" spans="3:3">
      <c r="C474" s="133"/>
    </row>
    <row r="475" spans="3:3">
      <c r="C475" s="133" t="s">
        <v>511</v>
      </c>
    </row>
    <row r="476" spans="3:3">
      <c r="C476" s="133" t="s">
        <v>512</v>
      </c>
    </row>
    <row r="477" spans="3:3">
      <c r="C477" s="133" t="s">
        <v>513</v>
      </c>
    </row>
    <row r="478" spans="3:3">
      <c r="C478" s="133" t="s">
        <v>514</v>
      </c>
    </row>
    <row r="479" spans="3:3">
      <c r="C479" s="133"/>
    </row>
    <row r="480" spans="3:3">
      <c r="C480" s="133" t="s">
        <v>515</v>
      </c>
    </row>
    <row r="481" spans="3:3">
      <c r="C481" s="133" t="s">
        <v>516</v>
      </c>
    </row>
    <row r="482" spans="3:3">
      <c r="C482" s="133" t="s">
        <v>517</v>
      </c>
    </row>
    <row r="483" spans="3:3">
      <c r="C483" s="133" t="s">
        <v>518</v>
      </c>
    </row>
    <row r="484" spans="3:3">
      <c r="C484" s="133" t="s">
        <v>519</v>
      </c>
    </row>
    <row r="485" spans="3:3">
      <c r="C485" s="133" t="s">
        <v>520</v>
      </c>
    </row>
    <row r="486" spans="3:3">
      <c r="C486" s="133"/>
    </row>
    <row r="487" spans="3:3">
      <c r="C487" s="133" t="s">
        <v>521</v>
      </c>
    </row>
    <row r="488" spans="3:3">
      <c r="C488" s="133" t="s">
        <v>522</v>
      </c>
    </row>
    <row r="489" spans="3:3">
      <c r="C489" s="133" t="s">
        <v>523</v>
      </c>
    </row>
    <row r="490" spans="3:3">
      <c r="C490" s="133" t="s">
        <v>524</v>
      </c>
    </row>
    <row r="491" spans="3:3">
      <c r="C491" s="133" t="s">
        <v>525</v>
      </c>
    </row>
    <row r="492" spans="3:3">
      <c r="C492" s="133" t="s">
        <v>526</v>
      </c>
    </row>
    <row r="493" spans="3:3">
      <c r="C493" s="133" t="s">
        <v>527</v>
      </c>
    </row>
    <row r="494" spans="3:3">
      <c r="C494" s="133" t="s">
        <v>528</v>
      </c>
    </row>
    <row r="495" spans="3:3">
      <c r="C495" s="133" t="s">
        <v>529</v>
      </c>
    </row>
    <row r="496" spans="3:3">
      <c r="C496" s="133" t="s">
        <v>530</v>
      </c>
    </row>
    <row r="497" spans="3:3">
      <c r="C497" s="133" t="s">
        <v>531</v>
      </c>
    </row>
    <row r="498" spans="3:3">
      <c r="C498" s="133" t="s">
        <v>532</v>
      </c>
    </row>
    <row r="499" spans="3:3">
      <c r="C499" s="133" t="s">
        <v>533</v>
      </c>
    </row>
    <row r="500" spans="3:3">
      <c r="C500" s="133"/>
    </row>
    <row r="501" spans="3:3">
      <c r="C501" s="133" t="s">
        <v>534</v>
      </c>
    </row>
    <row r="502" spans="3:3">
      <c r="C502" s="133" t="s">
        <v>535</v>
      </c>
    </row>
    <row r="503" spans="3:3">
      <c r="C503" s="133" t="s">
        <v>536</v>
      </c>
    </row>
    <row r="504" spans="3:3">
      <c r="C504" s="133" t="s">
        <v>537</v>
      </c>
    </row>
    <row r="505" spans="3:3">
      <c r="C505" s="133" t="s">
        <v>538</v>
      </c>
    </row>
    <row r="506" spans="3:3">
      <c r="C506" s="133" t="s">
        <v>539</v>
      </c>
    </row>
    <row r="507" spans="3:3">
      <c r="C507" s="133" t="s">
        <v>540</v>
      </c>
    </row>
    <row r="508" spans="3:3">
      <c r="C508" s="133"/>
    </row>
    <row r="509" spans="3:3">
      <c r="C509" s="133" t="s">
        <v>541</v>
      </c>
    </row>
    <row r="510" spans="3:3">
      <c r="C510" s="133" t="s">
        <v>542</v>
      </c>
    </row>
    <row r="511" spans="3:3">
      <c r="C511" s="133" t="s">
        <v>543</v>
      </c>
    </row>
    <row r="512" spans="3:3">
      <c r="C512" s="133" t="s">
        <v>544</v>
      </c>
    </row>
    <row r="513" spans="3:3">
      <c r="C513" s="133" t="s">
        <v>545</v>
      </c>
    </row>
    <row r="514" spans="3:3">
      <c r="C514" s="133" t="s">
        <v>546</v>
      </c>
    </row>
    <row r="515" spans="3:3">
      <c r="C515" s="133" t="s">
        <v>547</v>
      </c>
    </row>
    <row r="516" spans="3:3">
      <c r="C516" s="133" t="s">
        <v>548</v>
      </c>
    </row>
    <row r="517" spans="3:3">
      <c r="C517" s="133" t="s">
        <v>549</v>
      </c>
    </row>
    <row r="518" spans="3:3">
      <c r="C518" s="133" t="s">
        <v>550</v>
      </c>
    </row>
    <row r="519" spans="3:3">
      <c r="C519" s="133" t="s">
        <v>551</v>
      </c>
    </row>
    <row r="520" spans="3:3">
      <c r="C520" s="133" t="s">
        <v>552</v>
      </c>
    </row>
    <row r="521" spans="3:3">
      <c r="C521" s="133" t="s">
        <v>553</v>
      </c>
    </row>
    <row r="522" spans="3:3">
      <c r="C522" s="133" t="s">
        <v>554</v>
      </c>
    </row>
    <row r="523" spans="3:3">
      <c r="C523" s="133"/>
    </row>
    <row r="524" spans="3:3">
      <c r="C524" s="133" t="s">
        <v>555</v>
      </c>
    </row>
    <row r="525" spans="3:3">
      <c r="C525" s="133" t="s">
        <v>556</v>
      </c>
    </row>
    <row r="526" spans="3:3">
      <c r="C526" s="133" t="s">
        <v>557</v>
      </c>
    </row>
    <row r="527" spans="3:3">
      <c r="C527" s="133"/>
    </row>
    <row r="528" spans="3:3">
      <c r="C528" s="133" t="s">
        <v>558</v>
      </c>
    </row>
    <row r="529" spans="3:3">
      <c r="C529" s="133"/>
    </row>
    <row r="530" spans="3:3">
      <c r="C530" s="133" t="s">
        <v>559</v>
      </c>
    </row>
    <row r="531" spans="3:3">
      <c r="C531" s="133" t="s">
        <v>560</v>
      </c>
    </row>
    <row r="532" spans="3:3">
      <c r="C532" s="133" t="s">
        <v>561</v>
      </c>
    </row>
    <row r="533" spans="3:3">
      <c r="C533" s="133" t="s">
        <v>562</v>
      </c>
    </row>
    <row r="534" spans="3:3">
      <c r="C534" s="133" t="s">
        <v>563</v>
      </c>
    </row>
    <row r="535" spans="3:3">
      <c r="C535" s="133" t="s">
        <v>564</v>
      </c>
    </row>
    <row r="536" spans="3:3">
      <c r="C536" s="133" t="s">
        <v>565</v>
      </c>
    </row>
    <row r="537" spans="3:3">
      <c r="C537" s="133" t="s">
        <v>566</v>
      </c>
    </row>
    <row r="538" spans="3:3">
      <c r="C538" s="133" t="s">
        <v>567</v>
      </c>
    </row>
    <row r="539" spans="3:3">
      <c r="C539" s="133"/>
    </row>
    <row r="540" spans="3:3">
      <c r="C540" s="133" t="s">
        <v>568</v>
      </c>
    </row>
    <row r="541" spans="3:3">
      <c r="C541" s="133"/>
    </row>
    <row r="542" spans="3:3">
      <c r="C542" s="133" t="s">
        <v>569</v>
      </c>
    </row>
    <row r="543" spans="3:3">
      <c r="C543" s="133" t="s">
        <v>570</v>
      </c>
    </row>
    <row r="544" spans="3:3">
      <c r="C544" s="133" t="s">
        <v>571</v>
      </c>
    </row>
    <row r="545" spans="3:3">
      <c r="C545" s="133" t="s">
        <v>572</v>
      </c>
    </row>
    <row r="546" spans="3:3">
      <c r="C546" s="133" t="s">
        <v>573</v>
      </c>
    </row>
    <row r="547" spans="3:3">
      <c r="C547" s="133" t="s">
        <v>574</v>
      </c>
    </row>
    <row r="548" spans="3:3">
      <c r="C548" s="133" t="s">
        <v>575</v>
      </c>
    </row>
    <row r="549" spans="3:3">
      <c r="C549" s="133" t="s">
        <v>576</v>
      </c>
    </row>
    <row r="550" spans="3:3">
      <c r="C550" s="133" t="s">
        <v>577</v>
      </c>
    </row>
    <row r="551" spans="3:3">
      <c r="C551" s="133" t="s">
        <v>578</v>
      </c>
    </row>
    <row r="552" spans="3:3">
      <c r="C552" s="133"/>
    </row>
    <row r="553" spans="3:3">
      <c r="C553" s="133" t="s">
        <v>579</v>
      </c>
    </row>
    <row r="554" spans="3:3">
      <c r="C554" s="133" t="s">
        <v>580</v>
      </c>
    </row>
    <row r="555" spans="3:3">
      <c r="C555" s="133" t="s">
        <v>581</v>
      </c>
    </row>
    <row r="556" spans="3:3">
      <c r="C556" s="133" t="s">
        <v>582</v>
      </c>
    </row>
    <row r="557" spans="3:3">
      <c r="C557" s="133" t="s">
        <v>583</v>
      </c>
    </row>
    <row r="558" spans="3:3">
      <c r="C558" s="133" t="s">
        <v>584</v>
      </c>
    </row>
    <row r="559" spans="3:3">
      <c r="C559" s="133" t="s">
        <v>585</v>
      </c>
    </row>
    <row r="560" spans="3:3">
      <c r="C560" s="133"/>
    </row>
    <row r="561" spans="3:3">
      <c r="C561" s="133" t="s">
        <v>586</v>
      </c>
    </row>
    <row r="562" spans="3:3">
      <c r="C562" s="133"/>
    </row>
    <row r="563" spans="3:3">
      <c r="C563" s="133" t="s">
        <v>587</v>
      </c>
    </row>
    <row r="564" spans="3:3">
      <c r="C564" s="133" t="s">
        <v>588</v>
      </c>
    </row>
    <row r="565" spans="3:3">
      <c r="C565" s="133" t="s">
        <v>589</v>
      </c>
    </row>
    <row r="566" spans="3:3">
      <c r="C566" s="133" t="s">
        <v>590</v>
      </c>
    </row>
    <row r="567" spans="3:3">
      <c r="C567" s="133"/>
    </row>
    <row r="568" spans="3:3">
      <c r="C568" s="133" t="s">
        <v>591</v>
      </c>
    </row>
    <row r="569" spans="3:3">
      <c r="C569" s="133" t="s">
        <v>592</v>
      </c>
    </row>
    <row r="570" spans="3:3">
      <c r="C570" s="133" t="s">
        <v>593</v>
      </c>
    </row>
    <row r="571" spans="3:3">
      <c r="C571" s="133" t="s">
        <v>594</v>
      </c>
    </row>
    <row r="572" spans="3:3">
      <c r="C572" s="133" t="s">
        <v>595</v>
      </c>
    </row>
    <row r="573" spans="3:3">
      <c r="C573" s="133" t="s">
        <v>596</v>
      </c>
    </row>
    <row r="574" spans="3:3">
      <c r="C574" s="133" t="s">
        <v>597</v>
      </c>
    </row>
    <row r="575" spans="3:3">
      <c r="C575" s="133" t="s">
        <v>598</v>
      </c>
    </row>
    <row r="576" spans="3:3">
      <c r="C576" s="133"/>
    </row>
    <row r="577" spans="3:3">
      <c r="C577" s="133" t="s">
        <v>599</v>
      </c>
    </row>
    <row r="578" spans="3:3">
      <c r="C578" s="133" t="s">
        <v>600</v>
      </c>
    </row>
    <row r="579" spans="3:3">
      <c r="C579" s="133" t="s">
        <v>601</v>
      </c>
    </row>
    <row r="580" spans="3:3">
      <c r="C580" s="133" t="s">
        <v>602</v>
      </c>
    </row>
    <row r="581" spans="3:3">
      <c r="C581" s="133"/>
    </row>
    <row r="582" spans="3:3">
      <c r="C582" s="133" t="s">
        <v>603</v>
      </c>
    </row>
    <row r="583" spans="3:3">
      <c r="C583" s="133" t="s">
        <v>604</v>
      </c>
    </row>
    <row r="584" spans="3:3">
      <c r="C584" s="133" t="s">
        <v>605</v>
      </c>
    </row>
    <row r="585" spans="3:3">
      <c r="C585" s="133" t="s">
        <v>606</v>
      </c>
    </row>
    <row r="586" spans="3:3">
      <c r="C586" s="133"/>
    </row>
    <row r="587" spans="3:3">
      <c r="C587" s="133" t="s">
        <v>607</v>
      </c>
    </row>
    <row r="588" spans="3:3">
      <c r="C588" s="133"/>
    </row>
    <row r="589" spans="3:3">
      <c r="C589" s="133" t="s">
        <v>608</v>
      </c>
    </row>
    <row r="590" spans="3:3">
      <c r="C590" s="133" t="s">
        <v>609</v>
      </c>
    </row>
    <row r="591" spans="3:3">
      <c r="C591" s="133" t="s">
        <v>610</v>
      </c>
    </row>
    <row r="592" spans="3:3">
      <c r="C592" s="133" t="s">
        <v>611</v>
      </c>
    </row>
    <row r="593" spans="3:3">
      <c r="C593" s="133" t="s">
        <v>612</v>
      </c>
    </row>
    <row r="594" spans="3:3">
      <c r="C594" s="133" t="s">
        <v>613</v>
      </c>
    </row>
    <row r="595" spans="3:3">
      <c r="C595" s="133" t="s">
        <v>614</v>
      </c>
    </row>
    <row r="596" spans="3:3">
      <c r="C596" s="133" t="s">
        <v>615</v>
      </c>
    </row>
    <row r="597" spans="3:3">
      <c r="C597" s="133"/>
    </row>
    <row r="598" spans="3:3">
      <c r="C598" s="133" t="s">
        <v>616</v>
      </c>
    </row>
    <row r="599" spans="3:3">
      <c r="C599" s="133"/>
    </row>
    <row r="600" spans="3:3">
      <c r="C600" s="133" t="s">
        <v>617</v>
      </c>
    </row>
    <row r="601" spans="3:3">
      <c r="C601" s="133" t="s">
        <v>618</v>
      </c>
    </row>
    <row r="602" spans="3:3">
      <c r="C602" s="133" t="s">
        <v>619</v>
      </c>
    </row>
    <row r="603" spans="3:3">
      <c r="C603" s="133" t="s">
        <v>620</v>
      </c>
    </row>
    <row r="604" spans="3:3">
      <c r="C604" s="133" t="s">
        <v>621</v>
      </c>
    </row>
    <row r="605" spans="3:3">
      <c r="C605" s="133" t="s">
        <v>622</v>
      </c>
    </row>
    <row r="606" spans="3:3">
      <c r="C606" s="133" t="s">
        <v>623</v>
      </c>
    </row>
    <row r="607" spans="3:3">
      <c r="C607" s="133" t="s">
        <v>624</v>
      </c>
    </row>
    <row r="608" spans="3:3">
      <c r="C608" s="133" t="s">
        <v>625</v>
      </c>
    </row>
    <row r="609" spans="3:3">
      <c r="C609" s="133"/>
    </row>
    <row r="610" spans="3:3">
      <c r="C610" s="133" t="s">
        <v>626</v>
      </c>
    </row>
    <row r="611" spans="3:3">
      <c r="C611" s="133"/>
    </row>
    <row r="612" spans="3:3">
      <c r="C612" s="133" t="s">
        <v>627</v>
      </c>
    </row>
    <row r="613" spans="3:3">
      <c r="C613" s="133" t="s">
        <v>628</v>
      </c>
    </row>
    <row r="614" spans="3:3">
      <c r="C614" s="133" t="s">
        <v>629</v>
      </c>
    </row>
    <row r="615" spans="3:3">
      <c r="C615" s="133" t="s">
        <v>630</v>
      </c>
    </row>
    <row r="616" spans="3:3">
      <c r="C616" s="133" t="s">
        <v>631</v>
      </c>
    </row>
    <row r="617" spans="3:3">
      <c r="C617" s="133" t="s">
        <v>632</v>
      </c>
    </row>
    <row r="618" spans="3:3">
      <c r="C618" s="133"/>
    </row>
    <row r="619" spans="3:3">
      <c r="C619" s="133" t="s">
        <v>633</v>
      </c>
    </row>
    <row r="620" spans="3:3">
      <c r="C620" s="133"/>
    </row>
    <row r="621" spans="3:3">
      <c r="C621" s="133" t="s">
        <v>634</v>
      </c>
    </row>
    <row r="622" spans="3:3">
      <c r="C622" s="133"/>
    </row>
    <row r="623" spans="3:3">
      <c r="C623" s="133" t="s">
        <v>635</v>
      </c>
    </row>
    <row r="624" spans="3:3">
      <c r="C624" s="133" t="s">
        <v>636</v>
      </c>
    </row>
    <row r="625" spans="3:3">
      <c r="C625" s="133" t="s">
        <v>637</v>
      </c>
    </row>
    <row r="626" spans="3:3">
      <c r="C626" s="133"/>
    </row>
    <row r="627" spans="3:3">
      <c r="C627" s="133" t="s">
        <v>638</v>
      </c>
    </row>
    <row r="628" spans="3:3">
      <c r="C628" s="133" t="s">
        <v>639</v>
      </c>
    </row>
    <row r="629" spans="3:3">
      <c r="C629" s="133" t="s">
        <v>640</v>
      </c>
    </row>
    <row r="630" spans="3:3">
      <c r="C630" s="133" t="s">
        <v>641</v>
      </c>
    </row>
    <row r="631" spans="3:3">
      <c r="C631" s="133"/>
    </row>
    <row r="632" spans="3:3">
      <c r="C632" s="133" t="s">
        <v>642</v>
      </c>
    </row>
    <row r="633" spans="3:3">
      <c r="C633" s="133" t="s">
        <v>643</v>
      </c>
    </row>
    <row r="634" spans="3:3">
      <c r="C634" s="133"/>
    </row>
    <row r="635" spans="3:3">
      <c r="C635" s="133" t="s">
        <v>644</v>
      </c>
    </row>
    <row r="636" spans="3:3">
      <c r="C636" s="133" t="s">
        <v>645</v>
      </c>
    </row>
    <row r="637" spans="3:3">
      <c r="C637" s="133" t="s">
        <v>646</v>
      </c>
    </row>
    <row r="638" spans="3:3">
      <c r="C638" s="133" t="s">
        <v>647</v>
      </c>
    </row>
    <row r="639" spans="3:3">
      <c r="C639" s="133"/>
    </row>
    <row r="640" spans="3:3">
      <c r="C640" s="133" t="s">
        <v>648</v>
      </c>
    </row>
    <row r="641" spans="3:3">
      <c r="C641" s="133" t="s">
        <v>649</v>
      </c>
    </row>
    <row r="642" spans="3:3">
      <c r="C642" s="133" t="s">
        <v>650</v>
      </c>
    </row>
    <row r="643" spans="3:3">
      <c r="C643" s="133" t="s">
        <v>651</v>
      </c>
    </row>
    <row r="644" spans="3:3">
      <c r="C644" s="133"/>
    </row>
    <row r="645" spans="3:3">
      <c r="C645" s="133" t="s">
        <v>652</v>
      </c>
    </row>
    <row r="646" spans="3:3">
      <c r="C646" s="133" t="s">
        <v>653</v>
      </c>
    </row>
    <row r="647" spans="3:3">
      <c r="C647" s="133"/>
    </row>
    <row r="648" spans="3:3">
      <c r="C648" s="133" t="s">
        <v>654</v>
      </c>
    </row>
    <row r="649" spans="3:3">
      <c r="C649" s="133"/>
    </row>
    <row r="650" spans="3:3">
      <c r="C650" s="133" t="s">
        <v>655</v>
      </c>
    </row>
    <row r="651" spans="3:3">
      <c r="C651" s="133" t="s">
        <v>656</v>
      </c>
    </row>
    <row r="652" spans="3:3">
      <c r="C652" s="133" t="s">
        <v>657</v>
      </c>
    </row>
    <row r="653" spans="3:3">
      <c r="C653" s="133" t="s">
        <v>658</v>
      </c>
    </row>
    <row r="654" spans="3:3">
      <c r="C654" s="133" t="s">
        <v>659</v>
      </c>
    </row>
    <row r="655" spans="3:3">
      <c r="C655" s="133" t="s">
        <v>660</v>
      </c>
    </row>
    <row r="656" spans="3:3">
      <c r="C656" s="133" t="s">
        <v>661</v>
      </c>
    </row>
    <row r="657" spans="3:3">
      <c r="C657" s="133"/>
    </row>
    <row r="658" spans="3:3">
      <c r="C658" s="133" t="s">
        <v>662</v>
      </c>
    </row>
    <row r="659" spans="3:3">
      <c r="C659" s="133" t="s">
        <v>663</v>
      </c>
    </row>
    <row r="660" spans="3:3">
      <c r="C660" s="133" t="s">
        <v>664</v>
      </c>
    </row>
    <row r="661" spans="3:3">
      <c r="C661" s="133" t="s">
        <v>665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E715-A45E-4A1D-86E5-9041EBD011D9}">
  <sheetPr codeName="Sheet2"/>
  <dimension ref="A1:H312"/>
  <sheetViews>
    <sheetView workbookViewId="0">
      <selection activeCell="G6" sqref="G6:H306"/>
    </sheetView>
  </sheetViews>
  <sheetFormatPr defaultRowHeight="15"/>
  <cols>
    <col min="1" max="1" width="13.140625" style="1" bestFit="1" customWidth="1"/>
    <col min="2" max="2" width="12.42578125" style="1" bestFit="1" customWidth="1"/>
    <col min="3" max="4" width="12.42578125" style="1" customWidth="1"/>
    <col min="5" max="5" width="9.85546875" style="1" bestFit="1" customWidth="1"/>
    <col min="6" max="6" width="9.140625" style="1"/>
    <col min="7" max="7" width="9.85546875" style="1" bestFit="1" customWidth="1"/>
    <col min="8" max="8" width="12.42578125" style="1" bestFit="1" customWidth="1"/>
    <col min="9" max="16384" width="9.140625" style="1"/>
  </cols>
  <sheetData>
    <row r="1" spans="1:8">
      <c r="A1" s="152" t="s">
        <v>68</v>
      </c>
      <c r="B1" s="153"/>
      <c r="D1" s="154" t="s">
        <v>80</v>
      </c>
      <c r="E1" s="155"/>
      <c r="G1" s="151" t="s">
        <v>69</v>
      </c>
      <c r="H1" s="151"/>
    </row>
    <row r="2" spans="1:8">
      <c r="A2" s="82" t="s">
        <v>65</v>
      </c>
      <c r="B2" s="98">
        <f>VW!D70</f>
        <v>5.0000000000000001E-3</v>
      </c>
      <c r="D2" s="82" t="s">
        <v>65</v>
      </c>
      <c r="E2" s="98">
        <f>VW!I70</f>
        <v>5.0000000000000001E-3</v>
      </c>
      <c r="F2" s="99"/>
      <c r="G2" s="82" t="s">
        <v>78</v>
      </c>
      <c r="H2" s="98">
        <f>VW!N70</f>
        <v>1.7999999999999999E-2</v>
      </c>
    </row>
    <row r="3" spans="1:8">
      <c r="A3" s="82" t="s">
        <v>67</v>
      </c>
      <c r="B3" s="98">
        <f>VW!D71</f>
        <v>0.03</v>
      </c>
      <c r="D3" s="82" t="s">
        <v>67</v>
      </c>
      <c r="E3" s="98">
        <f>VW!I71</f>
        <v>0.03</v>
      </c>
      <c r="F3" s="99"/>
      <c r="G3" s="82" t="s">
        <v>79</v>
      </c>
      <c r="H3" s="98">
        <f>VW!N71</f>
        <v>4.0000000000000001E-3</v>
      </c>
    </row>
    <row r="4" spans="1:8">
      <c r="A4" s="82" t="s">
        <v>66</v>
      </c>
      <c r="B4" s="98">
        <f>VW!D72</f>
        <v>9000</v>
      </c>
      <c r="D4" s="82" t="s">
        <v>66</v>
      </c>
      <c r="E4" s="98">
        <f>VW!I72</f>
        <v>9000</v>
      </c>
      <c r="F4" s="99"/>
      <c r="G4" s="82" t="s">
        <v>76</v>
      </c>
      <c r="H4" s="98">
        <f>VW!N72</f>
        <v>9000</v>
      </c>
    </row>
    <row r="6" spans="1:8">
      <c r="A6" s="108" t="s">
        <v>0</v>
      </c>
      <c r="B6" s="108" t="s">
        <v>64</v>
      </c>
      <c r="C6" s="16"/>
      <c r="D6" s="105" t="s">
        <v>0</v>
      </c>
      <c r="E6" s="106" t="s">
        <v>64</v>
      </c>
      <c r="F6" s="9"/>
      <c r="G6" s="107" t="s">
        <v>0</v>
      </c>
      <c r="H6" s="107" t="s">
        <v>64</v>
      </c>
    </row>
    <row r="7" spans="1:8">
      <c r="A7" s="100">
        <v>0</v>
      </c>
      <c r="B7" s="104">
        <f t="shared" ref="B7:B70" si="0">IF(AND(A7&gt;=$B$2,A7&lt;=$B$3),$B$4*SIN(PI()/($B$3-$B$2)*(A7-$B$2)),0)</f>
        <v>0</v>
      </c>
      <c r="C7" s="101"/>
      <c r="D7" s="100">
        <v>0</v>
      </c>
      <c r="E7" s="102">
        <f t="shared" ref="E7:E70" si="1">IF(AND(A7&gt;=$B$2,A7&lt;=$B$3),$B$4*(1-COS(2*PI()/($B$3-$B$2)*(A7-$B$2)))/2,0)</f>
        <v>0</v>
      </c>
      <c r="F7" s="103"/>
      <c r="G7" s="100">
        <v>0</v>
      </c>
      <c r="H7" s="104">
        <f>$H$4*_xlfn.NORM.DIST(A7,$H$2,$H$3,FALSE)/_xlfn.NORM.DIST($H$2,$H$2,$H$3,FALSE)</f>
        <v>0.36058767653655965</v>
      </c>
    </row>
    <row r="8" spans="1:8">
      <c r="A8" s="100">
        <v>2.0000000000000001E-4</v>
      </c>
      <c r="B8" s="104">
        <f t="shared" si="0"/>
        <v>0</v>
      </c>
      <c r="C8" s="101"/>
      <c r="D8" s="100">
        <v>2.0000000000000001E-4</v>
      </c>
      <c r="E8" s="102">
        <f t="shared" si="1"/>
        <v>0</v>
      </c>
      <c r="F8" s="103"/>
      <c r="G8" s="100">
        <v>2.0000000000000001E-4</v>
      </c>
      <c r="H8" s="104">
        <f t="shared" ref="H8:H71" si="2">$H$4*_xlfn.NORM.DIST(A8,$H$2,$H$3,FALSE)/_xlfn.NORM.DIST($H$2,$H$2,$H$3,FALSE)</f>
        <v>0.45100802597622824</v>
      </c>
    </row>
    <row r="9" spans="1:8">
      <c r="A9" s="100">
        <v>4.0000000000000002E-4</v>
      </c>
      <c r="B9" s="104">
        <f t="shared" si="0"/>
        <v>0</v>
      </c>
      <c r="C9" s="101"/>
      <c r="D9" s="100">
        <v>4.0000000000000002E-4</v>
      </c>
      <c r="E9" s="102">
        <f t="shared" si="1"/>
        <v>0</v>
      </c>
      <c r="F9" s="103"/>
      <c r="G9" s="100">
        <v>4.0000000000000002E-4</v>
      </c>
      <c r="H9" s="104">
        <f t="shared" si="2"/>
        <v>0.56269353397338329</v>
      </c>
    </row>
    <row r="10" spans="1:8">
      <c r="A10" s="100">
        <v>5.9999999999999995E-4</v>
      </c>
      <c r="B10" s="104">
        <f t="shared" si="0"/>
        <v>0</v>
      </c>
      <c r="C10" s="101"/>
      <c r="D10" s="100">
        <v>5.9999999999999995E-4</v>
      </c>
      <c r="E10" s="102">
        <f t="shared" si="1"/>
        <v>0</v>
      </c>
      <c r="F10" s="103"/>
      <c r="G10" s="100">
        <v>5.9999999999999995E-4</v>
      </c>
      <c r="H10" s="104">
        <f t="shared" si="2"/>
        <v>0.70028341753984003</v>
      </c>
    </row>
    <row r="11" spans="1:8">
      <c r="A11" s="100">
        <v>8.0000000000000004E-4</v>
      </c>
      <c r="B11" s="104">
        <f t="shared" si="0"/>
        <v>0</v>
      </c>
      <c r="C11" s="101"/>
      <c r="D11" s="100">
        <v>8.0000000000000004E-4</v>
      </c>
      <c r="E11" s="102">
        <f t="shared" si="1"/>
        <v>0</v>
      </c>
      <c r="F11" s="103"/>
      <c r="G11" s="100">
        <v>8.0000000000000004E-4</v>
      </c>
      <c r="H11" s="104">
        <f t="shared" si="2"/>
        <v>0.86934072349965608</v>
      </c>
    </row>
    <row r="12" spans="1:8">
      <c r="A12" s="100">
        <v>1E-3</v>
      </c>
      <c r="B12" s="104">
        <f t="shared" si="0"/>
        <v>0</v>
      </c>
      <c r="C12" s="101"/>
      <c r="D12" s="100">
        <v>1E-3</v>
      </c>
      <c r="E12" s="102">
        <f t="shared" si="1"/>
        <v>0</v>
      </c>
      <c r="F12" s="103"/>
      <c r="G12" s="100">
        <v>1E-3</v>
      </c>
      <c r="H12" s="104">
        <f t="shared" si="2"/>
        <v>1.0765159522292231</v>
      </c>
    </row>
    <row r="13" spans="1:8">
      <c r="A13" s="100">
        <v>1.1999999999999999E-3</v>
      </c>
      <c r="B13" s="104">
        <f t="shared" si="0"/>
        <v>0</v>
      </c>
      <c r="C13" s="101"/>
      <c r="D13" s="100">
        <v>1.1999999999999999E-3</v>
      </c>
      <c r="E13" s="102">
        <f t="shared" si="1"/>
        <v>0</v>
      </c>
      <c r="F13" s="103"/>
      <c r="G13" s="100">
        <v>1.1999999999999999E-3</v>
      </c>
      <c r="H13" s="104">
        <f t="shared" si="2"/>
        <v>1.3297352420883073</v>
      </c>
    </row>
    <row r="14" spans="1:8">
      <c r="A14" s="100">
        <v>1.4E-3</v>
      </c>
      <c r="B14" s="104">
        <f t="shared" si="0"/>
        <v>0</v>
      </c>
      <c r="C14" s="101"/>
      <c r="D14" s="100">
        <v>1.4E-3</v>
      </c>
      <c r="E14" s="102">
        <f t="shared" si="1"/>
        <v>0</v>
      </c>
      <c r="F14" s="103"/>
      <c r="G14" s="100">
        <v>1.4E-3</v>
      </c>
      <c r="H14" s="104">
        <f t="shared" si="2"/>
        <v>1.6384158933030544</v>
      </c>
    </row>
    <row r="15" spans="1:8">
      <c r="A15" s="100">
        <v>1.6000000000000001E-3</v>
      </c>
      <c r="B15" s="104">
        <f t="shared" si="0"/>
        <v>0</v>
      </c>
      <c r="C15" s="101"/>
      <c r="D15" s="100">
        <v>1.6000000000000001E-3</v>
      </c>
      <c r="E15" s="102">
        <f t="shared" si="1"/>
        <v>0</v>
      </c>
      <c r="F15" s="103"/>
      <c r="G15" s="100">
        <v>1.6000000000000001E-3</v>
      </c>
      <c r="H15" s="104">
        <f t="shared" si="2"/>
        <v>2.0137121434855851</v>
      </c>
    </row>
    <row r="16" spans="1:8">
      <c r="A16" s="100">
        <v>1.8E-3</v>
      </c>
      <c r="B16" s="104">
        <f t="shared" si="0"/>
        <v>0</v>
      </c>
      <c r="C16" s="101"/>
      <c r="D16" s="100">
        <v>1.8E-3</v>
      </c>
      <c r="E16" s="102">
        <f t="shared" si="1"/>
        <v>0</v>
      </c>
      <c r="F16" s="103"/>
      <c r="G16" s="100">
        <v>1.8E-3</v>
      </c>
      <c r="H16" s="104">
        <f t="shared" si="2"/>
        <v>2.4687942074406108</v>
      </c>
    </row>
    <row r="17" spans="1:8">
      <c r="A17" s="100">
        <v>2E-3</v>
      </c>
      <c r="B17" s="104">
        <f t="shared" si="0"/>
        <v>0</v>
      </c>
      <c r="C17" s="101"/>
      <c r="D17" s="100">
        <v>2E-3</v>
      </c>
      <c r="E17" s="102">
        <f t="shared" si="1"/>
        <v>0</v>
      </c>
      <c r="F17" s="103"/>
      <c r="G17" s="100">
        <v>2E-3</v>
      </c>
      <c r="H17" s="104">
        <f t="shared" si="2"/>
        <v>3.0191636511226068</v>
      </c>
    </row>
    <row r="18" spans="1:8">
      <c r="A18" s="100">
        <v>2.2000000000000001E-3</v>
      </c>
      <c r="B18" s="104">
        <f t="shared" si="0"/>
        <v>0</v>
      </c>
      <c r="C18" s="101"/>
      <c r="D18" s="100">
        <v>2.2000000000000001E-3</v>
      </c>
      <c r="E18" s="102">
        <f t="shared" si="1"/>
        <v>0</v>
      </c>
      <c r="F18" s="103"/>
      <c r="G18" s="100">
        <v>2.2000000000000001E-3</v>
      </c>
      <c r="H18" s="104">
        <f t="shared" si="2"/>
        <v>3.6830081720536199</v>
      </c>
    </row>
    <row r="19" spans="1:8">
      <c r="A19" s="100">
        <v>2.3999999999999998E-3</v>
      </c>
      <c r="B19" s="104">
        <f t="shared" si="0"/>
        <v>0</v>
      </c>
      <c r="C19" s="101"/>
      <c r="D19" s="100">
        <v>2.3999999999999998E-3</v>
      </c>
      <c r="E19" s="102">
        <f t="shared" si="1"/>
        <v>0</v>
      </c>
      <c r="F19" s="103"/>
      <c r="G19" s="100">
        <v>2.3999999999999998E-3</v>
      </c>
      <c r="H19" s="104">
        <f t="shared" si="2"/>
        <v>4.4815987935294652</v>
      </c>
    </row>
    <row r="20" spans="1:8">
      <c r="A20" s="100">
        <v>2.5999999999999999E-3</v>
      </c>
      <c r="B20" s="104">
        <f t="shared" si="0"/>
        <v>0</v>
      </c>
      <c r="C20" s="101"/>
      <c r="D20" s="100">
        <v>2.5999999999999999E-3</v>
      </c>
      <c r="E20" s="102">
        <f t="shared" si="1"/>
        <v>0</v>
      </c>
      <c r="F20" s="103"/>
      <c r="G20" s="100">
        <v>2.5999999999999999E-3</v>
      </c>
      <c r="H20" s="104">
        <f t="shared" si="2"/>
        <v>5.4397323338360044</v>
      </c>
    </row>
    <row r="21" spans="1:8">
      <c r="A21" s="100">
        <v>2.8E-3</v>
      </c>
      <c r="B21" s="104">
        <f t="shared" si="0"/>
        <v>0</v>
      </c>
      <c r="C21" s="101"/>
      <c r="D21" s="100">
        <v>2.8E-3</v>
      </c>
      <c r="E21" s="102">
        <f t="shared" si="1"/>
        <v>0</v>
      </c>
      <c r="F21" s="103"/>
      <c r="G21" s="100">
        <v>2.8E-3</v>
      </c>
      <c r="H21" s="104">
        <f t="shared" si="2"/>
        <v>6.5862217699242676</v>
      </c>
    </row>
    <row r="22" spans="1:8">
      <c r="A22" s="100">
        <v>3.0000000000000001E-3</v>
      </c>
      <c r="B22" s="104">
        <f t="shared" si="0"/>
        <v>0</v>
      </c>
      <c r="C22" s="101"/>
      <c r="D22" s="100">
        <v>3.0000000000000001E-3</v>
      </c>
      <c r="E22" s="102">
        <f t="shared" si="1"/>
        <v>0</v>
      </c>
      <c r="F22" s="103"/>
      <c r="G22" s="100">
        <v>3.0000000000000001E-3</v>
      </c>
      <c r="H22" s="104">
        <f t="shared" si="2"/>
        <v>7.9544367624154502</v>
      </c>
    </row>
    <row r="23" spans="1:8">
      <c r="A23" s="100">
        <v>3.2000000000000002E-3</v>
      </c>
      <c r="B23" s="104">
        <f t="shared" si="0"/>
        <v>0</v>
      </c>
      <c r="C23" s="101"/>
      <c r="D23" s="100">
        <v>3.2000000000000002E-3</v>
      </c>
      <c r="E23" s="102">
        <f t="shared" si="1"/>
        <v>0</v>
      </c>
      <c r="F23" s="103"/>
      <c r="G23" s="100">
        <v>3.2000000000000002E-3</v>
      </c>
      <c r="H23" s="104">
        <f t="shared" si="2"/>
        <v>9.582896130011294</v>
      </c>
    </row>
    <row r="24" spans="1:8">
      <c r="A24" s="100">
        <v>3.3999999999999998E-3</v>
      </c>
      <c r="B24" s="104">
        <f t="shared" si="0"/>
        <v>0</v>
      </c>
      <c r="C24" s="101"/>
      <c r="D24" s="100">
        <v>3.3999999999999998E-3</v>
      </c>
      <c r="E24" s="102">
        <f t="shared" si="1"/>
        <v>0</v>
      </c>
      <c r="F24" s="103"/>
      <c r="G24" s="100">
        <v>3.3999999999999998E-3</v>
      </c>
      <c r="H24" s="104">
        <f t="shared" si="2"/>
        <v>11.515913441099334</v>
      </c>
    </row>
    <row r="25" spans="1:8">
      <c r="A25" s="100">
        <v>3.5999999999999999E-3</v>
      </c>
      <c r="B25" s="104">
        <f t="shared" si="0"/>
        <v>0</v>
      </c>
      <c r="C25" s="101"/>
      <c r="D25" s="100">
        <v>3.5999999999999999E-3</v>
      </c>
      <c r="E25" s="102">
        <f t="shared" si="1"/>
        <v>0</v>
      </c>
      <c r="F25" s="103"/>
      <c r="G25" s="100">
        <v>3.5999999999999999E-3</v>
      </c>
      <c r="H25" s="104">
        <f t="shared" si="2"/>
        <v>13.804296113920193</v>
      </c>
    </row>
    <row r="26" spans="1:8">
      <c r="A26" s="100">
        <v>3.8E-3</v>
      </c>
      <c r="B26" s="104">
        <f t="shared" si="0"/>
        <v>0</v>
      </c>
      <c r="C26" s="101"/>
      <c r="D26" s="100">
        <v>3.8E-3</v>
      </c>
      <c r="E26" s="102">
        <f t="shared" si="1"/>
        <v>0</v>
      </c>
      <c r="F26" s="103"/>
      <c r="G26" s="100">
        <v>3.8E-3</v>
      </c>
      <c r="H26" s="104">
        <f t="shared" si="2"/>
        <v>16.506097470658435</v>
      </c>
    </row>
    <row r="27" spans="1:8">
      <c r="A27" s="100">
        <v>4.0000000000000001E-3</v>
      </c>
      <c r="B27" s="104">
        <f t="shared" si="0"/>
        <v>0</v>
      </c>
      <c r="C27" s="101"/>
      <c r="D27" s="100">
        <v>4.0000000000000001E-3</v>
      </c>
      <c r="E27" s="102">
        <f t="shared" si="1"/>
        <v>0</v>
      </c>
      <c r="F27" s="103"/>
      <c r="G27" s="100">
        <v>4.0000000000000001E-3</v>
      </c>
      <c r="H27" s="104">
        <f t="shared" si="2"/>
        <v>19.687420063645998</v>
      </c>
    </row>
    <row r="28" spans="1:8">
      <c r="A28" s="100">
        <v>4.1999999999999997E-3</v>
      </c>
      <c r="B28" s="104">
        <f t="shared" si="0"/>
        <v>0</v>
      </c>
      <c r="C28" s="101"/>
      <c r="D28" s="100">
        <v>4.1999999999999997E-3</v>
      </c>
      <c r="E28" s="102">
        <f t="shared" si="1"/>
        <v>0</v>
      </c>
      <c r="F28" s="103"/>
      <c r="G28" s="100">
        <v>4.1999999999999997E-3</v>
      </c>
      <c r="H28" s="104">
        <f t="shared" si="2"/>
        <v>23.423267274528644</v>
      </c>
    </row>
    <row r="29" spans="1:8">
      <c r="A29" s="100">
        <v>4.4000000000000003E-3</v>
      </c>
      <c r="B29" s="104">
        <f t="shared" si="0"/>
        <v>0</v>
      </c>
      <c r="C29" s="101"/>
      <c r="D29" s="100">
        <v>4.4000000000000003E-3</v>
      </c>
      <c r="E29" s="102">
        <f t="shared" si="1"/>
        <v>0</v>
      </c>
      <c r="F29" s="103"/>
      <c r="G29" s="100">
        <v>4.4000000000000003E-3</v>
      </c>
      <c r="H29" s="104">
        <f t="shared" si="2"/>
        <v>27.798438674130967</v>
      </c>
    </row>
    <row r="30" spans="1:8">
      <c r="A30" s="100">
        <v>4.5999999999999999E-3</v>
      </c>
      <c r="B30" s="104">
        <f t="shared" si="0"/>
        <v>0</v>
      </c>
      <c r="C30" s="101"/>
      <c r="D30" s="100">
        <v>4.5999999999999999E-3</v>
      </c>
      <c r="E30" s="102">
        <f t="shared" si="1"/>
        <v>0</v>
      </c>
      <c r="F30" s="103"/>
      <c r="G30" s="100">
        <v>4.5999999999999999E-3</v>
      </c>
      <c r="H30" s="104">
        <f t="shared" si="2"/>
        <v>32.90846292047609</v>
      </c>
    </row>
    <row r="31" spans="1:8">
      <c r="A31" s="100">
        <v>4.7999999999999996E-3</v>
      </c>
      <c r="B31" s="104">
        <f t="shared" si="0"/>
        <v>0</v>
      </c>
      <c r="C31" s="101"/>
      <c r="D31" s="100">
        <v>4.7999999999999996E-3</v>
      </c>
      <c r="E31" s="102">
        <f t="shared" si="1"/>
        <v>0</v>
      </c>
      <c r="F31" s="103"/>
      <c r="G31" s="100">
        <v>4.7999999999999996E-3</v>
      </c>
      <c r="H31" s="104">
        <f t="shared" si="2"/>
        <v>38.86056006869773</v>
      </c>
    </row>
    <row r="32" spans="1:8">
      <c r="A32" s="100">
        <v>5.0000000000000001E-3</v>
      </c>
      <c r="B32" s="104">
        <f t="shared" si="0"/>
        <v>0</v>
      </c>
      <c r="C32" s="101"/>
      <c r="D32" s="100">
        <v>5.0000000000000001E-3</v>
      </c>
      <c r="E32" s="102">
        <f t="shared" si="1"/>
        <v>0</v>
      </c>
      <c r="F32" s="103"/>
      <c r="G32" s="100">
        <v>5.0000000000000001E-3</v>
      </c>
      <c r="H32" s="104">
        <f t="shared" si="2"/>
        <v>45.774623079114384</v>
      </c>
    </row>
    <row r="33" spans="1:8">
      <c r="A33" s="100">
        <v>5.1999999999999998E-3</v>
      </c>
      <c r="B33" s="104">
        <f t="shared" si="0"/>
        <v>226.17085899003695</v>
      </c>
      <c r="C33" s="101"/>
      <c r="D33" s="100">
        <v>5.1999999999999998E-3</v>
      </c>
      <c r="E33" s="102">
        <f t="shared" si="1"/>
        <v>5.6836952729213959</v>
      </c>
      <c r="F33" s="103"/>
      <c r="G33" s="100">
        <v>5.1999999999999998E-3</v>
      </c>
      <c r="H33" s="104">
        <f t="shared" si="2"/>
        <v>53.784206055053538</v>
      </c>
    </row>
    <row r="34" spans="1:8">
      <c r="A34" s="100">
        <v>5.4000000000000003E-3</v>
      </c>
      <c r="B34" s="104">
        <f t="shared" si="0"/>
        <v>452.19886361792624</v>
      </c>
      <c r="C34" s="101"/>
      <c r="D34" s="100">
        <v>5.4000000000000003E-3</v>
      </c>
      <c r="E34" s="102">
        <f t="shared" si="1"/>
        <v>22.72042358414922</v>
      </c>
      <c r="F34" s="103"/>
      <c r="G34" s="100">
        <v>5.4000000000000003E-3</v>
      </c>
      <c r="H34" s="104">
        <f t="shared" si="2"/>
        <v>63.037504344261919</v>
      </c>
    </row>
    <row r="35" spans="1:8">
      <c r="A35" s="100">
        <v>5.5999999999999999E-3</v>
      </c>
      <c r="B35" s="104">
        <f t="shared" si="0"/>
        <v>677.94124975139437</v>
      </c>
      <c r="C35" s="101"/>
      <c r="D35" s="100">
        <v>5.5999999999999999E-3</v>
      </c>
      <c r="E35" s="102">
        <f t="shared" si="1"/>
        <v>51.067148679386719</v>
      </c>
      <c r="F35" s="103"/>
      <c r="G35" s="100">
        <v>5.5999999999999999E-3</v>
      </c>
      <c r="H35" s="104">
        <f t="shared" si="2"/>
        <v>73.698309129366876</v>
      </c>
    </row>
    <row r="36" spans="1:8">
      <c r="A36" s="100">
        <v>5.7999999999999996E-3</v>
      </c>
      <c r="B36" s="104">
        <f t="shared" si="0"/>
        <v>903.25543366093359</v>
      </c>
      <c r="C36" s="101"/>
      <c r="D36" s="100">
        <v>5.7999999999999996E-3</v>
      </c>
      <c r="E36" s="102">
        <f t="shared" si="1"/>
        <v>90.652264270889134</v>
      </c>
      <c r="F36" s="103"/>
      <c r="G36" s="100">
        <v>5.7999999999999996E-3</v>
      </c>
      <c r="H36" s="104">
        <f t="shared" si="2"/>
        <v>85.946916555182852</v>
      </c>
    </row>
    <row r="37" spans="1:8">
      <c r="A37" s="100">
        <v>6.0000000000000001E-3</v>
      </c>
      <c r="B37" s="104">
        <f t="shared" si="0"/>
        <v>1127.9991020787384</v>
      </c>
      <c r="C37" s="101"/>
      <c r="D37" s="100">
        <v>6.0000000000000001E-3</v>
      </c>
      <c r="E37" s="102">
        <f t="shared" si="1"/>
        <v>141.37577492116014</v>
      </c>
      <c r="F37" s="103"/>
      <c r="G37" s="100">
        <v>6.0000000000000001E-3</v>
      </c>
      <c r="H37" s="104">
        <f t="shared" si="2"/>
        <v>99.980968844180936</v>
      </c>
    </row>
    <row r="38" spans="1:8">
      <c r="A38" s="100">
        <v>6.1999999999999998E-3</v>
      </c>
      <c r="B38" s="104">
        <f t="shared" si="0"/>
        <v>1352.0303020868134</v>
      </c>
      <c r="C38" s="101"/>
      <c r="D38" s="100">
        <v>6.1999999999999998E-3</v>
      </c>
      <c r="E38" s="102">
        <f t="shared" si="1"/>
        <v>203.10954864010671</v>
      </c>
      <c r="F38" s="103"/>
      <c r="G38" s="100">
        <v>6.1999999999999998E-3</v>
      </c>
      <c r="H38" s="104">
        <f t="shared" si="2"/>
        <v>116.01620229601355</v>
      </c>
    </row>
    <row r="39" spans="1:8">
      <c r="A39" s="100">
        <v>6.4000000000000003E-3</v>
      </c>
      <c r="B39" s="104">
        <f t="shared" si="0"/>
        <v>1575.2075307774849</v>
      </c>
      <c r="C39" s="101"/>
      <c r="D39" s="100">
        <v>6.4000000000000003E-3</v>
      </c>
      <c r="E39" s="102">
        <f t="shared" si="1"/>
        <v>275.69764055756667</v>
      </c>
      <c r="F39" s="103"/>
      <c r="G39" s="100">
        <v>6.4000000000000003E-3</v>
      </c>
      <c r="H39" s="104">
        <f t="shared" si="2"/>
        <v>134.28707462161057</v>
      </c>
    </row>
    <row r="40" spans="1:8">
      <c r="A40" s="100">
        <v>6.6E-3</v>
      </c>
      <c r="B40" s="104">
        <f t="shared" si="0"/>
        <v>1797.3898246296633</v>
      </c>
      <c r="C40" s="101"/>
      <c r="D40" s="100">
        <v>6.6E-3</v>
      </c>
      <c r="E40" s="102">
        <f t="shared" si="1"/>
        <v>358.95668685358328</v>
      </c>
      <c r="F40" s="103"/>
      <c r="G40" s="100">
        <v>6.6E-3</v>
      </c>
      <c r="H40" s="104">
        <f t="shared" si="2"/>
        <v>155.04724180471609</v>
      </c>
    </row>
    <row r="41" spans="1:8">
      <c r="A41" s="100">
        <v>6.7999999999999996E-3</v>
      </c>
      <c r="B41" s="104">
        <f t="shared" si="0"/>
        <v>2018.4368485444302</v>
      </c>
      <c r="C41" s="101"/>
      <c r="D41" s="100">
        <v>6.7999999999999996E-3</v>
      </c>
      <c r="E41" s="102">
        <f t="shared" si="1"/>
        <v>452.67636795133012</v>
      </c>
      <c r="F41" s="103"/>
      <c r="G41" s="100">
        <v>6.7999999999999996E-3</v>
      </c>
      <c r="H41" s="104">
        <f t="shared" si="2"/>
        <v>178.56985269933293</v>
      </c>
    </row>
    <row r="42" spans="1:8">
      <c r="A42" s="100">
        <v>7.0000000000000001E-3</v>
      </c>
      <c r="B42" s="104">
        <f t="shared" si="0"/>
        <v>2238.2089844836933</v>
      </c>
      <c r="C42" s="101"/>
      <c r="D42" s="100">
        <v>7.0000000000000001E-3</v>
      </c>
      <c r="E42" s="102">
        <f t="shared" si="1"/>
        <v>556.61993980261389</v>
      </c>
      <c r="F42" s="103"/>
      <c r="G42" s="100">
        <v>7.0000000000000001E-3</v>
      </c>
      <c r="H42" s="104">
        <f t="shared" si="2"/>
        <v>205.1476279525111</v>
      </c>
    </row>
    <row r="43" spans="1:8">
      <c r="A43" s="100">
        <v>7.1999999999999998E-3</v>
      </c>
      <c r="B43" s="104">
        <f t="shared" si="0"/>
        <v>2456.5674196559271</v>
      </c>
      <c r="C43" s="101"/>
      <c r="D43" s="100">
        <v>7.1999999999999998E-3</v>
      </c>
      <c r="E43" s="102">
        <f t="shared" si="1"/>
        <v>670.52483192388672</v>
      </c>
      <c r="F43" s="103"/>
      <c r="G43" s="100">
        <v>7.1999999999999998E-3</v>
      </c>
      <c r="H43" s="104">
        <f t="shared" si="2"/>
        <v>235.09268868526428</v>
      </c>
    </row>
    <row r="44" spans="1:8">
      <c r="A44" s="100">
        <v>7.4000000000000003E-3</v>
      </c>
      <c r="B44" s="104">
        <f t="shared" si="0"/>
        <v>2673.3742341933148</v>
      </c>
      <c r="C44" s="101"/>
      <c r="D44" s="100">
        <v>7.4000000000000003E-3</v>
      </c>
      <c r="E44" s="102">
        <f t="shared" si="1"/>
        <v>794.10331067207699</v>
      </c>
      <c r="F44" s="103"/>
      <c r="G44" s="100">
        <v>7.4000000000000003E-3</v>
      </c>
      <c r="H44" s="104">
        <f t="shared" si="2"/>
        <v>268.73609977004014</v>
      </c>
    </row>
    <row r="45" spans="1:8">
      <c r="A45" s="100">
        <v>7.6E-3</v>
      </c>
      <c r="B45" s="104">
        <f t="shared" si="0"/>
        <v>2888.4924882648852</v>
      </c>
      <c r="C45" s="101"/>
      <c r="D45" s="100">
        <v>7.6E-3</v>
      </c>
      <c r="E45" s="102">
        <f t="shared" si="1"/>
        <v>927.04320608474075</v>
      </c>
      <c r="F45" s="103"/>
      <c r="G45" s="100">
        <v>7.6E-3</v>
      </c>
      <c r="H45" s="104">
        <f t="shared" si="2"/>
        <v>306.42709261139441</v>
      </c>
    </row>
    <row r="46" spans="1:8">
      <c r="A46" s="100">
        <v>7.7999999999999996E-3</v>
      </c>
      <c r="B46" s="104">
        <f t="shared" si="0"/>
        <v>3101.7863085706535</v>
      </c>
      <c r="C46" s="101"/>
      <c r="D46" s="100">
        <v>7.7999999999999996E-3</v>
      </c>
      <c r="E46" s="102">
        <f t="shared" si="1"/>
        <v>1069.0087004484844</v>
      </c>
      <c r="F46" s="103"/>
      <c r="G46" s="100">
        <v>7.7999999999999996E-3</v>
      </c>
      <c r="H46" s="104">
        <f t="shared" si="2"/>
        <v>348.53193316497931</v>
      </c>
    </row>
    <row r="47" spans="1:8">
      <c r="A47" s="100">
        <v>8.0000000000000002E-3</v>
      </c>
      <c r="B47" s="104">
        <f t="shared" si="0"/>
        <v>3313.1209741621019</v>
      </c>
      <c r="C47" s="101"/>
      <c r="D47" s="100">
        <v>8.0000000000000002E-3</v>
      </c>
      <c r="E47" s="102">
        <f t="shared" si="1"/>
        <v>1219.6411766036481</v>
      </c>
      <c r="F47" s="103"/>
      <c r="G47" s="100">
        <v>8.0000000000000002E-3</v>
      </c>
      <c r="H47" s="104">
        <f t="shared" si="2"/>
        <v>395.43240261066711</v>
      </c>
    </row>
    <row r="48" spans="1:8">
      <c r="A48" s="100">
        <v>8.2000000000000007E-3</v>
      </c>
      <c r="B48" s="104">
        <f t="shared" si="0"/>
        <v>3522.3630015348231</v>
      </c>
      <c r="C48" s="101"/>
      <c r="D48" s="100">
        <v>8.2000000000000007E-3</v>
      </c>
      <c r="E48" s="102">
        <f t="shared" si="1"/>
        <v>1378.5601238423783</v>
      </c>
      <c r="F48" s="103"/>
      <c r="G48" s="100">
        <v>8.2000000000000007E-3</v>
      </c>
      <c r="H48" s="104">
        <f t="shared" si="2"/>
        <v>447.52386071114717</v>
      </c>
    </row>
    <row r="49" spans="1:8">
      <c r="A49" s="100">
        <v>8.3999999999999995E-3</v>
      </c>
      <c r="B49" s="104">
        <f t="shared" si="0"/>
        <v>3729.3802289395567</v>
      </c>
      <c r="C49" s="101"/>
      <c r="D49" s="100">
        <v>8.3999999999999995E-3</v>
      </c>
      <c r="E49" s="102">
        <f t="shared" si="1"/>
        <v>1545.3640991116956</v>
      </c>
      <c r="F49" s="103"/>
      <c r="G49" s="100">
        <v>8.3999999999999995E-3</v>
      </c>
      <c r="H49" s="104">
        <f t="shared" si="2"/>
        <v>505.2128655072035</v>
      </c>
    </row>
    <row r="50" spans="1:8">
      <c r="A50" s="100">
        <v>8.6E-3</v>
      </c>
      <c r="B50" s="104">
        <f t="shared" si="0"/>
        <v>3934.0418998583964</v>
      </c>
      <c r="C50" s="101"/>
      <c r="D50" s="100">
        <v>8.6E-3</v>
      </c>
      <c r="E50" s="102">
        <f t="shared" si="1"/>
        <v>1719.6317410934955</v>
      </c>
      <c r="F50" s="103"/>
      <c r="G50" s="100">
        <v>8.6E-3</v>
      </c>
      <c r="H50" s="104">
        <f t="shared" si="2"/>
        <v>568.91432767760011</v>
      </c>
    </row>
    <row r="51" spans="1:8">
      <c r="A51" s="100">
        <v>8.8000000000000005E-3</v>
      </c>
      <c r="B51" s="104">
        <f t="shared" si="0"/>
        <v>4136.2187455933918</v>
      </c>
      <c r="C51" s="101"/>
      <c r="D51" s="100">
        <v>8.8000000000000005E-3</v>
      </c>
      <c r="E51" s="102">
        <f t="shared" si="1"/>
        <v>1900.9228345997967</v>
      </c>
      <c r="F51" s="103"/>
      <c r="G51" s="100">
        <v>8.8000000000000005E-3</v>
      </c>
      <c r="H51" s="104">
        <f t="shared" si="2"/>
        <v>639.0481836567335</v>
      </c>
    </row>
    <row r="52" spans="1:8">
      <c r="A52" s="100">
        <v>8.9999999999999993E-3</v>
      </c>
      <c r="B52" s="104">
        <f t="shared" si="0"/>
        <v>4335.7830669154373</v>
      </c>
      <c r="C52" s="101"/>
      <c r="D52" s="100">
        <v>8.9999999999999993E-3</v>
      </c>
      <c r="E52" s="102">
        <f t="shared" si="1"/>
        <v>2088.7794225945145</v>
      </c>
      <c r="F52" s="103"/>
      <c r="G52" s="100">
        <v>8.9999999999999993E-3</v>
      </c>
      <c r="H52" s="104">
        <f t="shared" si="2"/>
        <v>716.03557846404919</v>
      </c>
    </row>
    <row r="53" spans="1:8">
      <c r="A53" s="100">
        <v>9.1999999999999998E-3</v>
      </c>
      <c r="B53" s="104">
        <f t="shared" si="0"/>
        <v>4532.608814721847</v>
      </c>
      <c r="C53" s="101"/>
      <c r="D53" s="100">
        <v>9.1999999999999998E-3</v>
      </c>
      <c r="E53" s="102">
        <f t="shared" si="1"/>
        <v>2282.7269630326878</v>
      </c>
      <c r="F53" s="103"/>
      <c r="G53" s="100">
        <v>9.1999999999999998E-3</v>
      </c>
      <c r="H53" s="104">
        <f t="shared" si="2"/>
        <v>800.29455713447749</v>
      </c>
    </row>
    <row r="54" spans="1:8">
      <c r="A54" s="100">
        <v>9.4000000000000004E-3</v>
      </c>
      <c r="B54" s="104">
        <f t="shared" si="0"/>
        <v>4726.571669651662</v>
      </c>
      <c r="C54" s="101"/>
      <c r="D54" s="100">
        <v>9.4000000000000004E-3</v>
      </c>
      <c r="E54" s="102">
        <f t="shared" si="1"/>
        <v>2482.2755275948557</v>
      </c>
      <c r="F54" s="103"/>
      <c r="G54" s="100">
        <v>9.4000000000000004E-3</v>
      </c>
      <c r="H54" s="104">
        <f t="shared" si="2"/>
        <v>892.23527259672744</v>
      </c>
    </row>
    <row r="55" spans="1:8">
      <c r="A55" s="100">
        <v>9.5999999999999992E-3</v>
      </c>
      <c r="B55" s="104">
        <f t="shared" si="0"/>
        <v>4917.5491206084207</v>
      </c>
      <c r="C55" s="101"/>
      <c r="D55" s="100">
        <v>9.5999999999999992E-3</v>
      </c>
      <c r="E55" s="102">
        <f t="shared" si="1"/>
        <v>2686.921039288517</v>
      </c>
      <c r="F55" s="103"/>
      <c r="G55" s="100">
        <v>9.5999999999999992E-3</v>
      </c>
      <c r="H55" s="104">
        <f t="shared" si="2"/>
        <v>992.25472774036791</v>
      </c>
    </row>
    <row r="56" spans="1:8">
      <c r="A56" s="100">
        <v>9.7999999999999997E-3</v>
      </c>
      <c r="B56" s="104">
        <f t="shared" si="0"/>
        <v>5105.4205421408087</v>
      </c>
      <c r="C56" s="101"/>
      <c r="D56" s="100">
        <v>9.7999999999999997E-3</v>
      </c>
      <c r="E56" s="102">
        <f t="shared" si="1"/>
        <v>2896.1465457903714</v>
      </c>
      <c r="F56" s="103"/>
      <c r="G56" s="100">
        <v>9.7999999999999997E-3</v>
      </c>
      <c r="H56" s="104">
        <f t="shared" si="2"/>
        <v>1100.7310801221054</v>
      </c>
    </row>
    <row r="57" spans="1:8">
      <c r="A57" s="100">
        <v>0.01</v>
      </c>
      <c r="B57" s="104">
        <f t="shared" si="0"/>
        <v>5290.0672706322594</v>
      </c>
      <c r="C57" s="101"/>
      <c r="D57" s="100">
        <v>0.01</v>
      </c>
      <c r="E57" s="102">
        <f t="shared" si="1"/>
        <v>3109.4235253127376</v>
      </c>
      <c r="F57" s="103"/>
      <c r="G57" s="100">
        <v>0.01</v>
      </c>
      <c r="H57" s="104">
        <f t="shared" si="2"/>
        <v>1218.0175491295154</v>
      </c>
    </row>
    <row r="58" spans="1:8">
      <c r="A58" s="100">
        <v>1.0200000000000001E-2</v>
      </c>
      <c r="B58" s="104">
        <f t="shared" si="0"/>
        <v>5471.3726792514499</v>
      </c>
      <c r="C58" s="101"/>
      <c r="D58" s="100">
        <v>1.0200000000000001E-2</v>
      </c>
      <c r="E58" s="102">
        <f t="shared" si="1"/>
        <v>3326.2132216954647</v>
      </c>
      <c r="F58" s="103"/>
      <c r="G58" s="100">
        <v>1.0200000000000001E-2</v>
      </c>
      <c r="H58" s="104">
        <f t="shared" si="2"/>
        <v>1344.4359772537637</v>
      </c>
    </row>
    <row r="59" spans="1:8">
      <c r="A59" s="100">
        <v>1.04E-2</v>
      </c>
      <c r="B59" s="104">
        <f t="shared" si="0"/>
        <v>5649.2222516163038</v>
      </c>
      <c r="C59" s="101"/>
      <c r="D59" s="100">
        <v>1.04E-2</v>
      </c>
      <c r="E59" s="102">
        <f t="shared" si="1"/>
        <v>3545.9680053507536</v>
      </c>
      <c r="F59" s="103"/>
      <c r="G59" s="100">
        <v>1.04E-2</v>
      </c>
      <c r="H59" s="104">
        <f t="shared" si="2"/>
        <v>1480.2701091943948</v>
      </c>
    </row>
    <row r="60" spans="1:8">
      <c r="A60" s="100">
        <v>1.06E-2</v>
      </c>
      <c r="B60" s="104">
        <f t="shared" si="0"/>
        <v>5823.5036541249992</v>
      </c>
      <c r="C60" s="101"/>
      <c r="D60" s="100">
        <v>1.06E-2</v>
      </c>
      <c r="E60" s="102">
        <f t="shared" si="1"/>
        <v>3768.1327566230243</v>
      </c>
      <c r="F60" s="103"/>
      <c r="G60" s="100">
        <v>1.06E-2</v>
      </c>
      <c r="H60" s="104">
        <f t="shared" si="2"/>
        <v>1625.7586645700467</v>
      </c>
    </row>
    <row r="61" spans="1:8">
      <c r="A61" s="100">
        <v>1.0800000000000001E-2</v>
      </c>
      <c r="B61" s="104">
        <f t="shared" si="0"/>
        <v>5994.1068069082658</v>
      </c>
      <c r="C61" s="101"/>
      <c r="D61" s="100">
        <v>1.0800000000000001E-2</v>
      </c>
      <c r="E61" s="102">
        <f t="shared" si="1"/>
        <v>3992.1462680693339</v>
      </c>
      <c r="F61" s="103"/>
      <c r="G61" s="100">
        <v>1.0800000000000001E-2</v>
      </c>
      <c r="H61" s="104">
        <f t="shared" si="2"/>
        <v>1781.0882917525344</v>
      </c>
    </row>
    <row r="62" spans="1:8">
      <c r="A62" s="100">
        <v>1.0999999999999999E-2</v>
      </c>
      <c r="B62" s="104">
        <f t="shared" si="0"/>
        <v>6160.9239533581977</v>
      </c>
      <c r="C62" s="101"/>
      <c r="D62" s="100">
        <v>1.0999999999999999E-2</v>
      </c>
      <c r="E62" s="102">
        <f t="shared" si="1"/>
        <v>4217.4426621180892</v>
      </c>
      <c r="F62" s="103"/>
      <c r="G62" s="100">
        <v>1.0999999999999999E-2</v>
      </c>
      <c r="H62" s="104">
        <f t="shared" si="2"/>
        <v>1946.3865014689868</v>
      </c>
    </row>
    <row r="63" spans="1:8">
      <c r="A63" s="100">
        <v>1.12E-2</v>
      </c>
      <c r="B63" s="104">
        <f t="shared" si="0"/>
        <v>6323.8497281896425</v>
      </c>
      <c r="C63" s="101"/>
      <c r="D63" s="100">
        <v>1.12E-2</v>
      </c>
      <c r="E63" s="102">
        <f t="shared" si="1"/>
        <v>4443.4528205249135</v>
      </c>
      <c r="F63" s="103"/>
      <c r="G63" s="100">
        <v>1.12E-2</v>
      </c>
      <c r="H63" s="104">
        <f t="shared" si="2"/>
        <v>2121.7146890027725</v>
      </c>
    </row>
    <row r="64" spans="1:8">
      <c r="A64" s="100">
        <v>1.14E-2</v>
      </c>
      <c r="B64" s="104">
        <f t="shared" si="0"/>
        <v>6482.7812239911627</v>
      </c>
      <c r="C64" s="101"/>
      <c r="D64" s="100">
        <v>1.14E-2</v>
      </c>
      <c r="E64" s="102">
        <f t="shared" si="1"/>
        <v>4669.6058220147061</v>
      </c>
      <c r="F64" s="103"/>
      <c r="G64" s="100">
        <v>1.14E-2</v>
      </c>
      <c r="H64" s="104">
        <f t="shared" si="2"/>
        <v>2307.0613627356647</v>
      </c>
    </row>
    <row r="65" spans="1:8">
      <c r="A65" s="100">
        <v>1.1599999999999999E-2</v>
      </c>
      <c r="B65" s="104">
        <f t="shared" si="0"/>
        <v>6637.6180562235641</v>
      </c>
      <c r="C65" s="101"/>
      <c r="D65" s="100">
        <v>1.1599999999999999E-2</v>
      </c>
      <c r="E65" s="102">
        <f t="shared" si="1"/>
        <v>4895.3303844783431</v>
      </c>
      <c r="F65" s="103"/>
      <c r="G65" s="100">
        <v>1.1599999999999999E-2</v>
      </c>
      <c r="H65" s="104">
        <f t="shared" si="2"/>
        <v>2502.3357040787478</v>
      </c>
    </row>
    <row r="66" spans="1:8">
      <c r="A66" s="100">
        <v>1.18E-2</v>
      </c>
      <c r="B66" s="104">
        <f t="shared" si="0"/>
        <v>6788.2624266249341</v>
      </c>
      <c r="C66" s="101"/>
      <c r="D66" s="100">
        <v>1.18E-2</v>
      </c>
      <c r="E66" s="102">
        <f t="shared" si="1"/>
        <v>5120.0563080808706</v>
      </c>
      <c r="F66" s="103"/>
      <c r="G66" s="100">
        <v>1.18E-2</v>
      </c>
      <c r="H66" s="104">
        <f t="shared" si="2"/>
        <v>2707.3615892154817</v>
      </c>
    </row>
    <row r="67" spans="1:8">
      <c r="A67" s="100">
        <v>1.2E-2</v>
      </c>
      <c r="B67" s="104">
        <f t="shared" si="0"/>
        <v>6934.6191849821034</v>
      </c>
      <c r="C67" s="101"/>
      <c r="D67" s="100">
        <v>1.2E-2</v>
      </c>
      <c r="E67" s="102">
        <f t="shared" si="1"/>
        <v>5343.215915635762</v>
      </c>
      <c r="F67" s="103"/>
      <c r="G67" s="100">
        <v>1.2E-2</v>
      </c>
      <c r="H67" s="104">
        <f t="shared" si="2"/>
        <v>2921.87220622515</v>
      </c>
    </row>
    <row r="68" spans="1:8">
      <c r="A68" s="100">
        <v>1.2200000000000001E-2</v>
      </c>
      <c r="B68" s="104">
        <f t="shared" si="0"/>
        <v>7076.5958892295712</v>
      </c>
      <c r="C68" s="101"/>
      <c r="D68" s="100">
        <v>1.2200000000000001E-2</v>
      </c>
      <c r="E68" s="102">
        <f t="shared" si="1"/>
        <v>5564.2454866067628</v>
      </c>
      <c r="F68" s="103"/>
      <c r="G68" s="100">
        <v>1.2200000000000001E-2</v>
      </c>
      <c r="H68" s="104">
        <f t="shared" si="2"/>
        <v>3145.5054017978105</v>
      </c>
    </row>
    <row r="69" spans="1:8">
      <c r="A69" s="100">
        <v>1.24E-2</v>
      </c>
      <c r="B69" s="104">
        <f t="shared" si="0"/>
        <v>7214.1028638378884</v>
      </c>
      <c r="C69" s="101"/>
      <c r="D69" s="100">
        <v>1.24E-2</v>
      </c>
      <c r="E69" s="102">
        <f t="shared" si="1"/>
        <v>5782.5866811148926</v>
      </c>
      <c r="F69" s="103"/>
      <c r="G69" s="100">
        <v>1.24E-2</v>
      </c>
      <c r="H69" s="104">
        <f t="shared" si="2"/>
        <v>3377.7998896625977</v>
      </c>
    </row>
    <row r="70" spans="1:8">
      <c r="A70" s="100">
        <v>1.26E-2</v>
      </c>
      <c r="B70" s="104">
        <f t="shared" si="0"/>
        <v>7347.0532564546556</v>
      </c>
      <c r="C70" s="101"/>
      <c r="D70" s="100">
        <v>1.26E-2</v>
      </c>
      <c r="E70" s="102">
        <f t="shared" si="1"/>
        <v>5997.687950353441</v>
      </c>
      <c r="F70" s="103"/>
      <c r="G70" s="100">
        <v>1.26E-2</v>
      </c>
      <c r="H70" s="104">
        <f t="shared" si="2"/>
        <v>3618.1924478518958</v>
      </c>
    </row>
    <row r="71" spans="1:8">
      <c r="A71" s="100">
        <v>1.2800000000000001E-2</v>
      </c>
      <c r="B71" s="104">
        <f t="shared" ref="B71:B134" si="3">IF(AND(A71&gt;=$B$2,A71&lt;=$B$3),$B$4*SIN(PI()/($B$3-$B$2)*(A71-$B$2)),0)</f>
        <v>7475.3630927623153</v>
      </c>
      <c r="C71" s="101"/>
      <c r="D71" s="100">
        <v>1.2800000000000001E-2</v>
      </c>
      <c r="E71" s="102">
        <f t="shared" ref="E71:E134" si="4">IF(AND(A71&gt;=$B$2,A71&lt;=$B$3),$B$4*(1-COS(2*PI()/($B$3-$B$2)*(A71-$B$2)))/2,0)</f>
        <v>6209.0059298481065</v>
      </c>
      <c r="F71" s="103"/>
      <c r="G71" s="100">
        <v>1.2800000000000001E-2</v>
      </c>
      <c r="H71" s="104">
        <f t="shared" si="2"/>
        <v>3866.0162238966554</v>
      </c>
    </row>
    <row r="72" spans="1:8">
      <c r="A72" s="100">
        <v>1.2999999999999999E-2</v>
      </c>
      <c r="B72" s="104">
        <f t="shared" si="3"/>
        <v>7598.9513295181359</v>
      </c>
      <c r="C72" s="101"/>
      <c r="D72" s="100">
        <v>1.2999999999999999E-2</v>
      </c>
      <c r="E72" s="102">
        <f t="shared" si="4"/>
        <v>6416.0068120428268</v>
      </c>
      <c r="F72" s="103"/>
      <c r="G72" s="100">
        <v>1.2999999999999999E-2</v>
      </c>
      <c r="H72" s="104">
        <f t="shared" ref="H72:H135" si="5">$H$4*_xlfn.NORM.DIST(A72,$H$2,$H$3,FALSE)/_xlfn.NORM.DIST($H$2,$H$2,$H$3,FALSE)</f>
        <v>4120.5002559445293</v>
      </c>
    </row>
    <row r="73" spans="1:8">
      <c r="A73" s="100">
        <v>1.32E-2</v>
      </c>
      <c r="B73" s="104">
        <f t="shared" si="3"/>
        <v>7717.7399057428711</v>
      </c>
      <c r="C73" s="101"/>
      <c r="D73" s="100">
        <v>1.32E-2</v>
      </c>
      <c r="E73" s="102">
        <f t="shared" si="4"/>
        <v>6618.1676947439964</v>
      </c>
      <c r="F73" s="103"/>
      <c r="G73" s="100">
        <v>1.32E-2</v>
      </c>
      <c r="H73" s="104">
        <f t="shared" si="5"/>
        <v>4380.7703036397461</v>
      </c>
    </row>
    <row r="74" spans="1:8">
      <c r="A74" s="100">
        <v>1.34E-2</v>
      </c>
      <c r="B74" s="104">
        <f t="shared" si="3"/>
        <v>7831.6537920257324</v>
      </c>
      <c r="C74" s="101"/>
      <c r="D74" s="100">
        <v>1.34E-2</v>
      </c>
      <c r="E74" s="102">
        <f t="shared" si="4"/>
        <v>6814.9779020167807</v>
      </c>
      <c r="F74" s="103"/>
      <c r="G74" s="100">
        <v>1.34E-2</v>
      </c>
      <c r="H74" s="104">
        <f t="shared" si="5"/>
        <v>4645.8510655094715</v>
      </c>
    </row>
    <row r="75" spans="1:8">
      <c r="A75" s="100">
        <v>1.3599999999999999E-2</v>
      </c>
      <c r="B75" s="104">
        <f t="shared" si="3"/>
        <v>7940.6210379145796</v>
      </c>
      <c r="C75" s="101"/>
      <c r="D75" s="100">
        <v>1.3599999999999999E-2</v>
      </c>
      <c r="E75" s="102">
        <f t="shared" si="4"/>
        <v>7005.9402741968461</v>
      </c>
      <c r="F75" s="103"/>
      <c r="G75" s="100">
        <v>1.3599999999999999E-2</v>
      </c>
      <c r="H75" s="104">
        <f t="shared" si="5"/>
        <v>4914.6698397573855</v>
      </c>
    </row>
    <row r="76" spans="1:8">
      <c r="A76" s="100">
        <v>1.38E-2</v>
      </c>
      <c r="B76" s="104">
        <f t="shared" si="3"/>
        <v>8044.5728173613743</v>
      </c>
      <c r="C76" s="101"/>
      <c r="D76" s="100">
        <v>1.38E-2</v>
      </c>
      <c r="E76" s="102">
        <f t="shared" si="4"/>
        <v>7190.5724237588356</v>
      </c>
      <c r="F76" s="103"/>
      <c r="G76" s="100">
        <v>1.38E-2</v>
      </c>
      <c r="H76" s="104">
        <f t="shared" si="5"/>
        <v>5186.0616630462018</v>
      </c>
    </row>
    <row r="77" spans="1:8">
      <c r="A77" s="100">
        <v>1.4E-2</v>
      </c>
      <c r="B77" s="104">
        <f t="shared" si="3"/>
        <v>8143.4434721941761</v>
      </c>
      <c r="C77" s="101"/>
      <c r="D77" s="100">
        <v>1.4E-2</v>
      </c>
      <c r="E77" s="102">
        <f t="shared" si="4"/>
        <v>7368.4079538691058</v>
      </c>
      <c r="F77" s="103"/>
      <c r="G77" s="100">
        <v>1.4E-2</v>
      </c>
      <c r="H77" s="104">
        <f t="shared" si="5"/>
        <v>5458.7759374137031</v>
      </c>
    </row>
    <row r="78" spans="1:8">
      <c r="A78" s="100">
        <v>1.4200000000000001E-2</v>
      </c>
      <c r="B78" s="104">
        <f t="shared" si="3"/>
        <v>8237.1705535882575</v>
      </c>
      <c r="C78" s="101"/>
      <c r="D78" s="100">
        <v>1.4200000000000001E-2</v>
      </c>
      <c r="E78" s="102">
        <f t="shared" si="4"/>
        <v>7538.99763654461</v>
      </c>
      <c r="F78" s="103"/>
      <c r="G78" s="100">
        <v>1.4200000000000001E-2</v>
      </c>
      <c r="H78" s="104">
        <f t="shared" si="5"/>
        <v>5731.484529345692</v>
      </c>
    </row>
    <row r="79" spans="1:8">
      <c r="A79" s="100">
        <v>1.44E-2</v>
      </c>
      <c r="B79" s="104">
        <f t="shared" si="3"/>
        <v>8325.6948615101228</v>
      </c>
      <c r="C79" s="101"/>
      <c r="D79" s="100">
        <v>1.44E-2</v>
      </c>
      <c r="E79" s="102">
        <f t="shared" si="4"/>
        <v>7701.9105474417838</v>
      </c>
      <c r="F79" s="103"/>
      <c r="G79" s="100">
        <v>1.44E-2</v>
      </c>
      <c r="H79" s="104">
        <f t="shared" si="5"/>
        <v>6002.7912977262704</v>
      </c>
    </row>
    <row r="80" spans="1:8">
      <c r="A80" s="100">
        <v>1.46E-2</v>
      </c>
      <c r="B80" s="104">
        <f t="shared" si="3"/>
        <v>8408.960482109509</v>
      </c>
      <c r="C80" s="101"/>
      <c r="D80" s="100">
        <v>1.46E-2</v>
      </c>
      <c r="E80" s="102">
        <f t="shared" si="4"/>
        <v>7856.7351544088206</v>
      </c>
      <c r="F80" s="103"/>
      <c r="G80" s="100">
        <v>1.46E-2</v>
      </c>
      <c r="H80" s="104">
        <f t="shared" si="5"/>
        <v>6271.2429794643149</v>
      </c>
    </row>
    <row r="81" spans="1:8">
      <c r="A81" s="100">
        <v>1.4800000000000001E-2</v>
      </c>
      <c r="B81" s="104">
        <f t="shared" si="3"/>
        <v>8486.9148230357805</v>
      </c>
      <c r="C81" s="101"/>
      <c r="D81" s="100">
        <v>1.4800000000000001E-2</v>
      </c>
      <c r="E81" s="102">
        <f t="shared" si="4"/>
        <v>8003.0803570516055</v>
      </c>
      <c r="F81" s="103"/>
      <c r="G81" s="100">
        <v>1.4800000000000001E-2</v>
      </c>
      <c r="H81" s="104">
        <f t="shared" si="5"/>
        <v>6535.3413336632202</v>
      </c>
    </row>
    <row r="82" spans="1:8">
      <c r="A82" s="100">
        <v>1.4999999999999999E-2</v>
      </c>
      <c r="B82" s="104">
        <f t="shared" si="3"/>
        <v>8559.5086466563826</v>
      </c>
      <c r="C82" s="101"/>
      <c r="D82" s="100">
        <v>1.4999999999999999E-2</v>
      </c>
      <c r="E82" s="102">
        <f t="shared" si="4"/>
        <v>8140.5764746872637</v>
      </c>
      <c r="F82" s="103"/>
      <c r="G82" s="100">
        <v>1.4999999999999999E-2</v>
      </c>
      <c r="H82" s="104">
        <f t="shared" si="5"/>
        <v>6793.5564179010671</v>
      </c>
    </row>
    <row r="83" spans="1:8">
      <c r="A83" s="100">
        <v>1.52E-2</v>
      </c>
      <c r="B83" s="104">
        <f t="shared" si="3"/>
        <v>8626.6961011563835</v>
      </c>
      <c r="C83" s="101"/>
      <c r="D83" s="100">
        <v>1.52E-2</v>
      </c>
      <c r="E83" s="102">
        <f t="shared" si="4"/>
        <v>8268.876180189638</v>
      </c>
      <c r="F83" s="103"/>
      <c r="G83" s="100">
        <v>1.52E-2</v>
      </c>
      <c r="H83" s="104">
        <f t="shared" si="5"/>
        <v>7044.3408441768161</v>
      </c>
    </row>
    <row r="84" spans="1:8">
      <c r="A84" s="100">
        <v>1.54E-2</v>
      </c>
      <c r="B84" s="104">
        <f t="shared" si="3"/>
        <v>8688.4347494994654</v>
      </c>
      <c r="C84" s="101"/>
      <c r="D84" s="100">
        <v>1.54E-2</v>
      </c>
      <c r="E84" s="102">
        <f t="shared" si="4"/>
        <v>8387.6553773677588</v>
      </c>
      <c r="F84" s="103"/>
      <c r="G84" s="100">
        <v>1.54E-2</v>
      </c>
      <c r="H84" s="104">
        <f t="shared" si="5"/>
        <v>7286.1448380109832</v>
      </c>
    </row>
    <row r="85" spans="1:8">
      <c r="A85" s="100">
        <v>1.5599999999999999E-2</v>
      </c>
      <c r="B85" s="104">
        <f t="shared" si="3"/>
        <v>8744.6855962320642</v>
      </c>
      <c r="C85" s="101"/>
      <c r="D85" s="100">
        <v>1.5599999999999999E-2</v>
      </c>
      <c r="E85" s="102">
        <f t="shared" si="4"/>
        <v>8496.6140196609504</v>
      </c>
      <c r="F85" s="103"/>
      <c r="G85" s="100">
        <v>1.5599999999999999E-2</v>
      </c>
      <c r="H85" s="104">
        <f t="shared" si="5"/>
        <v>7517.431902701449</v>
      </c>
    </row>
    <row r="86" spans="1:8">
      <c r="A86" s="100">
        <v>1.5800000000000002E-2</v>
      </c>
      <c r="B86" s="104">
        <f t="shared" si="3"/>
        <v>8795.4131121137416</v>
      </c>
      <c r="C86" s="101"/>
      <c r="D86" s="100">
        <v>1.5800000000000002E-2</v>
      </c>
      <c r="E86" s="102">
        <f t="shared" si="4"/>
        <v>8595.47686808248</v>
      </c>
      <c r="F86" s="103"/>
      <c r="G86" s="100">
        <v>1.5800000000000002E-2</v>
      </c>
      <c r="H86" s="104">
        <f t="shared" si="5"/>
        <v>7736.6948724228832</v>
      </c>
    </row>
    <row r="87" spans="1:8">
      <c r="A87" s="100">
        <v>1.6E-2</v>
      </c>
      <c r="B87" s="104">
        <f t="shared" si="3"/>
        <v>8840.585256558199</v>
      </c>
      <c r="C87" s="101"/>
      <c r="D87" s="100">
        <v>1.6E-2</v>
      </c>
      <c r="E87" s="102">
        <f t="shared" si="4"/>
        <v>8683.9941864971315</v>
      </c>
      <c r="F87" s="103"/>
      <c r="G87" s="100">
        <v>1.6E-2</v>
      </c>
      <c r="H87" s="104">
        <f t="shared" si="5"/>
        <v>7942.472123261361</v>
      </c>
    </row>
    <row r="88" spans="1:8">
      <c r="A88" s="100">
        <v>1.6199999999999999E-2</v>
      </c>
      <c r="B88" s="104">
        <f t="shared" si="3"/>
        <v>8880.1734978708118</v>
      </c>
      <c r="C88" s="101"/>
      <c r="D88" s="100">
        <v>1.6199999999999999E-2</v>
      </c>
      <c r="E88" s="102">
        <f t="shared" si="4"/>
        <v>8761.9423724763492</v>
      </c>
      <c r="F88" s="103"/>
      <c r="G88" s="100">
        <v>1.6199999999999999E-2</v>
      </c>
      <c r="H88" s="104">
        <f t="shared" si="5"/>
        <v>8133.3637008587657</v>
      </c>
    </row>
    <row r="89" spans="1:8">
      <c r="A89" s="100">
        <v>1.6400000000000001E-2</v>
      </c>
      <c r="B89" s="104">
        <f t="shared" si="3"/>
        <v>8914.1528312698611</v>
      </c>
      <c r="C89" s="101"/>
      <c r="D89" s="100">
        <v>1.6400000000000001E-2</v>
      </c>
      <c r="E89" s="102">
        <f t="shared" si="4"/>
        <v>8829.1245221373865</v>
      </c>
      <c r="F89" s="103"/>
      <c r="G89" s="100">
        <v>1.6400000000000001E-2</v>
      </c>
      <c r="H89" s="104">
        <f t="shared" si="5"/>
        <v>8308.0471174797258</v>
      </c>
    </row>
    <row r="90" spans="1:8">
      <c r="A90" s="100">
        <v>1.66E-2</v>
      </c>
      <c r="B90" s="104">
        <f t="shared" si="3"/>
        <v>8942.5017946800763</v>
      </c>
      <c r="C90" s="101"/>
      <c r="D90" s="100">
        <v>1.66E-2</v>
      </c>
      <c r="E90" s="102">
        <f t="shared" si="4"/>
        <v>8885.3709275395977</v>
      </c>
      <c r="F90" s="103"/>
      <c r="G90" s="100">
        <v>1.66E-2</v>
      </c>
      <c r="H90" s="104">
        <f t="shared" si="5"/>
        <v>8465.2925702790799</v>
      </c>
    </row>
    <row r="91" spans="1:8">
      <c r="A91" s="100">
        <v>1.6799999999999999E-2</v>
      </c>
      <c r="B91" s="104">
        <f t="shared" si="3"/>
        <v>8965.2024822885523</v>
      </c>
      <c r="C91" s="101"/>
      <c r="D91" s="100">
        <v>1.6799999999999999E-2</v>
      </c>
      <c r="E91" s="102">
        <f t="shared" si="4"/>
        <v>8930.5395053814245</v>
      </c>
      <c r="F91" s="103"/>
      <c r="G91" s="100">
        <v>1.6799999999999999E-2</v>
      </c>
      <c r="H91" s="104">
        <f t="shared" si="5"/>
        <v>8603.977336497901</v>
      </c>
    </row>
    <row r="92" spans="1:8">
      <c r="A92" s="100">
        <v>1.7000000000000001E-2</v>
      </c>
      <c r="B92" s="104">
        <f t="shared" si="3"/>
        <v>8982.2405558544433</v>
      </c>
      <c r="C92" s="101"/>
      <c r="D92" s="100">
        <v>1.7000000000000001E-2</v>
      </c>
      <c r="E92" s="102">
        <f t="shared" si="4"/>
        <v>8964.5161559151511</v>
      </c>
      <c r="F92" s="103"/>
      <c r="G92" s="100">
        <v>1.7000000000000001E-2</v>
      </c>
      <c r="H92" s="104">
        <f t="shared" si="5"/>
        <v>8723.0991102870976</v>
      </c>
    </row>
    <row r="93" spans="1:8">
      <c r="A93" s="100">
        <v>1.72E-2</v>
      </c>
      <c r="B93" s="104">
        <f t="shared" si="3"/>
        <v>8993.6052537653031</v>
      </c>
      <c r="C93" s="101"/>
      <c r="D93" s="100">
        <v>1.72E-2</v>
      </c>
      <c r="E93" s="102">
        <f t="shared" si="4"/>
        <v>8987.2150511727614</v>
      </c>
      <c r="F93" s="103"/>
      <c r="G93" s="100">
        <v>1.72E-2</v>
      </c>
      <c r="H93" s="104">
        <f t="shared" si="5"/>
        <v>8821.7880597607982</v>
      </c>
    </row>
    <row r="94" spans="1:8">
      <c r="A94" s="100">
        <v>1.7399999999999999E-2</v>
      </c>
      <c r="B94" s="104">
        <f t="shared" si="3"/>
        <v>8999.2893978343454</v>
      </c>
      <c r="C94" s="101"/>
      <c r="D94" s="100">
        <v>1.7399999999999999E-2</v>
      </c>
      <c r="E94" s="102">
        <f t="shared" si="4"/>
        <v>8998.5788517748497</v>
      </c>
      <c r="F94" s="103"/>
      <c r="G94" s="100">
        <v>1.7399999999999999E-2</v>
      </c>
      <c r="H94" s="104">
        <f t="shared" si="5"/>
        <v>8899.3174015010973</v>
      </c>
    </row>
    <row r="95" spans="1:8">
      <c r="A95" s="100">
        <v>1.7600000000000001E-2</v>
      </c>
      <c r="B95" s="104">
        <f t="shared" si="3"/>
        <v>8999.2893978343454</v>
      </c>
      <c r="C95" s="101"/>
      <c r="D95" s="100">
        <v>1.7600000000000001E-2</v>
      </c>
      <c r="E95" s="102">
        <f t="shared" si="4"/>
        <v>8998.5788517748497</v>
      </c>
      <c r="F95" s="103"/>
      <c r="G95" s="100">
        <v>1.7600000000000001E-2</v>
      </c>
      <c r="H95" s="104">
        <f t="shared" si="5"/>
        <v>8955.1123127341416</v>
      </c>
    </row>
    <row r="96" spans="1:8">
      <c r="A96" s="100">
        <v>1.78E-2</v>
      </c>
      <c r="B96" s="104">
        <f t="shared" si="3"/>
        <v>8993.6052537653031</v>
      </c>
      <c r="C96" s="101"/>
      <c r="D96" s="100">
        <v>1.78E-2</v>
      </c>
      <c r="E96" s="102">
        <f t="shared" si="4"/>
        <v>8987.2150511727614</v>
      </c>
      <c r="F96" s="103"/>
      <c r="G96" s="100">
        <v>1.78E-2</v>
      </c>
      <c r="H96" s="104">
        <f t="shared" si="5"/>
        <v>8988.7570283212281</v>
      </c>
    </row>
    <row r="97" spans="1:8">
      <c r="A97" s="100">
        <v>1.7999999999999999E-2</v>
      </c>
      <c r="B97" s="104">
        <f t="shared" si="3"/>
        <v>8982.2405558544433</v>
      </c>
      <c r="C97" s="101"/>
      <c r="D97" s="100">
        <v>1.7999999999999999E-2</v>
      </c>
      <c r="E97" s="102">
        <f t="shared" si="4"/>
        <v>8964.5161559151511</v>
      </c>
      <c r="F97" s="103"/>
      <c r="G97" s="100">
        <v>1.7999999999999999E-2</v>
      </c>
      <c r="H97" s="104">
        <f t="shared" si="5"/>
        <v>9000</v>
      </c>
    </row>
    <row r="98" spans="1:8">
      <c r="A98" s="100">
        <v>1.8200000000000001E-2</v>
      </c>
      <c r="B98" s="104">
        <f t="shared" si="3"/>
        <v>8965.2024822885523</v>
      </c>
      <c r="C98" s="101"/>
      <c r="D98" s="100">
        <v>1.8200000000000001E-2</v>
      </c>
      <c r="E98" s="102">
        <f t="shared" si="4"/>
        <v>8930.5395053814245</v>
      </c>
      <c r="F98" s="103"/>
      <c r="G98" s="100">
        <v>1.8200000000000001E-2</v>
      </c>
      <c r="H98" s="104">
        <f t="shared" si="5"/>
        <v>8988.7570283212281</v>
      </c>
    </row>
    <row r="99" spans="1:8">
      <c r="A99" s="100">
        <v>1.84E-2</v>
      </c>
      <c r="B99" s="104">
        <f t="shared" si="3"/>
        <v>8942.5017946800763</v>
      </c>
      <c r="C99" s="101"/>
      <c r="D99" s="100">
        <v>1.84E-2</v>
      </c>
      <c r="E99" s="102">
        <f t="shared" si="4"/>
        <v>8885.3709275395977</v>
      </c>
      <c r="F99" s="103"/>
      <c r="G99" s="100">
        <v>1.84E-2</v>
      </c>
      <c r="H99" s="104">
        <f t="shared" si="5"/>
        <v>8955.1123127341416</v>
      </c>
    </row>
    <row r="100" spans="1:8">
      <c r="A100" s="100">
        <v>1.8599999999999998E-2</v>
      </c>
      <c r="B100" s="104">
        <f t="shared" si="3"/>
        <v>8914.1528312698611</v>
      </c>
      <c r="C100" s="101"/>
      <c r="D100" s="100">
        <v>1.8599999999999998E-2</v>
      </c>
      <c r="E100" s="102">
        <f t="shared" si="4"/>
        <v>8829.1245221373865</v>
      </c>
      <c r="F100" s="103"/>
      <c r="G100" s="100">
        <v>1.8599999999999998E-2</v>
      </c>
      <c r="H100" s="104">
        <f t="shared" si="5"/>
        <v>8899.3174015010973</v>
      </c>
    </row>
    <row r="101" spans="1:8">
      <c r="A101" s="100">
        <v>1.8800000000000001E-2</v>
      </c>
      <c r="B101" s="104">
        <f t="shared" si="3"/>
        <v>8880.1734978708118</v>
      </c>
      <c r="C101" s="101"/>
      <c r="D101" s="100">
        <v>1.8800000000000001E-2</v>
      </c>
      <c r="E101" s="102">
        <f t="shared" si="4"/>
        <v>8761.9423724763492</v>
      </c>
      <c r="F101" s="103"/>
      <c r="G101" s="100">
        <v>1.8800000000000001E-2</v>
      </c>
      <c r="H101" s="104">
        <f t="shared" si="5"/>
        <v>8821.7880597607982</v>
      </c>
    </row>
    <row r="102" spans="1:8">
      <c r="A102" s="100">
        <v>1.9E-2</v>
      </c>
      <c r="B102" s="104">
        <f t="shared" si="3"/>
        <v>8840.585256558199</v>
      </c>
      <c r="C102" s="101"/>
      <c r="D102" s="100">
        <v>1.9E-2</v>
      </c>
      <c r="E102" s="102">
        <f t="shared" si="4"/>
        <v>8683.9941864971315</v>
      </c>
      <c r="F102" s="103"/>
      <c r="G102" s="100">
        <v>1.9E-2</v>
      </c>
      <c r="H102" s="104">
        <f t="shared" si="5"/>
        <v>8723.0991102870976</v>
      </c>
    </row>
    <row r="103" spans="1:8">
      <c r="A103" s="100">
        <v>1.9199999999999998E-2</v>
      </c>
      <c r="B103" s="104">
        <f t="shared" si="3"/>
        <v>8795.4131121137416</v>
      </c>
      <c r="C103" s="101"/>
      <c r="D103" s="100">
        <v>1.9199999999999998E-2</v>
      </c>
      <c r="E103" s="102">
        <f t="shared" si="4"/>
        <v>8595.4768680824818</v>
      </c>
      <c r="F103" s="103"/>
      <c r="G103" s="100">
        <v>1.9199999999999998E-2</v>
      </c>
      <c r="H103" s="104">
        <f t="shared" si="5"/>
        <v>8603.977336497901</v>
      </c>
    </row>
    <row r="104" spans="1:8">
      <c r="A104" s="100">
        <v>1.9400000000000001E-2</v>
      </c>
      <c r="B104" s="104">
        <f t="shared" si="3"/>
        <v>8744.6855962320642</v>
      </c>
      <c r="C104" s="101"/>
      <c r="D104" s="100">
        <v>1.9400000000000001E-2</v>
      </c>
      <c r="E104" s="102">
        <f t="shared" si="4"/>
        <v>8496.6140196609504</v>
      </c>
      <c r="F104" s="103"/>
      <c r="G104" s="100">
        <v>1.9400000000000001E-2</v>
      </c>
      <c r="H104" s="104">
        <f t="shared" si="5"/>
        <v>8465.2925702790762</v>
      </c>
    </row>
    <row r="105" spans="1:8">
      <c r="A105" s="100">
        <v>1.9599999999999999E-2</v>
      </c>
      <c r="B105" s="104">
        <f t="shared" si="3"/>
        <v>8688.4347494994654</v>
      </c>
      <c r="C105" s="101"/>
      <c r="D105" s="100">
        <v>1.9599999999999999E-2</v>
      </c>
      <c r="E105" s="102">
        <f t="shared" si="4"/>
        <v>8387.6553773677588</v>
      </c>
      <c r="F105" s="103"/>
      <c r="G105" s="100">
        <v>1.9599999999999999E-2</v>
      </c>
      <c r="H105" s="104">
        <f t="shared" si="5"/>
        <v>8308.0471174797221</v>
      </c>
    </row>
    <row r="106" spans="1:8">
      <c r="A106" s="100">
        <v>1.9800000000000002E-2</v>
      </c>
      <c r="B106" s="104">
        <f t="shared" si="3"/>
        <v>8626.6961011563817</v>
      </c>
      <c r="C106" s="101"/>
      <c r="D106" s="100">
        <v>1.9800000000000002E-2</v>
      </c>
      <c r="E106" s="102">
        <f t="shared" si="4"/>
        <v>8268.8761801896362</v>
      </c>
      <c r="F106" s="103"/>
      <c r="G106" s="100">
        <v>1.9800000000000002E-2</v>
      </c>
      <c r="H106" s="104">
        <f t="shared" si="5"/>
        <v>8133.3637008587621</v>
      </c>
    </row>
    <row r="107" spans="1:8">
      <c r="A107" s="100">
        <v>0.02</v>
      </c>
      <c r="B107" s="104">
        <f t="shared" si="3"/>
        <v>8559.5086466563826</v>
      </c>
      <c r="C107" s="101"/>
      <c r="D107" s="100">
        <v>0.02</v>
      </c>
      <c r="E107" s="102">
        <f t="shared" si="4"/>
        <v>8140.5764746872628</v>
      </c>
      <c r="F107" s="103"/>
      <c r="G107" s="100">
        <v>0.02</v>
      </c>
      <c r="H107" s="104">
        <f t="shared" si="5"/>
        <v>7942.4721232613574</v>
      </c>
    </row>
    <row r="108" spans="1:8">
      <c r="A108" s="100">
        <v>2.0199999999999999E-2</v>
      </c>
      <c r="B108" s="104">
        <f t="shared" si="3"/>
        <v>8486.9148230357805</v>
      </c>
      <c r="C108" s="101"/>
      <c r="D108" s="100">
        <v>2.0199999999999999E-2</v>
      </c>
      <c r="E108" s="102">
        <f t="shared" si="4"/>
        <v>8003.0803570516064</v>
      </c>
      <c r="F108" s="103"/>
      <c r="G108" s="100">
        <v>2.0199999999999999E-2</v>
      </c>
      <c r="H108" s="104">
        <f t="shared" si="5"/>
        <v>7736.6948724228787</v>
      </c>
    </row>
    <row r="109" spans="1:8">
      <c r="A109" s="100">
        <v>2.0400000000000001E-2</v>
      </c>
      <c r="B109" s="104">
        <f t="shared" si="3"/>
        <v>8408.960482109509</v>
      </c>
      <c r="C109" s="101"/>
      <c r="D109" s="100">
        <v>2.0400000000000001E-2</v>
      </c>
      <c r="E109" s="102">
        <f t="shared" si="4"/>
        <v>7856.7351544088187</v>
      </c>
      <c r="F109" s="103"/>
      <c r="G109" s="100">
        <v>2.0400000000000001E-2</v>
      </c>
      <c r="H109" s="104">
        <f t="shared" si="5"/>
        <v>7517.4319027014453</v>
      </c>
    </row>
    <row r="110" spans="1:8">
      <c r="A110" s="100">
        <v>2.06E-2</v>
      </c>
      <c r="B110" s="104">
        <f t="shared" si="3"/>
        <v>8325.6948615101228</v>
      </c>
      <c r="C110" s="101"/>
      <c r="D110" s="100">
        <v>2.06E-2</v>
      </c>
      <c r="E110" s="102">
        <f t="shared" si="4"/>
        <v>7701.9105474417829</v>
      </c>
      <c r="F110" s="103"/>
      <c r="G110" s="100">
        <v>2.06E-2</v>
      </c>
      <c r="H110" s="104">
        <f t="shared" si="5"/>
        <v>7286.1448380109796</v>
      </c>
    </row>
    <row r="111" spans="1:8">
      <c r="A111" s="100">
        <v>2.0799999999999999E-2</v>
      </c>
      <c r="B111" s="104">
        <f t="shared" si="3"/>
        <v>8237.1705535882593</v>
      </c>
      <c r="C111" s="101"/>
      <c r="D111" s="100">
        <v>2.0799999999999999E-2</v>
      </c>
      <c r="E111" s="102">
        <f t="shared" si="4"/>
        <v>7538.9976365446109</v>
      </c>
      <c r="F111" s="103"/>
      <c r="G111" s="100">
        <v>2.0799999999999999E-2</v>
      </c>
      <c r="H111" s="104">
        <f t="shared" si="5"/>
        <v>7044.3408441768133</v>
      </c>
    </row>
    <row r="112" spans="1:8">
      <c r="A112" s="100">
        <v>2.1000000000000001E-2</v>
      </c>
      <c r="B112" s="104">
        <f t="shared" si="3"/>
        <v>8143.4434721941752</v>
      </c>
      <c r="C112" s="101"/>
      <c r="D112" s="100">
        <v>2.1000000000000001E-2</v>
      </c>
      <c r="E112" s="102">
        <f t="shared" si="4"/>
        <v>7368.407953869103</v>
      </c>
      <c r="F112" s="103"/>
      <c r="G112" s="100">
        <v>2.1000000000000001E-2</v>
      </c>
      <c r="H112" s="104">
        <f t="shared" si="5"/>
        <v>6793.5564179010635</v>
      </c>
    </row>
    <row r="113" spans="1:8">
      <c r="A113" s="100">
        <v>2.12E-2</v>
      </c>
      <c r="B113" s="104">
        <f t="shared" si="3"/>
        <v>8044.5728173613752</v>
      </c>
      <c r="C113" s="101"/>
      <c r="D113" s="100">
        <v>2.12E-2</v>
      </c>
      <c r="E113" s="102">
        <f t="shared" si="4"/>
        <v>7190.5724237588365</v>
      </c>
      <c r="F113" s="103"/>
      <c r="G113" s="100">
        <v>2.12E-2</v>
      </c>
      <c r="H113" s="104">
        <f t="shared" si="5"/>
        <v>6535.3413336632175</v>
      </c>
    </row>
    <row r="114" spans="1:8">
      <c r="A114" s="100">
        <v>2.1399999999999999E-2</v>
      </c>
      <c r="B114" s="104">
        <f t="shared" si="3"/>
        <v>7940.6210379145796</v>
      </c>
      <c r="C114" s="101"/>
      <c r="D114" s="100">
        <v>2.1399999999999999E-2</v>
      </c>
      <c r="E114" s="102">
        <f t="shared" si="4"/>
        <v>7005.9402741968452</v>
      </c>
      <c r="F114" s="103"/>
      <c r="G114" s="100">
        <v>2.1399999999999999E-2</v>
      </c>
      <c r="H114" s="104">
        <f t="shared" si="5"/>
        <v>6271.2429794643131</v>
      </c>
    </row>
    <row r="115" spans="1:8">
      <c r="A115" s="100">
        <v>2.1600000000000001E-2</v>
      </c>
      <c r="B115" s="104">
        <f t="shared" si="3"/>
        <v>7831.6537920257288</v>
      </c>
      <c r="C115" s="101"/>
      <c r="D115" s="100">
        <v>2.1600000000000001E-2</v>
      </c>
      <c r="E115" s="102">
        <f t="shared" si="4"/>
        <v>6814.9779020167771</v>
      </c>
      <c r="F115" s="103"/>
      <c r="G115" s="100">
        <v>2.1600000000000001E-2</v>
      </c>
      <c r="H115" s="104">
        <f t="shared" si="5"/>
        <v>6002.7912977262658</v>
      </c>
    </row>
    <row r="116" spans="1:8">
      <c r="A116" s="100">
        <v>2.18E-2</v>
      </c>
      <c r="B116" s="104">
        <f t="shared" si="3"/>
        <v>7717.7399057428702</v>
      </c>
      <c r="C116" s="101"/>
      <c r="D116" s="100">
        <v>2.18E-2</v>
      </c>
      <c r="E116" s="102">
        <f t="shared" si="4"/>
        <v>6618.1676947439955</v>
      </c>
      <c r="F116" s="103"/>
      <c r="G116" s="100">
        <v>2.18E-2</v>
      </c>
      <c r="H116" s="104">
        <f t="shared" si="5"/>
        <v>5731.4845293456874</v>
      </c>
    </row>
    <row r="117" spans="1:8">
      <c r="A117" s="100">
        <v>2.1999999999999999E-2</v>
      </c>
      <c r="B117" s="104">
        <f t="shared" si="3"/>
        <v>7598.9513295181368</v>
      </c>
      <c r="C117" s="101"/>
      <c r="D117" s="100">
        <v>2.1999999999999999E-2</v>
      </c>
      <c r="E117" s="102">
        <f t="shared" si="4"/>
        <v>6416.0068120428277</v>
      </c>
      <c r="F117" s="103"/>
      <c r="G117" s="100">
        <v>2.1999999999999999E-2</v>
      </c>
      <c r="H117" s="104">
        <f t="shared" si="5"/>
        <v>5458.7759374137013</v>
      </c>
    </row>
    <row r="118" spans="1:8">
      <c r="A118" s="100">
        <v>2.2200000000000001E-2</v>
      </c>
      <c r="B118" s="104">
        <f t="shared" si="3"/>
        <v>7475.3630927623144</v>
      </c>
      <c r="C118" s="101"/>
      <c r="D118" s="100">
        <v>2.2200000000000001E-2</v>
      </c>
      <c r="E118" s="102">
        <f t="shared" si="4"/>
        <v>6209.0059298481046</v>
      </c>
      <c r="F118" s="103"/>
      <c r="G118" s="100">
        <v>2.2200000000000001E-2</v>
      </c>
      <c r="H118" s="104">
        <f t="shared" si="5"/>
        <v>5186.0616630461964</v>
      </c>
    </row>
    <row r="119" spans="1:8">
      <c r="A119" s="100">
        <v>2.24E-2</v>
      </c>
      <c r="B119" s="104">
        <f t="shared" si="3"/>
        <v>7347.0532564546565</v>
      </c>
      <c r="C119" s="101"/>
      <c r="D119" s="100">
        <v>2.24E-2</v>
      </c>
      <c r="E119" s="102">
        <f t="shared" si="4"/>
        <v>5997.687950353441</v>
      </c>
      <c r="F119" s="103"/>
      <c r="G119" s="100">
        <v>2.24E-2</v>
      </c>
      <c r="H119" s="104">
        <f t="shared" si="5"/>
        <v>4914.6698397573837</v>
      </c>
    </row>
    <row r="120" spans="1:8">
      <c r="A120" s="100">
        <v>2.2599999999999999E-2</v>
      </c>
      <c r="B120" s="104">
        <f t="shared" si="3"/>
        <v>7214.1028638378884</v>
      </c>
      <c r="C120" s="101"/>
      <c r="D120" s="100">
        <v>2.2599999999999999E-2</v>
      </c>
      <c r="E120" s="102">
        <f t="shared" si="4"/>
        <v>5782.5866811148926</v>
      </c>
      <c r="F120" s="103"/>
      <c r="G120" s="100">
        <v>2.2599999999999999E-2</v>
      </c>
      <c r="H120" s="104">
        <f t="shared" si="5"/>
        <v>4645.8510655094678</v>
      </c>
    </row>
    <row r="121" spans="1:8">
      <c r="A121" s="100">
        <v>2.2800000000000001E-2</v>
      </c>
      <c r="B121" s="104">
        <f t="shared" si="3"/>
        <v>7076.5958892295694</v>
      </c>
      <c r="C121" s="101"/>
      <c r="D121" s="100">
        <v>2.2800000000000001E-2</v>
      </c>
      <c r="E121" s="102">
        <f t="shared" si="4"/>
        <v>5564.2454866067583</v>
      </c>
      <c r="F121" s="103"/>
      <c r="G121" s="100">
        <v>2.2800000000000001E-2</v>
      </c>
      <c r="H121" s="104">
        <f t="shared" si="5"/>
        <v>4380.7703036397415</v>
      </c>
    </row>
    <row r="122" spans="1:8">
      <c r="A122" s="100">
        <v>2.3E-2</v>
      </c>
      <c r="B122" s="104">
        <f t="shared" si="3"/>
        <v>6934.6191849821034</v>
      </c>
      <c r="C122" s="101"/>
      <c r="D122" s="100">
        <v>2.3E-2</v>
      </c>
      <c r="E122" s="102">
        <f t="shared" si="4"/>
        <v>5343.2159156357611</v>
      </c>
      <c r="F122" s="103"/>
      <c r="G122" s="100">
        <v>2.3E-2</v>
      </c>
      <c r="H122" s="104">
        <f t="shared" si="5"/>
        <v>4120.5002559445275</v>
      </c>
    </row>
    <row r="123" spans="1:8">
      <c r="A123" s="100">
        <v>2.3199999999999998E-2</v>
      </c>
      <c r="B123" s="104">
        <f t="shared" si="3"/>
        <v>6788.2624266249359</v>
      </c>
      <c r="C123" s="101"/>
      <c r="D123" s="100">
        <v>2.3199999999999998E-2</v>
      </c>
      <c r="E123" s="102">
        <f t="shared" si="4"/>
        <v>5120.0563080808734</v>
      </c>
      <c r="F123" s="103"/>
      <c r="G123" s="100">
        <v>2.3199999999999998E-2</v>
      </c>
      <c r="H123" s="104">
        <f t="shared" si="5"/>
        <v>3866.0162238966536</v>
      </c>
    </row>
    <row r="124" spans="1:8">
      <c r="A124" s="100">
        <v>2.3400000000000001E-2</v>
      </c>
      <c r="B124" s="104">
        <f t="shared" si="3"/>
        <v>6637.618056223565</v>
      </c>
      <c r="C124" s="101"/>
      <c r="D124" s="100">
        <v>2.3400000000000001E-2</v>
      </c>
      <c r="E124" s="102">
        <f t="shared" si="4"/>
        <v>4895.3303844783441</v>
      </c>
      <c r="F124" s="103"/>
      <c r="G124" s="100">
        <v>2.3400000000000001E-2</v>
      </c>
      <c r="H124" s="104">
        <f t="shared" si="5"/>
        <v>3618.1924478518913</v>
      </c>
    </row>
    <row r="125" spans="1:8">
      <c r="A125" s="100">
        <v>2.3599999999999999E-2</v>
      </c>
      <c r="B125" s="104">
        <f t="shared" si="3"/>
        <v>6482.78122399116</v>
      </c>
      <c r="C125" s="101"/>
      <c r="D125" s="100">
        <v>2.3599999999999999E-2</v>
      </c>
      <c r="E125" s="102">
        <f t="shared" si="4"/>
        <v>4669.6058220147033</v>
      </c>
      <c r="F125" s="103"/>
      <c r="G125" s="100">
        <v>2.3599999999999999E-2</v>
      </c>
      <c r="H125" s="104">
        <f t="shared" si="5"/>
        <v>3377.799889662595</v>
      </c>
    </row>
    <row r="126" spans="1:8">
      <c r="A126" s="100">
        <v>2.3800000000000002E-2</v>
      </c>
      <c r="B126" s="104">
        <f t="shared" si="3"/>
        <v>6323.8497281896398</v>
      </c>
      <c r="C126" s="101"/>
      <c r="D126" s="100">
        <v>2.3800000000000002E-2</v>
      </c>
      <c r="E126" s="102">
        <f t="shared" si="4"/>
        <v>4443.4528205249098</v>
      </c>
      <c r="F126" s="103"/>
      <c r="G126" s="100">
        <v>2.3800000000000002E-2</v>
      </c>
      <c r="H126" s="104">
        <f t="shared" si="5"/>
        <v>3145.5054017978046</v>
      </c>
    </row>
    <row r="127" spans="1:8">
      <c r="A127" s="100">
        <v>2.4E-2</v>
      </c>
      <c r="B127" s="104">
        <f t="shared" si="3"/>
        <v>6160.9239533581967</v>
      </c>
      <c r="C127" s="101"/>
      <c r="D127" s="100">
        <v>2.4E-2</v>
      </c>
      <c r="E127" s="102">
        <f t="shared" si="4"/>
        <v>4217.4426621180883</v>
      </c>
      <c r="F127" s="103"/>
      <c r="G127" s="100">
        <v>2.4E-2</v>
      </c>
      <c r="H127" s="104">
        <f t="shared" si="5"/>
        <v>2921.8722062251454</v>
      </c>
    </row>
    <row r="128" spans="1:8">
      <c r="A128" s="100">
        <v>2.4199999999999999E-2</v>
      </c>
      <c r="B128" s="104">
        <f t="shared" si="3"/>
        <v>5994.1068069082648</v>
      </c>
      <c r="C128" s="101"/>
      <c r="D128" s="100">
        <v>2.4199999999999999E-2</v>
      </c>
      <c r="E128" s="102">
        <f t="shared" si="4"/>
        <v>3992.146268069333</v>
      </c>
      <c r="F128" s="103"/>
      <c r="G128" s="100">
        <v>2.4199999999999999E-2</v>
      </c>
      <c r="H128" s="104">
        <f t="shared" si="5"/>
        <v>2707.3615892154789</v>
      </c>
    </row>
    <row r="129" spans="1:8">
      <c r="A129" s="100">
        <v>2.4400000000000002E-2</v>
      </c>
      <c r="B129" s="104">
        <f t="shared" si="3"/>
        <v>5823.5036541249983</v>
      </c>
      <c r="C129" s="101"/>
      <c r="D129" s="100">
        <v>2.4400000000000002E-2</v>
      </c>
      <c r="E129" s="102">
        <f t="shared" si="4"/>
        <v>3768.1327566230225</v>
      </c>
      <c r="F129" s="103"/>
      <c r="G129" s="100">
        <v>2.4400000000000002E-2</v>
      </c>
      <c r="H129" s="104">
        <f t="shared" si="5"/>
        <v>2502.3357040787441</v>
      </c>
    </row>
    <row r="130" spans="1:8">
      <c r="A130" s="100">
        <v>2.46E-2</v>
      </c>
      <c r="B130" s="104">
        <f t="shared" si="3"/>
        <v>5649.2222516163056</v>
      </c>
      <c r="C130" s="101"/>
      <c r="D130" s="100">
        <v>2.46E-2</v>
      </c>
      <c r="E130" s="102">
        <f t="shared" si="4"/>
        <v>3545.9680053507545</v>
      </c>
      <c r="F130" s="103"/>
      <c r="G130" s="100">
        <v>2.46E-2</v>
      </c>
      <c r="H130" s="104">
        <f t="shared" si="5"/>
        <v>2307.0613627356611</v>
      </c>
    </row>
    <row r="131" spans="1:8">
      <c r="A131" s="100">
        <v>2.4799999999999999E-2</v>
      </c>
      <c r="B131" s="104">
        <f t="shared" si="3"/>
        <v>5471.3726792514472</v>
      </c>
      <c r="C131" s="101"/>
      <c r="D131" s="100">
        <v>2.4799999999999999E-2</v>
      </c>
      <c r="E131" s="102">
        <f t="shared" si="4"/>
        <v>3326.2132216954624</v>
      </c>
      <c r="F131" s="103"/>
      <c r="G131" s="100">
        <v>2.4799999999999999E-2</v>
      </c>
      <c r="H131" s="104">
        <f t="shared" si="5"/>
        <v>2121.7146890027711</v>
      </c>
    </row>
    <row r="132" spans="1:8">
      <c r="A132" s="100">
        <v>2.5000000000000001E-2</v>
      </c>
      <c r="B132" s="104">
        <f t="shared" si="3"/>
        <v>5290.0672706322548</v>
      </c>
      <c r="C132" s="101"/>
      <c r="D132" s="100">
        <v>2.5000000000000001E-2</v>
      </c>
      <c r="E132" s="102">
        <f t="shared" si="4"/>
        <v>3109.4235253127335</v>
      </c>
      <c r="F132" s="103"/>
      <c r="G132" s="100">
        <v>2.5000000000000001E-2</v>
      </c>
      <c r="H132" s="104">
        <f t="shared" si="5"/>
        <v>1946.3865014689836</v>
      </c>
    </row>
    <row r="133" spans="1:8">
      <c r="A133" s="100">
        <v>2.52E-2</v>
      </c>
      <c r="B133" s="104">
        <f t="shared" si="3"/>
        <v>5105.4205421408078</v>
      </c>
      <c r="C133" s="101"/>
      <c r="D133" s="100">
        <v>2.52E-2</v>
      </c>
      <c r="E133" s="102">
        <f t="shared" si="4"/>
        <v>2896.146545790371</v>
      </c>
      <c r="F133" s="103"/>
      <c r="G133" s="100">
        <v>2.52E-2</v>
      </c>
      <c r="H133" s="104">
        <f t="shared" si="5"/>
        <v>1781.0882917525312</v>
      </c>
    </row>
    <row r="134" spans="1:8">
      <c r="A134" s="100">
        <v>2.5399999999999999E-2</v>
      </c>
      <c r="B134" s="104">
        <f t="shared" si="3"/>
        <v>4917.5491206084234</v>
      </c>
      <c r="C134" s="101"/>
      <c r="D134" s="100">
        <v>2.5399999999999999E-2</v>
      </c>
      <c r="E134" s="102">
        <f t="shared" si="4"/>
        <v>2686.9210392885188</v>
      </c>
      <c r="F134" s="103"/>
      <c r="G134" s="100">
        <v>2.5399999999999999E-2</v>
      </c>
      <c r="H134" s="104">
        <f t="shared" si="5"/>
        <v>1625.7586645700455</v>
      </c>
    </row>
    <row r="135" spans="1:8">
      <c r="A135" s="100">
        <v>2.5600000000000001E-2</v>
      </c>
      <c r="B135" s="104">
        <f t="shared" ref="B135:B198" si="6">IF(AND(A135&gt;=$B$2,A135&lt;=$B$3),$B$4*SIN(PI()/($B$3-$B$2)*(A135-$B$2)),0)</f>
        <v>4726.5716696516602</v>
      </c>
      <c r="C135" s="101"/>
      <c r="D135" s="100">
        <v>2.5600000000000001E-2</v>
      </c>
      <c r="E135" s="102">
        <f t="shared" ref="E135:E198" si="7">IF(AND(A135&gt;=$B$2,A135&lt;=$B$3),$B$4*(1-COS(2*PI()/($B$3-$B$2)*(A135-$B$2)))/2,0)</f>
        <v>2482.2755275948543</v>
      </c>
      <c r="F135" s="103"/>
      <c r="G135" s="100">
        <v>2.5600000000000001E-2</v>
      </c>
      <c r="H135" s="104">
        <f t="shared" si="5"/>
        <v>1480.2701091943927</v>
      </c>
    </row>
    <row r="136" spans="1:8">
      <c r="A136" s="100">
        <v>2.58E-2</v>
      </c>
      <c r="B136" s="104">
        <f t="shared" si="6"/>
        <v>4532.6088147218479</v>
      </c>
      <c r="C136" s="101"/>
      <c r="D136" s="100">
        <v>2.58E-2</v>
      </c>
      <c r="E136" s="102">
        <f t="shared" si="7"/>
        <v>2282.7269630326891</v>
      </c>
      <c r="F136" s="103"/>
      <c r="G136" s="100">
        <v>2.58E-2</v>
      </c>
      <c r="H136" s="104">
        <f t="shared" ref="H136:H199" si="8">$H$4*_xlfn.NORM.DIST(A136,$H$2,$H$3,FALSE)/_xlfn.NORM.DIST($H$2,$H$2,$H$3,FALSE)</f>
        <v>1344.4359772537614</v>
      </c>
    </row>
    <row r="137" spans="1:8">
      <c r="A137" s="100">
        <v>2.5999999999999999E-2</v>
      </c>
      <c r="B137" s="104">
        <f t="shared" si="6"/>
        <v>4335.7830669154373</v>
      </c>
      <c r="C137" s="101"/>
      <c r="D137" s="100">
        <v>2.5999999999999999E-2</v>
      </c>
      <c r="E137" s="102">
        <f t="shared" si="7"/>
        <v>2088.7794225945145</v>
      </c>
      <c r="F137" s="103"/>
      <c r="G137" s="100">
        <v>2.5999999999999999E-2</v>
      </c>
      <c r="H137" s="104">
        <f t="shared" si="8"/>
        <v>1218.0175491295142</v>
      </c>
    </row>
    <row r="138" spans="1:8">
      <c r="A138" s="100">
        <v>2.6200000000000001E-2</v>
      </c>
      <c r="B138" s="104">
        <f t="shared" si="6"/>
        <v>4136.2187455933881</v>
      </c>
      <c r="C138" s="101"/>
      <c r="D138" s="100">
        <v>2.6200000000000001E-2</v>
      </c>
      <c r="E138" s="102">
        <f t="shared" si="7"/>
        <v>1900.9228345997938</v>
      </c>
      <c r="F138" s="103"/>
      <c r="G138" s="100">
        <v>2.6200000000000001E-2</v>
      </c>
      <c r="H138" s="104">
        <f t="shared" si="8"/>
        <v>1100.7310801221033</v>
      </c>
    </row>
    <row r="139" spans="1:8">
      <c r="A139" s="100">
        <v>2.64E-2</v>
      </c>
      <c r="B139" s="104">
        <f t="shared" si="6"/>
        <v>3934.0418998583959</v>
      </c>
      <c r="C139" s="101"/>
      <c r="D139" s="100">
        <v>2.64E-2</v>
      </c>
      <c r="E139" s="102">
        <f t="shared" si="7"/>
        <v>1719.6317410934951</v>
      </c>
      <c r="F139" s="103"/>
      <c r="G139" s="100">
        <v>2.64E-2</v>
      </c>
      <c r="H139" s="104">
        <f t="shared" si="8"/>
        <v>992.25472774036689</v>
      </c>
    </row>
    <row r="140" spans="1:8">
      <c r="A140" s="100">
        <v>2.6599999999999999E-2</v>
      </c>
      <c r="B140" s="104">
        <f t="shared" si="6"/>
        <v>3729.3802289395589</v>
      </c>
      <c r="C140" s="101"/>
      <c r="D140" s="100">
        <v>2.6599999999999999E-2</v>
      </c>
      <c r="E140" s="102">
        <f t="shared" si="7"/>
        <v>1545.3640991116972</v>
      </c>
      <c r="F140" s="103"/>
      <c r="G140" s="100">
        <v>2.6599999999999999E-2</v>
      </c>
      <c r="H140" s="104">
        <f t="shared" si="8"/>
        <v>892.23527259672653</v>
      </c>
    </row>
    <row r="141" spans="1:8">
      <c r="A141" s="100">
        <v>2.6800000000000001E-2</v>
      </c>
      <c r="B141" s="104">
        <f t="shared" si="6"/>
        <v>3522.3630015348213</v>
      </c>
      <c r="C141" s="101"/>
      <c r="D141" s="100">
        <v>2.6800000000000001E-2</v>
      </c>
      <c r="E141" s="102">
        <f t="shared" si="7"/>
        <v>1378.5601238423774</v>
      </c>
      <c r="F141" s="103"/>
      <c r="G141" s="100">
        <v>2.6800000000000001E-2</v>
      </c>
      <c r="H141" s="104">
        <f t="shared" si="8"/>
        <v>800.29455713447589</v>
      </c>
    </row>
    <row r="142" spans="1:8">
      <c r="A142" s="100">
        <v>2.7E-2</v>
      </c>
      <c r="B142" s="104">
        <f t="shared" si="6"/>
        <v>3313.1209741620996</v>
      </c>
      <c r="C142" s="101"/>
      <c r="D142" s="100">
        <v>2.7E-2</v>
      </c>
      <c r="E142" s="102">
        <f t="shared" si="7"/>
        <v>1219.6411766036465</v>
      </c>
      <c r="F142" s="103"/>
      <c r="G142" s="100">
        <v>2.7E-2</v>
      </c>
      <c r="H142" s="104">
        <f t="shared" si="8"/>
        <v>716.03557846404919</v>
      </c>
    </row>
    <row r="143" spans="1:8">
      <c r="A143" s="100">
        <v>2.7199999999999998E-2</v>
      </c>
      <c r="B143" s="104">
        <f t="shared" si="6"/>
        <v>3101.7863085706535</v>
      </c>
      <c r="C143" s="101"/>
      <c r="D143" s="100">
        <v>2.7199999999999998E-2</v>
      </c>
      <c r="E143" s="102">
        <f t="shared" si="7"/>
        <v>1069.0087004484844</v>
      </c>
      <c r="F143" s="103"/>
      <c r="G143" s="100">
        <v>2.7199999999999998E-2</v>
      </c>
      <c r="H143" s="104">
        <f t="shared" si="8"/>
        <v>639.04818365673316</v>
      </c>
    </row>
    <row r="144" spans="1:8">
      <c r="A144" s="100">
        <v>2.7400000000000001E-2</v>
      </c>
      <c r="B144" s="104">
        <f t="shared" si="6"/>
        <v>2888.4924882648834</v>
      </c>
      <c r="C144" s="101"/>
      <c r="D144" s="100">
        <v>2.7400000000000001E-2</v>
      </c>
      <c r="E144" s="102">
        <f t="shared" si="7"/>
        <v>927.04320608473972</v>
      </c>
      <c r="F144" s="103"/>
      <c r="G144" s="100">
        <v>2.7400000000000001E-2</v>
      </c>
      <c r="H144" s="104">
        <f t="shared" si="8"/>
        <v>568.91432767759898</v>
      </c>
    </row>
    <row r="145" spans="1:8">
      <c r="A145" s="100">
        <v>2.76E-2</v>
      </c>
      <c r="B145" s="104">
        <f t="shared" si="6"/>
        <v>2673.3742341933144</v>
      </c>
      <c r="C145" s="101"/>
      <c r="D145" s="100">
        <v>2.76E-2</v>
      </c>
      <c r="E145" s="102">
        <f t="shared" si="7"/>
        <v>794.10331067207642</v>
      </c>
      <c r="F145" s="103"/>
      <c r="G145" s="100">
        <v>2.76E-2</v>
      </c>
      <c r="H145" s="104">
        <f t="shared" si="8"/>
        <v>505.21286550720305</v>
      </c>
    </row>
    <row r="146" spans="1:8">
      <c r="A146" s="100">
        <v>2.7799999999999998E-2</v>
      </c>
      <c r="B146" s="104">
        <f t="shared" si="6"/>
        <v>2456.5674196559289</v>
      </c>
      <c r="C146" s="101"/>
      <c r="D146" s="100">
        <v>2.7799999999999998E-2</v>
      </c>
      <c r="E146" s="102">
        <f t="shared" si="7"/>
        <v>670.52483192388775</v>
      </c>
      <c r="F146" s="103"/>
      <c r="G146" s="100">
        <v>2.7799999999999998E-2</v>
      </c>
      <c r="H146" s="104">
        <f t="shared" si="8"/>
        <v>447.52386071114682</v>
      </c>
    </row>
    <row r="147" spans="1:8">
      <c r="A147" s="100">
        <v>2.8000000000000001E-2</v>
      </c>
      <c r="B147" s="104">
        <f t="shared" si="6"/>
        <v>2238.2089844836933</v>
      </c>
      <c r="C147" s="101"/>
      <c r="D147" s="100">
        <v>2.8000000000000001E-2</v>
      </c>
      <c r="E147" s="102">
        <f t="shared" si="7"/>
        <v>556.61993980261389</v>
      </c>
      <c r="F147" s="103"/>
      <c r="G147" s="100">
        <v>2.8000000000000001E-2</v>
      </c>
      <c r="H147" s="104">
        <f t="shared" si="8"/>
        <v>395.43240261066637</v>
      </c>
    </row>
    <row r="148" spans="1:8">
      <c r="A148" s="100">
        <v>2.8199999999999999E-2</v>
      </c>
      <c r="B148" s="104">
        <f t="shared" si="6"/>
        <v>2018.436848544429</v>
      </c>
      <c r="C148" s="101"/>
      <c r="D148" s="100">
        <v>2.8199999999999999E-2</v>
      </c>
      <c r="E148" s="102">
        <f t="shared" si="7"/>
        <v>452.67636795132967</v>
      </c>
      <c r="F148" s="103"/>
      <c r="G148" s="100">
        <v>2.8199999999999999E-2</v>
      </c>
      <c r="H148" s="104">
        <f t="shared" si="8"/>
        <v>348.53193316497897</v>
      </c>
    </row>
    <row r="149" spans="1:8">
      <c r="A149" s="100">
        <v>2.8400000000000002E-2</v>
      </c>
      <c r="B149" s="104">
        <f t="shared" si="6"/>
        <v>1797.3898246296596</v>
      </c>
      <c r="C149" s="101"/>
      <c r="D149" s="100">
        <v>2.8400000000000002E-2</v>
      </c>
      <c r="E149" s="102">
        <f t="shared" si="7"/>
        <v>358.95668685358231</v>
      </c>
      <c r="F149" s="103"/>
      <c r="G149" s="100">
        <v>2.8400000000000002E-2</v>
      </c>
      <c r="H149" s="104">
        <f t="shared" si="8"/>
        <v>306.42709261139373</v>
      </c>
    </row>
    <row r="150" spans="1:8">
      <c r="A150" s="100">
        <v>2.86E-2</v>
      </c>
      <c r="B150" s="104">
        <f t="shared" si="6"/>
        <v>1575.2075307774828</v>
      </c>
      <c r="C150" s="101"/>
      <c r="D150" s="100">
        <v>2.86E-2</v>
      </c>
      <c r="E150" s="102">
        <f t="shared" si="7"/>
        <v>275.69764055756616</v>
      </c>
      <c r="F150" s="103"/>
      <c r="G150" s="100">
        <v>2.86E-2</v>
      </c>
      <c r="H150" s="104">
        <f t="shared" si="8"/>
        <v>268.73609977003957</v>
      </c>
    </row>
    <row r="151" spans="1:8">
      <c r="A151" s="100">
        <v>2.8799999999999999E-2</v>
      </c>
      <c r="B151" s="104">
        <f t="shared" si="6"/>
        <v>1352.0303020868141</v>
      </c>
      <c r="C151" s="101"/>
      <c r="D151" s="100">
        <v>2.8799999999999999E-2</v>
      </c>
      <c r="E151" s="102">
        <f t="shared" si="7"/>
        <v>203.10954864010671</v>
      </c>
      <c r="F151" s="103"/>
      <c r="G151" s="100">
        <v>2.8799999999999999E-2</v>
      </c>
      <c r="H151" s="104">
        <f t="shared" si="8"/>
        <v>235.09268868526399</v>
      </c>
    </row>
    <row r="152" spans="1:8">
      <c r="A152" s="100">
        <v>2.9000000000000001E-2</v>
      </c>
      <c r="B152" s="104">
        <f t="shared" si="6"/>
        <v>1127.9991020787368</v>
      </c>
      <c r="C152" s="101"/>
      <c r="D152" s="100">
        <v>2.9000000000000001E-2</v>
      </c>
      <c r="E152" s="102">
        <f t="shared" si="7"/>
        <v>141.37577492115966</v>
      </c>
      <c r="F152" s="103"/>
      <c r="G152" s="100">
        <v>2.9000000000000001E-2</v>
      </c>
      <c r="H152" s="104">
        <f t="shared" si="8"/>
        <v>205.14762795251085</v>
      </c>
    </row>
    <row r="153" spans="1:8">
      <c r="A153" s="100">
        <v>2.92E-2</v>
      </c>
      <c r="B153" s="104">
        <f t="shared" si="6"/>
        <v>903.25543366093484</v>
      </c>
      <c r="C153" s="101"/>
      <c r="D153" s="100">
        <v>2.92E-2</v>
      </c>
      <c r="E153" s="102">
        <f t="shared" si="7"/>
        <v>90.652264270889134</v>
      </c>
      <c r="F153" s="103"/>
      <c r="G153" s="100">
        <v>2.92E-2</v>
      </c>
      <c r="H153" s="104">
        <f t="shared" si="8"/>
        <v>178.56985269933244</v>
      </c>
    </row>
    <row r="154" spans="1:8">
      <c r="A154" s="100">
        <v>2.9399999999999999E-2</v>
      </c>
      <c r="B154" s="104">
        <f t="shared" si="6"/>
        <v>677.94124975139334</v>
      </c>
      <c r="C154" s="101"/>
      <c r="D154" s="100">
        <v>2.9399999999999999E-2</v>
      </c>
      <c r="E154" s="102">
        <f t="shared" si="7"/>
        <v>51.067148679386719</v>
      </c>
      <c r="F154" s="103"/>
      <c r="G154" s="100">
        <v>2.9399999999999999E-2</v>
      </c>
      <c r="H154" s="104">
        <f t="shared" si="8"/>
        <v>155.04724180471595</v>
      </c>
    </row>
    <row r="155" spans="1:8">
      <c r="A155" s="100">
        <v>2.9600000000000001E-2</v>
      </c>
      <c r="B155" s="104">
        <f t="shared" si="6"/>
        <v>452.19886361792294</v>
      </c>
      <c r="C155" s="101"/>
      <c r="D155" s="100">
        <v>2.9600000000000001E-2</v>
      </c>
      <c r="E155" s="102">
        <f t="shared" si="7"/>
        <v>22.72042358414922</v>
      </c>
      <c r="F155" s="103"/>
      <c r="G155" s="100">
        <v>2.9600000000000001E-2</v>
      </c>
      <c r="H155" s="104">
        <f t="shared" si="8"/>
        <v>134.2870746216102</v>
      </c>
    </row>
    <row r="156" spans="1:8">
      <c r="A156" s="100">
        <v>2.98E-2</v>
      </c>
      <c r="B156" s="104">
        <f t="shared" si="6"/>
        <v>226.17085899003632</v>
      </c>
      <c r="C156" s="101"/>
      <c r="D156" s="100">
        <v>2.98E-2</v>
      </c>
      <c r="E156" s="102">
        <f t="shared" si="7"/>
        <v>5.6836952729213959</v>
      </c>
      <c r="F156" s="103"/>
      <c r="G156" s="100">
        <v>2.98E-2</v>
      </c>
      <c r="H156" s="104">
        <f t="shared" si="8"/>
        <v>116.01620229601323</v>
      </c>
    </row>
    <row r="157" spans="1:8">
      <c r="A157" s="100">
        <v>0.03</v>
      </c>
      <c r="B157" s="104">
        <f t="shared" si="6"/>
        <v>1.102633609417758E-12</v>
      </c>
      <c r="C157" s="101"/>
      <c r="D157" s="100">
        <v>0.03</v>
      </c>
      <c r="E157" s="102">
        <f t="shared" si="7"/>
        <v>0</v>
      </c>
      <c r="F157" s="103"/>
      <c r="G157" s="100">
        <v>0.03</v>
      </c>
      <c r="H157" s="104">
        <f t="shared" si="8"/>
        <v>99.980968844180737</v>
      </c>
    </row>
    <row r="158" spans="1:8">
      <c r="A158" s="100">
        <v>3.0200000000000001E-2</v>
      </c>
      <c r="B158" s="104">
        <f t="shared" si="6"/>
        <v>0</v>
      </c>
      <c r="C158" s="101"/>
      <c r="D158" s="100">
        <v>3.0200000000000001E-2</v>
      </c>
      <c r="E158" s="102">
        <f t="shared" si="7"/>
        <v>0</v>
      </c>
      <c r="F158" s="103"/>
      <c r="G158" s="100">
        <v>3.0200000000000001E-2</v>
      </c>
      <c r="H158" s="104">
        <f t="shared" si="8"/>
        <v>85.946916555182625</v>
      </c>
    </row>
    <row r="159" spans="1:8">
      <c r="A159" s="100">
        <v>3.04E-2</v>
      </c>
      <c r="B159" s="104">
        <f t="shared" si="6"/>
        <v>0</v>
      </c>
      <c r="C159" s="101"/>
      <c r="D159" s="100">
        <v>3.04E-2</v>
      </c>
      <c r="E159" s="102">
        <f t="shared" si="7"/>
        <v>0</v>
      </c>
      <c r="F159" s="103"/>
      <c r="G159" s="100">
        <v>3.04E-2</v>
      </c>
      <c r="H159" s="104">
        <f t="shared" si="8"/>
        <v>73.698309129366663</v>
      </c>
    </row>
    <row r="160" spans="1:8">
      <c r="A160" s="100">
        <v>3.0599999999999999E-2</v>
      </c>
      <c r="B160" s="104">
        <f t="shared" si="6"/>
        <v>0</v>
      </c>
      <c r="C160" s="101"/>
      <c r="D160" s="100">
        <v>3.0599999999999999E-2</v>
      </c>
      <c r="E160" s="102">
        <f t="shared" si="7"/>
        <v>0</v>
      </c>
      <c r="F160" s="103"/>
      <c r="G160" s="100">
        <v>3.0599999999999999E-2</v>
      </c>
      <c r="H160" s="104">
        <f t="shared" si="8"/>
        <v>63.037504344261798</v>
      </c>
    </row>
    <row r="161" spans="1:8">
      <c r="A161" s="100">
        <v>3.0800000000000001E-2</v>
      </c>
      <c r="B161" s="104">
        <f t="shared" si="6"/>
        <v>0</v>
      </c>
      <c r="C161" s="101"/>
      <c r="D161" s="100">
        <v>3.0800000000000001E-2</v>
      </c>
      <c r="E161" s="102">
        <f t="shared" si="7"/>
        <v>0</v>
      </c>
      <c r="F161" s="103"/>
      <c r="G161" s="100">
        <v>3.0800000000000001E-2</v>
      </c>
      <c r="H161" s="104">
        <f t="shared" si="8"/>
        <v>53.784206055053389</v>
      </c>
    </row>
    <row r="162" spans="1:8">
      <c r="A162" s="100">
        <v>3.1E-2</v>
      </c>
      <c r="B162" s="104">
        <f t="shared" si="6"/>
        <v>0</v>
      </c>
      <c r="C162" s="101"/>
      <c r="D162" s="100">
        <v>3.1E-2</v>
      </c>
      <c r="E162" s="102">
        <f t="shared" si="7"/>
        <v>0</v>
      </c>
      <c r="F162" s="103"/>
      <c r="G162" s="100">
        <v>3.1E-2</v>
      </c>
      <c r="H162" s="104">
        <f t="shared" si="8"/>
        <v>45.774623079114299</v>
      </c>
    </row>
    <row r="163" spans="1:8">
      <c r="A163" s="100">
        <v>3.1199999999999999E-2</v>
      </c>
      <c r="B163" s="104">
        <f t="shared" si="6"/>
        <v>0</v>
      </c>
      <c r="C163" s="101"/>
      <c r="D163" s="100">
        <v>3.1199999999999999E-2</v>
      </c>
      <c r="E163" s="102">
        <f t="shared" si="7"/>
        <v>0</v>
      </c>
      <c r="F163" s="103"/>
      <c r="G163" s="100">
        <v>3.1199999999999999E-2</v>
      </c>
      <c r="H163" s="104">
        <f t="shared" si="8"/>
        <v>38.86056006869773</v>
      </c>
    </row>
    <row r="164" spans="1:8">
      <c r="A164" s="100">
        <v>3.1399999999999997E-2</v>
      </c>
      <c r="B164" s="104">
        <f t="shared" si="6"/>
        <v>0</v>
      </c>
      <c r="C164" s="101"/>
      <c r="D164" s="100">
        <v>3.1399999999999997E-2</v>
      </c>
      <c r="E164" s="102">
        <f t="shared" si="7"/>
        <v>0</v>
      </c>
      <c r="F164" s="103"/>
      <c r="G164" s="100">
        <v>3.1399999999999997E-2</v>
      </c>
      <c r="H164" s="104">
        <f t="shared" si="8"/>
        <v>32.90846292047609</v>
      </c>
    </row>
    <row r="165" spans="1:8">
      <c r="A165" s="100">
        <v>3.1600000000000003E-2</v>
      </c>
      <c r="B165" s="104">
        <f t="shared" si="6"/>
        <v>0</v>
      </c>
      <c r="C165" s="101"/>
      <c r="D165" s="100">
        <v>3.1600000000000003E-2</v>
      </c>
      <c r="E165" s="102">
        <f t="shared" si="7"/>
        <v>0</v>
      </c>
      <c r="F165" s="103"/>
      <c r="G165" s="100">
        <v>3.1600000000000003E-2</v>
      </c>
      <c r="H165" s="104">
        <f t="shared" si="8"/>
        <v>27.798438674130825</v>
      </c>
    </row>
    <row r="166" spans="1:8">
      <c r="A166" s="100">
        <v>3.1800000000000002E-2</v>
      </c>
      <c r="B166" s="104">
        <f t="shared" si="6"/>
        <v>0</v>
      </c>
      <c r="C166" s="101"/>
      <c r="D166" s="100">
        <v>3.1800000000000002E-2</v>
      </c>
      <c r="E166" s="102">
        <f t="shared" si="7"/>
        <v>0</v>
      </c>
      <c r="F166" s="103"/>
      <c r="G166" s="100">
        <v>3.1800000000000002E-2</v>
      </c>
      <c r="H166" s="104">
        <f t="shared" si="8"/>
        <v>23.42326727452858</v>
      </c>
    </row>
    <row r="167" spans="1:8">
      <c r="A167" s="100">
        <v>3.2000000000000001E-2</v>
      </c>
      <c r="B167" s="104">
        <f t="shared" si="6"/>
        <v>0</v>
      </c>
      <c r="C167" s="101"/>
      <c r="D167" s="100">
        <v>3.2000000000000001E-2</v>
      </c>
      <c r="E167" s="102">
        <f t="shared" si="7"/>
        <v>0</v>
      </c>
      <c r="F167" s="103"/>
      <c r="G167" s="100">
        <v>3.2000000000000001E-2</v>
      </c>
      <c r="H167" s="104">
        <f t="shared" si="8"/>
        <v>19.687420063645934</v>
      </c>
    </row>
    <row r="168" spans="1:8">
      <c r="A168" s="100">
        <v>3.2199999999999999E-2</v>
      </c>
      <c r="B168" s="104">
        <f t="shared" si="6"/>
        <v>0</v>
      </c>
      <c r="C168" s="101"/>
      <c r="D168" s="100">
        <v>3.2199999999999999E-2</v>
      </c>
      <c r="E168" s="102">
        <f t="shared" si="7"/>
        <v>0</v>
      </c>
      <c r="F168" s="103"/>
      <c r="G168" s="100">
        <v>3.2199999999999999E-2</v>
      </c>
      <c r="H168" s="104">
        <f t="shared" si="8"/>
        <v>16.50609747065841</v>
      </c>
    </row>
    <row r="169" spans="1:8">
      <c r="A169" s="100">
        <v>3.2399999999999998E-2</v>
      </c>
      <c r="B169" s="104">
        <f t="shared" si="6"/>
        <v>0</v>
      </c>
      <c r="C169" s="101"/>
      <c r="D169" s="100">
        <v>3.2399999999999998E-2</v>
      </c>
      <c r="E169" s="102">
        <f t="shared" si="7"/>
        <v>0</v>
      </c>
      <c r="F169" s="103"/>
      <c r="G169" s="100">
        <v>3.2399999999999998E-2</v>
      </c>
      <c r="H169" s="104">
        <f t="shared" si="8"/>
        <v>13.804296113920193</v>
      </c>
    </row>
    <row r="170" spans="1:8">
      <c r="A170" s="100">
        <v>3.2599999999999997E-2</v>
      </c>
      <c r="B170" s="104">
        <f t="shared" si="6"/>
        <v>0</v>
      </c>
      <c r="C170" s="101"/>
      <c r="D170" s="100">
        <v>3.2599999999999997E-2</v>
      </c>
      <c r="E170" s="102">
        <f t="shared" si="7"/>
        <v>0</v>
      </c>
      <c r="F170" s="103"/>
      <c r="G170" s="100">
        <v>3.2599999999999997E-2</v>
      </c>
      <c r="H170" s="104">
        <f t="shared" si="8"/>
        <v>11.515913441099334</v>
      </c>
    </row>
    <row r="171" spans="1:8">
      <c r="A171" s="100">
        <v>3.2800000000000003E-2</v>
      </c>
      <c r="B171" s="104">
        <f t="shared" si="6"/>
        <v>0</v>
      </c>
      <c r="C171" s="101"/>
      <c r="D171" s="100">
        <v>3.2800000000000003E-2</v>
      </c>
      <c r="E171" s="102">
        <f t="shared" si="7"/>
        <v>0</v>
      </c>
      <c r="F171" s="103"/>
      <c r="G171" s="100">
        <v>3.2800000000000003E-2</v>
      </c>
      <c r="H171" s="104">
        <f t="shared" si="8"/>
        <v>9.5828961300112425</v>
      </c>
    </row>
    <row r="172" spans="1:8">
      <c r="A172" s="100">
        <v>3.3000000000000002E-2</v>
      </c>
      <c r="B172" s="104">
        <f t="shared" si="6"/>
        <v>0</v>
      </c>
      <c r="C172" s="101"/>
      <c r="D172" s="100">
        <v>3.3000000000000002E-2</v>
      </c>
      <c r="E172" s="102">
        <f t="shared" si="7"/>
        <v>0</v>
      </c>
      <c r="F172" s="103"/>
      <c r="G172" s="100">
        <v>3.3000000000000002E-2</v>
      </c>
      <c r="H172" s="104">
        <f t="shared" si="8"/>
        <v>7.9544367624154351</v>
      </c>
    </row>
    <row r="173" spans="1:8">
      <c r="A173" s="100">
        <v>3.32E-2</v>
      </c>
      <c r="B173" s="104">
        <f t="shared" si="6"/>
        <v>0</v>
      </c>
      <c r="C173" s="101"/>
      <c r="D173" s="100">
        <v>3.32E-2</v>
      </c>
      <c r="E173" s="102">
        <f t="shared" si="7"/>
        <v>0</v>
      </c>
      <c r="F173" s="103"/>
      <c r="G173" s="100">
        <v>3.32E-2</v>
      </c>
      <c r="H173" s="104">
        <f t="shared" si="8"/>
        <v>6.5862217699242489</v>
      </c>
    </row>
    <row r="174" spans="1:8">
      <c r="A174" s="100">
        <v>3.3399999999999999E-2</v>
      </c>
      <c r="B174" s="104">
        <f t="shared" si="6"/>
        <v>0</v>
      </c>
      <c r="C174" s="101"/>
      <c r="D174" s="100">
        <v>3.3399999999999999E-2</v>
      </c>
      <c r="E174" s="102">
        <f t="shared" si="7"/>
        <v>0</v>
      </c>
      <c r="F174" s="103"/>
      <c r="G174" s="100">
        <v>3.3399999999999999E-2</v>
      </c>
      <c r="H174" s="104">
        <f t="shared" si="8"/>
        <v>5.4397323338359937</v>
      </c>
    </row>
    <row r="175" spans="1:8">
      <c r="A175" s="100">
        <v>3.3599999999999998E-2</v>
      </c>
      <c r="B175" s="104">
        <f t="shared" si="6"/>
        <v>0</v>
      </c>
      <c r="C175" s="101"/>
      <c r="D175" s="100">
        <v>3.3599999999999998E-2</v>
      </c>
      <c r="E175" s="102">
        <f t="shared" si="7"/>
        <v>0</v>
      </c>
      <c r="F175" s="103"/>
      <c r="G175" s="100">
        <v>3.3599999999999998E-2</v>
      </c>
      <c r="H175" s="104">
        <f t="shared" si="8"/>
        <v>4.4815987935294652</v>
      </c>
    </row>
    <row r="176" spans="1:8">
      <c r="A176" s="100">
        <v>3.3799999999999997E-2</v>
      </c>
      <c r="B176" s="104">
        <f t="shared" si="6"/>
        <v>0</v>
      </c>
      <c r="C176" s="101"/>
      <c r="D176" s="100">
        <v>3.3799999999999997E-2</v>
      </c>
      <c r="E176" s="102">
        <f t="shared" si="7"/>
        <v>0</v>
      </c>
      <c r="F176" s="103"/>
      <c r="G176" s="100">
        <v>3.3799999999999997E-2</v>
      </c>
      <c r="H176" s="104">
        <f t="shared" si="8"/>
        <v>3.6830081720536199</v>
      </c>
    </row>
    <row r="177" spans="1:8">
      <c r="A177" s="100">
        <v>3.4000000000000002E-2</v>
      </c>
      <c r="B177" s="104">
        <f t="shared" si="6"/>
        <v>0</v>
      </c>
      <c r="C177" s="101"/>
      <c r="D177" s="100">
        <v>3.4000000000000002E-2</v>
      </c>
      <c r="E177" s="102">
        <f t="shared" si="7"/>
        <v>0</v>
      </c>
      <c r="F177" s="103"/>
      <c r="G177" s="100">
        <v>3.4000000000000002E-2</v>
      </c>
      <c r="H177" s="104">
        <f t="shared" si="8"/>
        <v>3.0191636511225957</v>
      </c>
    </row>
    <row r="178" spans="1:8">
      <c r="A178" s="100">
        <v>3.4200000000000001E-2</v>
      </c>
      <c r="B178" s="104">
        <f t="shared" si="6"/>
        <v>0</v>
      </c>
      <c r="C178" s="101"/>
      <c r="D178" s="100">
        <v>3.4200000000000001E-2</v>
      </c>
      <c r="E178" s="102">
        <f t="shared" si="7"/>
        <v>0</v>
      </c>
      <c r="F178" s="103"/>
      <c r="G178" s="100">
        <v>3.4200000000000001E-2</v>
      </c>
      <c r="H178" s="104">
        <f t="shared" si="8"/>
        <v>2.468794207440602</v>
      </c>
    </row>
    <row r="179" spans="1:8">
      <c r="A179" s="100">
        <v>3.44E-2</v>
      </c>
      <c r="B179" s="104">
        <f t="shared" si="6"/>
        <v>0</v>
      </c>
      <c r="C179" s="101"/>
      <c r="D179" s="100">
        <v>3.44E-2</v>
      </c>
      <c r="E179" s="102">
        <f t="shared" si="7"/>
        <v>0</v>
      </c>
      <c r="F179" s="103"/>
      <c r="G179" s="100">
        <v>3.44E-2</v>
      </c>
      <c r="H179" s="104">
        <f t="shared" si="8"/>
        <v>2.013712143485578</v>
      </c>
    </row>
    <row r="180" spans="1:8">
      <c r="A180" s="100">
        <v>3.4599999999999999E-2</v>
      </c>
      <c r="B180" s="104">
        <f t="shared" si="6"/>
        <v>0</v>
      </c>
      <c r="C180" s="101"/>
      <c r="D180" s="100">
        <v>3.4599999999999999E-2</v>
      </c>
      <c r="E180" s="102">
        <f t="shared" si="7"/>
        <v>0</v>
      </c>
      <c r="F180" s="103"/>
      <c r="G180" s="100">
        <v>3.4599999999999999E-2</v>
      </c>
      <c r="H180" s="104">
        <f t="shared" si="8"/>
        <v>1.6384158933030544</v>
      </c>
    </row>
    <row r="181" spans="1:8">
      <c r="A181" s="100">
        <v>3.4799999999999998E-2</v>
      </c>
      <c r="B181" s="104">
        <f t="shared" si="6"/>
        <v>0</v>
      </c>
      <c r="C181" s="101"/>
      <c r="D181" s="100">
        <v>3.4799999999999998E-2</v>
      </c>
      <c r="E181" s="102">
        <f t="shared" si="7"/>
        <v>0</v>
      </c>
      <c r="F181" s="103"/>
      <c r="G181" s="100">
        <v>3.4799999999999998E-2</v>
      </c>
      <c r="H181" s="104">
        <f t="shared" si="8"/>
        <v>1.3297352420883073</v>
      </c>
    </row>
    <row r="182" spans="1:8">
      <c r="A182" s="100">
        <v>3.5000000000000003E-2</v>
      </c>
      <c r="B182" s="104">
        <f t="shared" si="6"/>
        <v>0</v>
      </c>
      <c r="C182" s="101"/>
      <c r="D182" s="100">
        <v>3.5000000000000003E-2</v>
      </c>
      <c r="E182" s="102">
        <f t="shared" si="7"/>
        <v>0</v>
      </c>
      <c r="F182" s="103"/>
      <c r="G182" s="100">
        <v>3.5000000000000003E-2</v>
      </c>
      <c r="H182" s="104">
        <f t="shared" si="8"/>
        <v>1.0765159522292156</v>
      </c>
    </row>
    <row r="183" spans="1:8">
      <c r="A183" s="100">
        <v>3.5200000000000002E-2</v>
      </c>
      <c r="B183" s="104">
        <f t="shared" si="6"/>
        <v>0</v>
      </c>
      <c r="C183" s="101"/>
      <c r="D183" s="100">
        <v>3.5200000000000002E-2</v>
      </c>
      <c r="E183" s="102">
        <f t="shared" si="7"/>
        <v>0</v>
      </c>
      <c r="F183" s="103"/>
      <c r="G183" s="100">
        <v>3.5200000000000002E-2</v>
      </c>
      <c r="H183" s="104">
        <f t="shared" si="8"/>
        <v>0.86934072349965297</v>
      </c>
    </row>
    <row r="184" spans="1:8">
      <c r="A184" s="100">
        <v>3.5400000000000001E-2</v>
      </c>
      <c r="B184" s="104">
        <f t="shared" si="6"/>
        <v>0</v>
      </c>
      <c r="C184" s="101"/>
      <c r="D184" s="100">
        <v>3.5400000000000001E-2</v>
      </c>
      <c r="E184" s="102">
        <f t="shared" si="7"/>
        <v>0</v>
      </c>
      <c r="F184" s="103"/>
      <c r="G184" s="100">
        <v>3.5400000000000001E-2</v>
      </c>
      <c r="H184" s="104">
        <f t="shared" si="8"/>
        <v>0.70028341753983747</v>
      </c>
    </row>
    <row r="185" spans="1:8">
      <c r="A185" s="100">
        <v>3.56E-2</v>
      </c>
      <c r="B185" s="104">
        <f t="shared" si="6"/>
        <v>0</v>
      </c>
      <c r="C185" s="101"/>
      <c r="D185" s="100">
        <v>3.56E-2</v>
      </c>
      <c r="E185" s="102">
        <f t="shared" si="7"/>
        <v>0</v>
      </c>
      <c r="F185" s="103"/>
      <c r="G185" s="100">
        <v>3.56E-2</v>
      </c>
      <c r="H185" s="104">
        <f t="shared" si="8"/>
        <v>0.56269353397338129</v>
      </c>
    </row>
    <row r="186" spans="1:8">
      <c r="A186" s="100">
        <v>3.5799999999999998E-2</v>
      </c>
      <c r="B186" s="104">
        <f t="shared" si="6"/>
        <v>0</v>
      </c>
      <c r="C186" s="101"/>
      <c r="D186" s="100">
        <v>3.5799999999999998E-2</v>
      </c>
      <c r="E186" s="102">
        <f t="shared" si="7"/>
        <v>0</v>
      </c>
      <c r="F186" s="103"/>
      <c r="G186" s="100">
        <v>3.5799999999999998E-2</v>
      </c>
      <c r="H186" s="104">
        <f t="shared" si="8"/>
        <v>0.45100802597622824</v>
      </c>
    </row>
    <row r="187" spans="1:8">
      <c r="A187" s="100">
        <v>3.5999999999999997E-2</v>
      </c>
      <c r="B187" s="104">
        <f t="shared" si="6"/>
        <v>0</v>
      </c>
      <c r="C187" s="101"/>
      <c r="D187" s="100">
        <v>3.5999999999999997E-2</v>
      </c>
      <c r="E187" s="102">
        <f t="shared" si="7"/>
        <v>0</v>
      </c>
      <c r="F187" s="103"/>
      <c r="G187" s="100">
        <v>3.5999999999999997E-2</v>
      </c>
      <c r="H187" s="104">
        <f t="shared" si="8"/>
        <v>0.36058767653655965</v>
      </c>
    </row>
    <row r="188" spans="1:8">
      <c r="A188" s="100">
        <v>3.6200000000000003E-2</v>
      </c>
      <c r="B188" s="104">
        <f t="shared" si="6"/>
        <v>0</v>
      </c>
      <c r="C188" s="101"/>
      <c r="D188" s="100">
        <v>3.6200000000000003E-2</v>
      </c>
      <c r="E188" s="102">
        <f t="shared" si="7"/>
        <v>0</v>
      </c>
      <c r="F188" s="103"/>
      <c r="G188" s="100">
        <v>3.6200000000000003E-2</v>
      </c>
      <c r="H188" s="104">
        <f t="shared" si="8"/>
        <v>0.28757541396980635</v>
      </c>
    </row>
    <row r="189" spans="1:8">
      <c r="A189" s="100">
        <v>3.6400000000000002E-2</v>
      </c>
      <c r="B189" s="104">
        <f t="shared" si="6"/>
        <v>0</v>
      </c>
      <c r="C189" s="101"/>
      <c r="D189" s="100">
        <v>3.6400000000000002E-2</v>
      </c>
      <c r="E189" s="102">
        <f t="shared" si="7"/>
        <v>0</v>
      </c>
      <c r="F189" s="103"/>
      <c r="G189" s="100">
        <v>3.6400000000000002E-2</v>
      </c>
      <c r="H189" s="104">
        <f t="shared" si="8"/>
        <v>0.22877411864579283</v>
      </c>
    </row>
    <row r="190" spans="1:8">
      <c r="A190" s="100">
        <v>3.6600000000000001E-2</v>
      </c>
      <c r="B190" s="104">
        <f t="shared" si="6"/>
        <v>0</v>
      </c>
      <c r="C190" s="101"/>
      <c r="D190" s="100">
        <v>3.6600000000000001E-2</v>
      </c>
      <c r="E190" s="102">
        <f t="shared" si="7"/>
        <v>0</v>
      </c>
      <c r="F190" s="103"/>
      <c r="G190" s="100">
        <v>3.6600000000000001E-2</v>
      </c>
      <c r="H190" s="104">
        <f t="shared" si="8"/>
        <v>0.1815416556890232</v>
      </c>
    </row>
    <row r="191" spans="1:8">
      <c r="A191" s="100">
        <v>3.6799999999999999E-2</v>
      </c>
      <c r="B191" s="104">
        <f t="shared" si="6"/>
        <v>0</v>
      </c>
      <c r="C191" s="101"/>
      <c r="D191" s="100">
        <v>3.6799999999999999E-2</v>
      </c>
      <c r="E191" s="102">
        <f t="shared" si="7"/>
        <v>0</v>
      </c>
      <c r="F191" s="103"/>
      <c r="G191" s="100">
        <v>3.6799999999999999E-2</v>
      </c>
      <c r="H191" s="104">
        <f t="shared" si="8"/>
        <v>0.14370105508024247</v>
      </c>
    </row>
    <row r="192" spans="1:8">
      <c r="A192" s="100">
        <v>3.6999999999999998E-2</v>
      </c>
      <c r="B192" s="104">
        <f t="shared" si="6"/>
        <v>0</v>
      </c>
      <c r="C192" s="101"/>
      <c r="D192" s="100">
        <v>3.6999999999999998E-2</v>
      </c>
      <c r="E192" s="102">
        <f t="shared" si="7"/>
        <v>0</v>
      </c>
      <c r="F192" s="103"/>
      <c r="G192" s="100">
        <v>3.6999999999999998E-2</v>
      </c>
      <c r="H192" s="104">
        <f t="shared" si="8"/>
        <v>0.1134639465934367</v>
      </c>
    </row>
    <row r="193" spans="1:8">
      <c r="A193" s="100">
        <v>3.7199999999999997E-2</v>
      </c>
      <c r="B193" s="104">
        <f t="shared" si="6"/>
        <v>0</v>
      </c>
      <c r="C193" s="101"/>
      <c r="D193" s="100">
        <v>3.7199999999999997E-2</v>
      </c>
      <c r="E193" s="102">
        <f t="shared" si="7"/>
        <v>0</v>
      </c>
      <c r="F193" s="103"/>
      <c r="G193" s="100">
        <v>3.7199999999999997E-2</v>
      </c>
      <c r="H193" s="104">
        <f t="shared" si="8"/>
        <v>8.9365538752659734E-2</v>
      </c>
    </row>
    <row r="194" spans="1:8">
      <c r="A194" s="100">
        <v>3.7400000000000003E-2</v>
      </c>
      <c r="B194" s="104">
        <f t="shared" si="6"/>
        <v>0</v>
      </c>
      <c r="C194" s="101"/>
      <c r="D194" s="100">
        <v>3.7400000000000003E-2</v>
      </c>
      <c r="E194" s="102">
        <f t="shared" si="7"/>
        <v>0</v>
      </c>
      <c r="F194" s="103"/>
      <c r="G194" s="100">
        <v>3.7400000000000003E-2</v>
      </c>
      <c r="H194" s="104">
        <f t="shared" si="8"/>
        <v>7.020960572079743E-2</v>
      </c>
    </row>
    <row r="195" spans="1:8">
      <c r="A195" s="100">
        <v>3.7600000000000001E-2</v>
      </c>
      <c r="B195" s="104">
        <f t="shared" si="6"/>
        <v>0</v>
      </c>
      <c r="C195" s="101"/>
      <c r="D195" s="100">
        <v>3.7600000000000001E-2</v>
      </c>
      <c r="E195" s="102">
        <f t="shared" si="7"/>
        <v>0</v>
      </c>
      <c r="F195" s="103"/>
      <c r="G195" s="100">
        <v>3.7600000000000001E-2</v>
      </c>
      <c r="H195" s="104">
        <f t="shared" si="8"/>
        <v>5.5022111697342523E-2</v>
      </c>
    </row>
    <row r="196" spans="1:8">
      <c r="A196" s="100">
        <v>3.78E-2</v>
      </c>
      <c r="B196" s="104">
        <f t="shared" si="6"/>
        <v>0</v>
      </c>
      <c r="C196" s="101"/>
      <c r="D196" s="100">
        <v>3.78E-2</v>
      </c>
      <c r="E196" s="102">
        <f t="shared" si="7"/>
        <v>0</v>
      </c>
      <c r="F196" s="103"/>
      <c r="G196" s="100">
        <v>3.78E-2</v>
      </c>
      <c r="H196" s="104">
        <f t="shared" si="8"/>
        <v>4.301225758984175E-2</v>
      </c>
    </row>
    <row r="197" spans="1:8">
      <c r="A197" s="100">
        <v>3.7999999999999999E-2</v>
      </c>
      <c r="B197" s="104">
        <f t="shared" si="6"/>
        <v>0</v>
      </c>
      <c r="C197" s="101"/>
      <c r="D197" s="100">
        <v>3.7999999999999999E-2</v>
      </c>
      <c r="E197" s="102">
        <f t="shared" si="7"/>
        <v>0</v>
      </c>
      <c r="F197" s="103"/>
      <c r="G197" s="100">
        <v>3.7999999999999999E-2</v>
      </c>
      <c r="H197" s="104">
        <f t="shared" si="8"/>
        <v>3.3539878548708039E-2</v>
      </c>
    </row>
    <row r="198" spans="1:8">
      <c r="A198" s="100">
        <v>3.8199999999999998E-2</v>
      </c>
      <c r="B198" s="104">
        <f t="shared" si="6"/>
        <v>0</v>
      </c>
      <c r="C198" s="101"/>
      <c r="D198" s="100">
        <v>3.8199999999999998E-2</v>
      </c>
      <c r="E198" s="102">
        <f t="shared" si="7"/>
        <v>0</v>
      </c>
      <c r="F198" s="103"/>
      <c r="G198" s="100">
        <v>3.8199999999999998E-2</v>
      </c>
      <c r="H198" s="104">
        <f t="shared" si="8"/>
        <v>2.6088252971696493E-2</v>
      </c>
    </row>
    <row r="199" spans="1:8">
      <c r="A199" s="100">
        <v>3.8399999999999997E-2</v>
      </c>
      <c r="B199" s="104">
        <f t="shared" ref="B199:B262" si="9">IF(AND(A199&gt;=$B$2,A199&lt;=$B$3),$B$4*SIN(PI()/($B$3-$B$2)*(A199-$B$2)),0)</f>
        <v>0</v>
      </c>
      <c r="C199" s="101"/>
      <c r="D199" s="100">
        <v>3.8399999999999997E-2</v>
      </c>
      <c r="E199" s="102">
        <f t="shared" ref="E199:E262" si="10">IF(AND(A199&gt;=$B$2,A199&lt;=$B$3),$B$4*(1-COS(2*PI()/($B$3-$B$2)*(A199-$B$2)))/2,0)</f>
        <v>0</v>
      </c>
      <c r="F199" s="103"/>
      <c r="G199" s="100">
        <v>3.8399999999999997E-2</v>
      </c>
      <c r="H199" s="104">
        <f t="shared" si="8"/>
        <v>2.0241503703291117E-2</v>
      </c>
    </row>
    <row r="200" spans="1:8">
      <c r="A200" s="100">
        <v>3.8600000000000002E-2</v>
      </c>
      <c r="B200" s="104">
        <f t="shared" si="9"/>
        <v>0</v>
      </c>
      <c r="C200" s="101"/>
      <c r="D200" s="100">
        <v>3.8600000000000002E-2</v>
      </c>
      <c r="E200" s="102">
        <f t="shared" si="10"/>
        <v>0</v>
      </c>
      <c r="F200" s="103"/>
      <c r="G200" s="100">
        <v>3.8600000000000002E-2</v>
      </c>
      <c r="H200" s="104">
        <f t="shared" ref="H200:H263" si="11">$H$4*_xlfn.NORM.DIST(A200,$H$2,$H$3,FALSE)/_xlfn.NORM.DIST($H$2,$H$2,$H$3,FALSE)</f>
        <v>1.5665880568439591E-2</v>
      </c>
    </row>
    <row r="201" spans="1:8">
      <c r="A201" s="100">
        <v>3.8800000000000001E-2</v>
      </c>
      <c r="B201" s="104">
        <f t="shared" si="9"/>
        <v>0</v>
      </c>
      <c r="C201" s="101"/>
      <c r="D201" s="100">
        <v>3.8800000000000001E-2</v>
      </c>
      <c r="E201" s="102">
        <f t="shared" si="10"/>
        <v>0</v>
      </c>
      <c r="F201" s="103"/>
      <c r="G201" s="100">
        <v>3.8800000000000001E-2</v>
      </c>
      <c r="H201" s="104">
        <f t="shared" si="11"/>
        <v>1.2094310498683673E-2</v>
      </c>
    </row>
    <row r="202" spans="1:8">
      <c r="A202" s="100">
        <v>3.9E-2</v>
      </c>
      <c r="B202" s="104">
        <f t="shared" si="9"/>
        <v>0</v>
      </c>
      <c r="C202" s="101"/>
      <c r="D202" s="100">
        <v>3.9E-2</v>
      </c>
      <c r="E202" s="102">
        <f t="shared" si="10"/>
        <v>0</v>
      </c>
      <c r="F202" s="103"/>
      <c r="G202" s="100">
        <v>3.9E-2</v>
      </c>
      <c r="H202" s="104">
        <f t="shared" si="11"/>
        <v>9.3136878999843763E-3</v>
      </c>
    </row>
    <row r="203" spans="1:8">
      <c r="A203" s="100">
        <v>3.9199999999999999E-2</v>
      </c>
      <c r="B203" s="104">
        <f t="shared" si="9"/>
        <v>0</v>
      </c>
      <c r="C203" s="101"/>
      <c r="D203" s="100">
        <v>3.9199999999999999E-2</v>
      </c>
      <c r="E203" s="102">
        <f t="shared" si="10"/>
        <v>0</v>
      </c>
      <c r="F203" s="103"/>
      <c r="G203" s="100">
        <v>3.9199999999999999E-2</v>
      </c>
      <c r="H203" s="104">
        <f t="shared" si="11"/>
        <v>7.1544542538142268E-3</v>
      </c>
    </row>
    <row r="204" spans="1:8">
      <c r="A204" s="100">
        <v>3.9399999999999998E-2</v>
      </c>
      <c r="B204" s="104">
        <f t="shared" si="9"/>
        <v>0</v>
      </c>
      <c r="C204" s="101"/>
      <c r="D204" s="100">
        <v>3.9399999999999998E-2</v>
      </c>
      <c r="E204" s="102">
        <f t="shared" si="10"/>
        <v>0</v>
      </c>
      <c r="F204" s="103"/>
      <c r="G204" s="100">
        <v>3.9399999999999998E-2</v>
      </c>
      <c r="H204" s="104">
        <f t="shared" si="11"/>
        <v>5.4820829839639816E-3</v>
      </c>
    </row>
    <row r="205" spans="1:8">
      <c r="A205" s="100">
        <v>3.9600000000000003E-2</v>
      </c>
      <c r="B205" s="104">
        <f t="shared" si="9"/>
        <v>0</v>
      </c>
      <c r="C205" s="101"/>
      <c r="D205" s="100">
        <v>3.9600000000000003E-2</v>
      </c>
      <c r="E205" s="102">
        <f t="shared" si="10"/>
        <v>0</v>
      </c>
      <c r="F205" s="103"/>
      <c r="G205" s="100">
        <v>3.9600000000000003E-2</v>
      </c>
      <c r="H205" s="104">
        <f t="shared" si="11"/>
        <v>4.1901441442047478E-3</v>
      </c>
    </row>
    <row r="206" spans="1:8">
      <c r="A206" s="100">
        <v>3.9800000000000002E-2</v>
      </c>
      <c r="B206" s="104">
        <f t="shared" si="9"/>
        <v>0</v>
      </c>
      <c r="C206" s="101"/>
      <c r="D206" s="100">
        <v>3.9800000000000002E-2</v>
      </c>
      <c r="E206" s="102">
        <f t="shared" si="10"/>
        <v>0</v>
      </c>
      <c r="F206" s="103"/>
      <c r="G206" s="100">
        <v>3.9800000000000002E-2</v>
      </c>
      <c r="H206" s="104">
        <f t="shared" si="11"/>
        <v>3.1946742782741717E-3</v>
      </c>
    </row>
    <row r="207" spans="1:8">
      <c r="A207" s="100">
        <v>0.04</v>
      </c>
      <c r="B207" s="104">
        <f t="shared" si="9"/>
        <v>0</v>
      </c>
      <c r="C207" s="101"/>
      <c r="D207" s="100">
        <v>0.04</v>
      </c>
      <c r="E207" s="102">
        <f t="shared" si="10"/>
        <v>0</v>
      </c>
      <c r="F207" s="103"/>
      <c r="G207" s="100">
        <v>0.04</v>
      </c>
      <c r="H207" s="104">
        <f t="shared" si="11"/>
        <v>2.4296206530267125E-3</v>
      </c>
    </row>
    <row r="208" spans="1:8">
      <c r="A208" s="100">
        <v>4.02E-2</v>
      </c>
      <c r="B208" s="104">
        <f t="shared" si="9"/>
        <v>0</v>
      </c>
      <c r="C208" s="101"/>
      <c r="D208" s="100">
        <v>4.02E-2</v>
      </c>
      <c r="E208" s="102">
        <f t="shared" si="10"/>
        <v>0</v>
      </c>
      <c r="F208" s="103"/>
      <c r="G208" s="100">
        <v>4.02E-2</v>
      </c>
      <c r="H208" s="104">
        <f t="shared" si="11"/>
        <v>1.8431667190777132E-3</v>
      </c>
    </row>
    <row r="209" spans="1:8">
      <c r="A209" s="100">
        <v>4.0399999999999998E-2</v>
      </c>
      <c r="B209" s="104">
        <f t="shared" si="9"/>
        <v>0</v>
      </c>
      <c r="C209" s="101"/>
      <c r="D209" s="100">
        <v>4.0399999999999998E-2</v>
      </c>
      <c r="E209" s="102">
        <f t="shared" si="10"/>
        <v>0</v>
      </c>
      <c r="F209" s="103"/>
      <c r="G209" s="100">
        <v>4.0399999999999998E-2</v>
      </c>
      <c r="H209" s="104">
        <f t="shared" si="11"/>
        <v>1.3947778221326092E-3</v>
      </c>
    </row>
    <row r="210" spans="1:8">
      <c r="A210" s="100">
        <v>4.0599999999999997E-2</v>
      </c>
      <c r="B210" s="104">
        <f t="shared" si="9"/>
        <v>0</v>
      </c>
      <c r="C210" s="101"/>
      <c r="D210" s="100">
        <v>4.0599999999999997E-2</v>
      </c>
      <c r="E210" s="102">
        <f t="shared" si="10"/>
        <v>0</v>
      </c>
      <c r="F210" s="103"/>
      <c r="G210" s="100">
        <v>4.0599999999999997E-2</v>
      </c>
      <c r="H210" s="104">
        <f t="shared" si="11"/>
        <v>1.0528335361216752E-3</v>
      </c>
    </row>
    <row r="211" spans="1:8">
      <c r="A211" s="100">
        <v>4.0800000000000003E-2</v>
      </c>
      <c r="B211" s="104">
        <f t="shared" si="9"/>
        <v>0</v>
      </c>
      <c r="C211" s="101"/>
      <c r="D211" s="100">
        <v>4.0800000000000003E-2</v>
      </c>
      <c r="E211" s="102">
        <f t="shared" si="10"/>
        <v>0</v>
      </c>
      <c r="F211" s="103"/>
      <c r="G211" s="100">
        <v>4.0800000000000003E-2</v>
      </c>
      <c r="H211" s="104">
        <f t="shared" si="11"/>
        <v>7.9273612768144749E-4</v>
      </c>
    </row>
    <row r="212" spans="1:8">
      <c r="A212" s="100">
        <v>4.1000000000000002E-2</v>
      </c>
      <c r="B212" s="104">
        <f t="shared" si="9"/>
        <v>0</v>
      </c>
      <c r="C212" s="101"/>
      <c r="D212" s="100">
        <v>4.1000000000000002E-2</v>
      </c>
      <c r="E212" s="102">
        <f t="shared" si="10"/>
        <v>0</v>
      </c>
      <c r="F212" s="103"/>
      <c r="G212" s="100">
        <v>4.1000000000000002E-2</v>
      </c>
      <c r="H212" s="104">
        <f t="shared" si="11"/>
        <v>5.954041473927909E-4</v>
      </c>
    </row>
    <row r="213" spans="1:8">
      <c r="A213" s="100">
        <v>4.1200000000000001E-2</v>
      </c>
      <c r="B213" s="104">
        <f t="shared" si="9"/>
        <v>0</v>
      </c>
      <c r="C213" s="101"/>
      <c r="D213" s="100">
        <v>4.1200000000000001E-2</v>
      </c>
      <c r="E213" s="102">
        <f t="shared" si="10"/>
        <v>0</v>
      </c>
      <c r="F213" s="103"/>
      <c r="G213" s="100">
        <v>4.1200000000000001E-2</v>
      </c>
      <c r="H213" s="104">
        <f t="shared" si="11"/>
        <v>4.4607647872552326E-4</v>
      </c>
    </row>
    <row r="214" spans="1:8">
      <c r="A214" s="100">
        <v>4.1399999999999999E-2</v>
      </c>
      <c r="B214" s="104">
        <f t="shared" si="9"/>
        <v>0</v>
      </c>
      <c r="C214" s="101"/>
      <c r="D214" s="100">
        <v>4.1399999999999999E-2</v>
      </c>
      <c r="E214" s="102">
        <f t="shared" si="10"/>
        <v>0</v>
      </c>
      <c r="F214" s="103"/>
      <c r="G214" s="100">
        <v>4.1399999999999999E-2</v>
      </c>
      <c r="H214" s="104">
        <f t="shared" si="11"/>
        <v>3.333658095714913E-4</v>
      </c>
    </row>
    <row r="215" spans="1:8">
      <c r="A215" s="100">
        <v>4.1599999999999998E-2</v>
      </c>
      <c r="B215" s="104">
        <f t="shared" si="9"/>
        <v>0</v>
      </c>
      <c r="C215" s="101"/>
      <c r="D215" s="100">
        <v>4.1599999999999998E-2</v>
      </c>
      <c r="E215" s="102">
        <f t="shared" si="10"/>
        <v>0</v>
      </c>
      <c r="F215" s="103"/>
      <c r="G215" s="100">
        <v>4.1599999999999998E-2</v>
      </c>
      <c r="H215" s="104">
        <f t="shared" si="11"/>
        <v>2.4851182111452401E-4</v>
      </c>
    </row>
    <row r="216" spans="1:8">
      <c r="A216" s="100">
        <v>4.1799999999999997E-2</v>
      </c>
      <c r="B216" s="104">
        <f t="shared" si="9"/>
        <v>0</v>
      </c>
      <c r="C216" s="101"/>
      <c r="D216" s="100">
        <v>4.1799999999999997E-2</v>
      </c>
      <c r="E216" s="102">
        <f t="shared" si="10"/>
        <v>0</v>
      </c>
      <c r="F216" s="103"/>
      <c r="G216" s="100">
        <v>4.1799999999999997E-2</v>
      </c>
      <c r="H216" s="104">
        <f t="shared" si="11"/>
        <v>1.847937640430862E-4</v>
      </c>
    </row>
    <row r="217" spans="1:8">
      <c r="A217" s="100">
        <v>4.2000000000000003E-2</v>
      </c>
      <c r="B217" s="104">
        <f t="shared" si="9"/>
        <v>0</v>
      </c>
      <c r="C217" s="101"/>
      <c r="D217" s="100">
        <v>4.2000000000000003E-2</v>
      </c>
      <c r="E217" s="102">
        <f t="shared" si="10"/>
        <v>0</v>
      </c>
      <c r="F217" s="103"/>
      <c r="G217" s="100">
        <v>4.2000000000000003E-2</v>
      </c>
      <c r="H217" s="104">
        <f t="shared" si="11"/>
        <v>1.370698177024127E-4</v>
      </c>
    </row>
    <row r="218" spans="1:8">
      <c r="A218" s="100">
        <v>4.2200000000000001E-2</v>
      </c>
      <c r="B218" s="104">
        <f t="shared" si="9"/>
        <v>0</v>
      </c>
      <c r="C218" s="101"/>
      <c r="D218" s="100">
        <v>4.2200000000000001E-2</v>
      </c>
      <c r="E218" s="102">
        <f t="shared" si="10"/>
        <v>0</v>
      </c>
      <c r="F218" s="103"/>
      <c r="G218" s="100">
        <v>4.2200000000000001E-2</v>
      </c>
      <c r="H218" s="104">
        <f t="shared" si="11"/>
        <v>1.0141696798445874E-4</v>
      </c>
    </row>
    <row r="219" spans="1:8">
      <c r="A219" s="100">
        <v>4.24E-2</v>
      </c>
      <c r="B219" s="104">
        <f t="shared" si="9"/>
        <v>0</v>
      </c>
      <c r="C219" s="101"/>
      <c r="D219" s="100">
        <v>4.24E-2</v>
      </c>
      <c r="E219" s="102">
        <f t="shared" si="10"/>
        <v>0</v>
      </c>
      <c r="F219" s="103"/>
      <c r="G219" s="100">
        <v>4.24E-2</v>
      </c>
      <c r="H219" s="104">
        <f t="shared" si="11"/>
        <v>7.4850322111454727E-5</v>
      </c>
    </row>
    <row r="220" spans="1:8">
      <c r="A220" s="100">
        <v>4.2599999999999999E-2</v>
      </c>
      <c r="B220" s="104">
        <f t="shared" si="9"/>
        <v>0</v>
      </c>
      <c r="C220" s="101"/>
      <c r="D220" s="100">
        <v>4.2599999999999999E-2</v>
      </c>
      <c r="E220" s="102">
        <f t="shared" si="10"/>
        <v>0</v>
      </c>
      <c r="F220" s="103"/>
      <c r="G220" s="100">
        <v>4.2599999999999999E-2</v>
      </c>
      <c r="H220" s="104">
        <f t="shared" si="11"/>
        <v>5.51049976932564E-5</v>
      </c>
    </row>
    <row r="221" spans="1:8">
      <c r="A221" s="100">
        <v>4.2799999999999998E-2</v>
      </c>
      <c r="B221" s="104">
        <f t="shared" si="9"/>
        <v>0</v>
      </c>
      <c r="C221" s="101"/>
      <c r="D221" s="100">
        <v>4.2799999999999998E-2</v>
      </c>
      <c r="E221" s="102">
        <f t="shared" si="10"/>
        <v>0</v>
      </c>
      <c r="F221" s="103"/>
      <c r="G221" s="100">
        <v>4.2799999999999998E-2</v>
      </c>
      <c r="H221" s="104">
        <f t="shared" si="11"/>
        <v>4.046714516052797E-5</v>
      </c>
    </row>
    <row r="222" spans="1:8">
      <c r="A222" s="100">
        <v>4.2999999999999997E-2</v>
      </c>
      <c r="B222" s="104">
        <f t="shared" si="9"/>
        <v>0</v>
      </c>
      <c r="C222" s="101"/>
      <c r="D222" s="100">
        <v>4.2999999999999997E-2</v>
      </c>
      <c r="E222" s="102">
        <f t="shared" si="10"/>
        <v>0</v>
      </c>
      <c r="F222" s="103"/>
      <c r="G222" s="100">
        <v>4.2999999999999997E-2</v>
      </c>
      <c r="H222" s="104">
        <f t="shared" si="11"/>
        <v>2.9643426992754946E-5</v>
      </c>
    </row>
    <row r="223" spans="1:8">
      <c r="A223" s="100">
        <v>4.3200000000000002E-2</v>
      </c>
      <c r="B223" s="104">
        <f t="shared" si="9"/>
        <v>0</v>
      </c>
      <c r="C223" s="101"/>
      <c r="D223" s="100">
        <v>4.3200000000000002E-2</v>
      </c>
      <c r="E223" s="102">
        <f t="shared" si="10"/>
        <v>0</v>
      </c>
      <c r="F223" s="103"/>
      <c r="G223" s="100">
        <v>4.3200000000000002E-2</v>
      </c>
      <c r="H223" s="104">
        <f t="shared" si="11"/>
        <v>2.1660501926709311E-5</v>
      </c>
    </row>
    <row r="224" spans="1:8">
      <c r="A224" s="100">
        <v>4.3400000000000001E-2</v>
      </c>
      <c r="B224" s="104">
        <f t="shared" si="9"/>
        <v>0</v>
      </c>
      <c r="C224" s="101"/>
      <c r="D224" s="100">
        <v>4.3400000000000001E-2</v>
      </c>
      <c r="E224" s="102">
        <f t="shared" si="10"/>
        <v>0</v>
      </c>
      <c r="F224" s="103"/>
      <c r="G224" s="100">
        <v>4.3400000000000001E-2</v>
      </c>
      <c r="H224" s="104">
        <f t="shared" si="11"/>
        <v>1.5787846170087669E-5</v>
      </c>
    </row>
    <row r="225" spans="1:8">
      <c r="A225" s="100">
        <v>4.36E-2</v>
      </c>
      <c r="B225" s="104">
        <f t="shared" si="9"/>
        <v>0</v>
      </c>
      <c r="C225" s="101"/>
      <c r="D225" s="100">
        <v>4.36E-2</v>
      </c>
      <c r="E225" s="102">
        <f t="shared" si="10"/>
        <v>0</v>
      </c>
      <c r="F225" s="103"/>
      <c r="G225" s="100">
        <v>4.36E-2</v>
      </c>
      <c r="H225" s="104">
        <f t="shared" si="11"/>
        <v>1.1478668665734357E-5</v>
      </c>
    </row>
    <row r="226" spans="1:8">
      <c r="A226" s="100">
        <v>4.3799999999999999E-2</v>
      </c>
      <c r="B226" s="104">
        <f t="shared" si="9"/>
        <v>0</v>
      </c>
      <c r="C226" s="101"/>
      <c r="D226" s="100">
        <v>4.3799999999999999E-2</v>
      </c>
      <c r="E226" s="102">
        <f t="shared" si="10"/>
        <v>0</v>
      </c>
      <c r="F226" s="103"/>
      <c r="G226" s="100">
        <v>4.3799999999999999E-2</v>
      </c>
      <c r="H226" s="104">
        <f t="shared" si="11"/>
        <v>8.3248116774443139E-6</v>
      </c>
    </row>
    <row r="227" spans="1:8">
      <c r="A227" s="100">
        <v>4.3999999999999997E-2</v>
      </c>
      <c r="B227" s="104">
        <f t="shared" si="9"/>
        <v>0</v>
      </c>
      <c r="C227" s="101"/>
      <c r="D227" s="100">
        <v>4.3999999999999997E-2</v>
      </c>
      <c r="E227" s="102">
        <f t="shared" si="10"/>
        <v>0</v>
      </c>
      <c r="F227" s="103"/>
      <c r="G227" s="100">
        <v>4.3999999999999997E-2</v>
      </c>
      <c r="H227" s="104">
        <f t="shared" si="11"/>
        <v>6.0224274821635041E-6</v>
      </c>
    </row>
    <row r="228" spans="1:8">
      <c r="A228" s="100">
        <v>4.4200000000000003E-2</v>
      </c>
      <c r="B228" s="104">
        <f t="shared" si="9"/>
        <v>0</v>
      </c>
      <c r="C228" s="101"/>
      <c r="D228" s="100">
        <v>4.4200000000000003E-2</v>
      </c>
      <c r="E228" s="102">
        <f t="shared" si="10"/>
        <v>0</v>
      </c>
      <c r="F228" s="103"/>
      <c r="G228" s="100">
        <v>4.4200000000000003E-2</v>
      </c>
      <c r="H228" s="104">
        <f t="shared" si="11"/>
        <v>4.3459327785405691E-6</v>
      </c>
    </row>
    <row r="229" spans="1:8">
      <c r="A229" s="100">
        <v>4.4400000000000002E-2</v>
      </c>
      <c r="B229" s="104">
        <f t="shared" si="9"/>
        <v>0</v>
      </c>
      <c r="C229" s="101"/>
      <c r="D229" s="100">
        <v>4.4400000000000002E-2</v>
      </c>
      <c r="E229" s="102">
        <f t="shared" si="10"/>
        <v>0</v>
      </c>
      <c r="F229" s="103"/>
      <c r="G229" s="100">
        <v>4.4400000000000002E-2</v>
      </c>
      <c r="H229" s="104">
        <f t="shared" si="11"/>
        <v>3.1283021531159197E-6</v>
      </c>
    </row>
    <row r="230" spans="1:8">
      <c r="A230" s="100">
        <v>4.4600000000000001E-2</v>
      </c>
      <c r="B230" s="104">
        <f t="shared" si="9"/>
        <v>0</v>
      </c>
      <c r="C230" s="101"/>
      <c r="D230" s="100">
        <v>4.4600000000000001E-2</v>
      </c>
      <c r="E230" s="102">
        <f t="shared" si="10"/>
        <v>0</v>
      </c>
      <c r="F230" s="103"/>
      <c r="G230" s="100">
        <v>4.4600000000000001E-2</v>
      </c>
      <c r="H230" s="104">
        <f t="shared" si="11"/>
        <v>2.246201156199919E-6</v>
      </c>
    </row>
    <row r="231" spans="1:8">
      <c r="A231" s="100">
        <v>4.48E-2</v>
      </c>
      <c r="B231" s="104">
        <f t="shared" si="9"/>
        <v>0</v>
      </c>
      <c r="C231" s="101"/>
      <c r="D231" s="100">
        <v>4.48E-2</v>
      </c>
      <c r="E231" s="102">
        <f t="shared" si="10"/>
        <v>0</v>
      </c>
      <c r="F231" s="103"/>
      <c r="G231" s="100">
        <v>4.48E-2</v>
      </c>
      <c r="H231" s="104">
        <f t="shared" si="11"/>
        <v>1.608802984015183E-6</v>
      </c>
    </row>
    <row r="232" spans="1:8">
      <c r="A232" s="100">
        <v>4.4999999999999998E-2</v>
      </c>
      <c r="B232" s="104">
        <f t="shared" si="9"/>
        <v>0</v>
      </c>
      <c r="C232" s="101"/>
      <c r="D232" s="100">
        <v>4.4999999999999998E-2</v>
      </c>
      <c r="E232" s="102">
        <f t="shared" si="10"/>
        <v>0</v>
      </c>
      <c r="F232" s="103"/>
      <c r="G232" s="100">
        <v>4.4999999999999998E-2</v>
      </c>
      <c r="H232" s="104">
        <f t="shared" si="11"/>
        <v>1.1494003990615499E-6</v>
      </c>
    </row>
    <row r="233" spans="1:8">
      <c r="A233" s="100">
        <v>4.5199999999999997E-2</v>
      </c>
      <c r="B233" s="104">
        <f t="shared" si="9"/>
        <v>0</v>
      </c>
      <c r="C233" s="101"/>
      <c r="D233" s="100">
        <v>4.5199999999999997E-2</v>
      </c>
      <c r="E233" s="102">
        <f t="shared" si="10"/>
        <v>0</v>
      </c>
      <c r="F233" s="103"/>
      <c r="G233" s="100">
        <v>4.5199999999999997E-2</v>
      </c>
      <c r="H233" s="104">
        <f t="shared" si="11"/>
        <v>8.1913236880391708E-7</v>
      </c>
    </row>
    <row r="234" spans="1:8">
      <c r="A234" s="100">
        <v>4.5400000000000003E-2</v>
      </c>
      <c r="B234" s="104">
        <f t="shared" si="9"/>
        <v>0</v>
      </c>
      <c r="C234" s="101"/>
      <c r="D234" s="100">
        <v>4.5400000000000003E-2</v>
      </c>
      <c r="E234" s="102">
        <f t="shared" si="10"/>
        <v>0</v>
      </c>
      <c r="F234" s="103"/>
      <c r="G234" s="100">
        <v>4.5400000000000003E-2</v>
      </c>
      <c r="H234" s="104">
        <f t="shared" si="11"/>
        <v>5.8230577319636902E-7</v>
      </c>
    </row>
    <row r="235" spans="1:8">
      <c r="A235" s="100">
        <v>4.5600000000000002E-2</v>
      </c>
      <c r="B235" s="104">
        <f t="shared" si="9"/>
        <v>0</v>
      </c>
      <c r="C235" s="101"/>
      <c r="D235" s="100">
        <v>4.5600000000000002E-2</v>
      </c>
      <c r="E235" s="102">
        <f t="shared" si="10"/>
        <v>0</v>
      </c>
      <c r="F235" s="103"/>
      <c r="G235" s="100">
        <v>4.5600000000000002E-2</v>
      </c>
      <c r="H235" s="104">
        <f t="shared" si="11"/>
        <v>4.1291662384253478E-7</v>
      </c>
    </row>
    <row r="236" spans="1:8">
      <c r="A236" s="100">
        <v>4.58E-2</v>
      </c>
      <c r="B236" s="104">
        <f t="shared" si="9"/>
        <v>0</v>
      </c>
      <c r="C236" s="101"/>
      <c r="D236" s="100">
        <v>4.58E-2</v>
      </c>
      <c r="E236" s="102">
        <f t="shared" si="10"/>
        <v>0</v>
      </c>
      <c r="F236" s="103"/>
      <c r="G236" s="100">
        <v>4.58E-2</v>
      </c>
      <c r="H236" s="104">
        <f t="shared" si="11"/>
        <v>2.9207064071430552E-7</v>
      </c>
    </row>
    <row r="237" spans="1:8">
      <c r="A237" s="100">
        <v>4.5999999999999999E-2</v>
      </c>
      <c r="B237" s="104">
        <f t="shared" si="9"/>
        <v>0</v>
      </c>
      <c r="C237" s="101"/>
      <c r="D237" s="100">
        <v>4.5999999999999999E-2</v>
      </c>
      <c r="E237" s="102">
        <f t="shared" si="10"/>
        <v>0</v>
      </c>
      <c r="F237" s="103"/>
      <c r="G237" s="100">
        <v>4.5999999999999999E-2</v>
      </c>
      <c r="H237" s="104">
        <f t="shared" si="11"/>
        <v>2.0607613610809974E-7</v>
      </c>
    </row>
    <row r="238" spans="1:8">
      <c r="A238" s="100">
        <v>4.6199999999999998E-2</v>
      </c>
      <c r="B238" s="104">
        <f t="shared" si="9"/>
        <v>0</v>
      </c>
      <c r="C238" s="101"/>
      <c r="D238" s="100">
        <v>4.6199999999999998E-2</v>
      </c>
      <c r="E238" s="102">
        <f t="shared" si="10"/>
        <v>0</v>
      </c>
      <c r="F238" s="103"/>
      <c r="G238" s="100">
        <v>4.6199999999999998E-2</v>
      </c>
      <c r="H238" s="104">
        <f t="shared" si="11"/>
        <v>1.4503798784766511E-7</v>
      </c>
    </row>
    <row r="239" spans="1:8">
      <c r="A239" s="100">
        <v>4.6399999999999997E-2</v>
      </c>
      <c r="B239" s="104">
        <f t="shared" si="9"/>
        <v>0</v>
      </c>
      <c r="C239" s="101"/>
      <c r="D239" s="100">
        <v>4.6399999999999997E-2</v>
      </c>
      <c r="E239" s="102">
        <f t="shared" si="10"/>
        <v>0</v>
      </c>
      <c r="F239" s="103"/>
      <c r="G239" s="100">
        <v>4.6399999999999997E-2</v>
      </c>
      <c r="H239" s="104">
        <f t="shared" si="11"/>
        <v>1.0182398580058793E-7</v>
      </c>
    </row>
    <row r="240" spans="1:8">
      <c r="A240" s="100">
        <v>4.6600000000000003E-2</v>
      </c>
      <c r="B240" s="104">
        <f t="shared" si="9"/>
        <v>0</v>
      </c>
      <c r="C240" s="101"/>
      <c r="D240" s="100">
        <v>4.6600000000000003E-2</v>
      </c>
      <c r="E240" s="102">
        <f t="shared" si="10"/>
        <v>0</v>
      </c>
      <c r="F240" s="103"/>
      <c r="G240" s="100">
        <v>4.6600000000000003E-2</v>
      </c>
      <c r="H240" s="104">
        <f t="shared" si="11"/>
        <v>7.1307085136717982E-8</v>
      </c>
    </row>
    <row r="241" spans="1:8">
      <c r="A241" s="100">
        <v>4.6800000000000001E-2</v>
      </c>
      <c r="B241" s="104">
        <f t="shared" si="9"/>
        <v>0</v>
      </c>
      <c r="C241" s="101"/>
      <c r="D241" s="100">
        <v>4.6800000000000001E-2</v>
      </c>
      <c r="E241" s="102">
        <f t="shared" si="10"/>
        <v>0</v>
      </c>
      <c r="F241" s="103"/>
      <c r="G241" s="100">
        <v>4.6800000000000001E-2</v>
      </c>
      <c r="H241" s="104">
        <f t="shared" si="11"/>
        <v>4.9811490645309119E-8</v>
      </c>
    </row>
    <row r="242" spans="1:8">
      <c r="A242" s="100">
        <v>4.7E-2</v>
      </c>
      <c r="B242" s="104">
        <f t="shared" si="9"/>
        <v>0</v>
      </c>
      <c r="C242" s="101"/>
      <c r="D242" s="100">
        <v>4.7E-2</v>
      </c>
      <c r="E242" s="102">
        <f t="shared" si="10"/>
        <v>0</v>
      </c>
      <c r="F242" s="103"/>
      <c r="G242" s="100">
        <v>4.7E-2</v>
      </c>
      <c r="H242" s="104">
        <f t="shared" si="11"/>
        <v>3.4708884556227524E-8</v>
      </c>
    </row>
    <row r="243" spans="1:8">
      <c r="A243" s="100">
        <v>4.7199999999999999E-2</v>
      </c>
      <c r="B243" s="104">
        <f t="shared" si="9"/>
        <v>0</v>
      </c>
      <c r="C243" s="101"/>
      <c r="D243" s="100">
        <v>4.7199999999999999E-2</v>
      </c>
      <c r="E243" s="102">
        <f t="shared" si="10"/>
        <v>0</v>
      </c>
      <c r="F243" s="103"/>
      <c r="G243" s="100">
        <v>4.7199999999999999E-2</v>
      </c>
      <c r="H243" s="104">
        <f t="shared" si="11"/>
        <v>2.4124928735813461E-8</v>
      </c>
    </row>
    <row r="244" spans="1:8">
      <c r="A244" s="100">
        <v>4.7399999999999998E-2</v>
      </c>
      <c r="B244" s="104">
        <f t="shared" si="9"/>
        <v>0</v>
      </c>
      <c r="C244" s="101"/>
      <c r="D244" s="100">
        <v>4.7399999999999998E-2</v>
      </c>
      <c r="E244" s="102">
        <f t="shared" si="10"/>
        <v>0</v>
      </c>
      <c r="F244" s="103"/>
      <c r="G244" s="100">
        <v>4.7399999999999998E-2</v>
      </c>
      <c r="H244" s="104">
        <f t="shared" si="11"/>
        <v>1.6726523503649078E-8</v>
      </c>
    </row>
    <row r="245" spans="1:8">
      <c r="A245" s="100">
        <v>4.7600000000000003E-2</v>
      </c>
      <c r="B245" s="104">
        <f t="shared" si="9"/>
        <v>0</v>
      </c>
      <c r="C245" s="101"/>
      <c r="D245" s="100">
        <v>4.7600000000000003E-2</v>
      </c>
      <c r="E245" s="102">
        <f t="shared" si="10"/>
        <v>0</v>
      </c>
      <c r="F245" s="103"/>
      <c r="G245" s="100">
        <v>4.7600000000000003E-2</v>
      </c>
      <c r="H245" s="104">
        <f t="shared" si="11"/>
        <v>1.156803502620273E-8</v>
      </c>
    </row>
    <row r="246" spans="1:8">
      <c r="A246" s="100">
        <v>4.7800000000000002E-2</v>
      </c>
      <c r="B246" s="104">
        <f t="shared" si="9"/>
        <v>0</v>
      </c>
      <c r="C246" s="101"/>
      <c r="D246" s="100">
        <v>4.7800000000000002E-2</v>
      </c>
      <c r="E246" s="102">
        <f t="shared" si="10"/>
        <v>0</v>
      </c>
      <c r="F246" s="103"/>
      <c r="G246" s="100">
        <v>4.7800000000000002E-2</v>
      </c>
      <c r="H246" s="104">
        <f t="shared" si="11"/>
        <v>7.9804571218805231E-9</v>
      </c>
    </row>
    <row r="247" spans="1:8">
      <c r="A247" s="100">
        <v>4.8000000000000001E-2</v>
      </c>
      <c r="B247" s="104">
        <f t="shared" si="9"/>
        <v>0</v>
      </c>
      <c r="C247" s="101"/>
      <c r="D247" s="100">
        <v>4.8000000000000001E-2</v>
      </c>
      <c r="E247" s="102">
        <f t="shared" si="10"/>
        <v>0</v>
      </c>
      <c r="F247" s="103"/>
      <c r="G247" s="100">
        <v>4.8000000000000001E-2</v>
      </c>
      <c r="H247" s="104">
        <f t="shared" si="11"/>
        <v>5.4917430098447922E-9</v>
      </c>
    </row>
    <row r="248" spans="1:8">
      <c r="A248" s="100">
        <v>4.82E-2</v>
      </c>
      <c r="B248" s="104">
        <f t="shared" si="9"/>
        <v>0</v>
      </c>
      <c r="C248" s="101"/>
      <c r="D248" s="100">
        <v>4.82E-2</v>
      </c>
      <c r="E248" s="102">
        <f t="shared" si="10"/>
        <v>0</v>
      </c>
      <c r="F248" s="103"/>
      <c r="G248" s="100">
        <v>4.82E-2</v>
      </c>
      <c r="H248" s="104">
        <f t="shared" si="11"/>
        <v>3.769701019960222E-9</v>
      </c>
    </row>
    <row r="249" spans="1:8">
      <c r="A249" s="100">
        <v>4.8399999999999999E-2</v>
      </c>
      <c r="B249" s="104">
        <f t="shared" si="9"/>
        <v>0</v>
      </c>
      <c r="C249" s="101"/>
      <c r="D249" s="100">
        <v>4.8399999999999999E-2</v>
      </c>
      <c r="E249" s="102">
        <f t="shared" si="10"/>
        <v>0</v>
      </c>
      <c r="F249" s="103"/>
      <c r="G249" s="100">
        <v>4.8399999999999999E-2</v>
      </c>
      <c r="H249" s="104">
        <f t="shared" si="11"/>
        <v>2.5811775079992882E-9</v>
      </c>
    </row>
    <row r="250" spans="1:8">
      <c r="A250" s="100">
        <v>4.8599999999999997E-2</v>
      </c>
      <c r="B250" s="104">
        <f t="shared" si="9"/>
        <v>0</v>
      </c>
      <c r="C250" s="101"/>
      <c r="D250" s="100">
        <v>4.8599999999999997E-2</v>
      </c>
      <c r="E250" s="102">
        <f t="shared" si="10"/>
        <v>0</v>
      </c>
      <c r="F250" s="103"/>
      <c r="G250" s="100">
        <v>4.8599999999999997E-2</v>
      </c>
      <c r="H250" s="104">
        <f t="shared" si="11"/>
        <v>1.7629626069004113E-9</v>
      </c>
    </row>
    <row r="251" spans="1:8">
      <c r="A251" s="100">
        <v>4.8800000000000003E-2</v>
      </c>
      <c r="B251" s="104">
        <f t="shared" si="9"/>
        <v>0</v>
      </c>
      <c r="C251" s="101"/>
      <c r="D251" s="100">
        <v>4.8800000000000003E-2</v>
      </c>
      <c r="E251" s="102">
        <f t="shared" si="10"/>
        <v>0</v>
      </c>
      <c r="F251" s="103"/>
      <c r="G251" s="100">
        <v>4.8800000000000003E-2</v>
      </c>
      <c r="H251" s="104">
        <f t="shared" si="11"/>
        <v>1.201109476339782E-9</v>
      </c>
    </row>
    <row r="252" spans="1:8">
      <c r="A252" s="100">
        <v>4.9000000000000002E-2</v>
      </c>
      <c r="B252" s="104">
        <f t="shared" si="9"/>
        <v>0</v>
      </c>
      <c r="C252" s="101"/>
      <c r="D252" s="100">
        <v>4.9000000000000002E-2</v>
      </c>
      <c r="E252" s="102">
        <f t="shared" si="10"/>
        <v>0</v>
      </c>
      <c r="F252" s="103"/>
      <c r="G252" s="100">
        <v>4.9000000000000002E-2</v>
      </c>
      <c r="H252" s="104">
        <f t="shared" si="11"/>
        <v>8.1627472593891262E-10</v>
      </c>
    </row>
    <row r="253" spans="1:8">
      <c r="A253" s="100">
        <v>4.9200000000000001E-2</v>
      </c>
      <c r="B253" s="104">
        <f t="shared" si="9"/>
        <v>0</v>
      </c>
      <c r="C253" s="101"/>
      <c r="D253" s="100">
        <v>4.9200000000000001E-2</v>
      </c>
      <c r="E253" s="102">
        <f t="shared" si="10"/>
        <v>0</v>
      </c>
      <c r="F253" s="103"/>
      <c r="G253" s="100">
        <v>4.9200000000000001E-2</v>
      </c>
      <c r="H253" s="104">
        <f t="shared" si="11"/>
        <v>5.5335567714342608E-10</v>
      </c>
    </row>
    <row r="254" spans="1:8">
      <c r="A254" s="100">
        <v>4.9399999999999999E-2</v>
      </c>
      <c r="B254" s="104">
        <f t="shared" si="9"/>
        <v>0</v>
      </c>
      <c r="C254" s="101"/>
      <c r="D254" s="100">
        <v>4.9399999999999999E-2</v>
      </c>
      <c r="E254" s="102">
        <f t="shared" si="10"/>
        <v>0</v>
      </c>
      <c r="F254" s="103"/>
      <c r="G254" s="100">
        <v>4.9399999999999999E-2</v>
      </c>
      <c r="H254" s="104">
        <f t="shared" si="11"/>
        <v>3.7418524124692764E-10</v>
      </c>
    </row>
    <row r="255" spans="1:8">
      <c r="A255" s="100">
        <v>4.9599999999999998E-2</v>
      </c>
      <c r="B255" s="104">
        <f t="shared" si="9"/>
        <v>0</v>
      </c>
      <c r="C255" s="101"/>
      <c r="D255" s="100">
        <v>4.9599999999999998E-2</v>
      </c>
      <c r="E255" s="102">
        <f t="shared" si="10"/>
        <v>0</v>
      </c>
      <c r="F255" s="103"/>
      <c r="G255" s="100">
        <v>4.9599999999999998E-2</v>
      </c>
      <c r="H255" s="104">
        <f t="shared" si="11"/>
        <v>2.5239642644005085E-10</v>
      </c>
    </row>
    <row r="256" spans="1:8">
      <c r="A256" s="100">
        <v>4.9799999999999997E-2</v>
      </c>
      <c r="B256" s="104">
        <f t="shared" si="9"/>
        <v>0</v>
      </c>
      <c r="C256" s="101"/>
      <c r="D256" s="100">
        <v>4.9799999999999997E-2</v>
      </c>
      <c r="E256" s="102">
        <f t="shared" si="10"/>
        <v>0</v>
      </c>
      <c r="F256" s="103"/>
      <c r="G256" s="100">
        <v>4.9799999999999997E-2</v>
      </c>
      <c r="H256" s="104">
        <f t="shared" si="11"/>
        <v>1.6982202421139153E-10</v>
      </c>
    </row>
    <row r="257" spans="1:8">
      <c r="A257" s="100">
        <v>0.05</v>
      </c>
      <c r="B257" s="104">
        <f t="shared" si="9"/>
        <v>0</v>
      </c>
      <c r="C257" s="101"/>
      <c r="D257" s="100">
        <v>0.05</v>
      </c>
      <c r="E257" s="102">
        <f t="shared" si="10"/>
        <v>0</v>
      </c>
      <c r="F257" s="103"/>
      <c r="G257" s="100">
        <v>0.05</v>
      </c>
      <c r="H257" s="104">
        <f t="shared" si="11"/>
        <v>1.1397748994184758E-10</v>
      </c>
    </row>
    <row r="258" spans="1:8">
      <c r="A258" s="100">
        <v>5.0200000000000002E-2</v>
      </c>
      <c r="B258" s="104">
        <f t="shared" si="9"/>
        <v>0</v>
      </c>
      <c r="C258" s="101"/>
      <c r="D258" s="100">
        <v>5.0200000000000002E-2</v>
      </c>
      <c r="E258" s="102">
        <f t="shared" si="10"/>
        <v>0</v>
      </c>
      <c r="F258" s="103"/>
      <c r="G258" s="100">
        <v>5.0200000000000002E-2</v>
      </c>
      <c r="H258" s="104">
        <f t="shared" si="11"/>
        <v>7.6305954223192868E-11</v>
      </c>
    </row>
    <row r="259" spans="1:8">
      <c r="A259" s="100">
        <v>5.04E-2</v>
      </c>
      <c r="B259" s="104">
        <f t="shared" si="9"/>
        <v>0</v>
      </c>
      <c r="C259" s="101"/>
      <c r="D259" s="100">
        <v>5.04E-2</v>
      </c>
      <c r="E259" s="102">
        <f t="shared" si="10"/>
        <v>0</v>
      </c>
      <c r="F259" s="103"/>
      <c r="G259" s="100">
        <v>5.04E-2</v>
      </c>
      <c r="H259" s="104">
        <f t="shared" si="11"/>
        <v>5.0957959652540563E-11</v>
      </c>
    </row>
    <row r="260" spans="1:8">
      <c r="A260" s="100">
        <v>5.0599999999999999E-2</v>
      </c>
      <c r="B260" s="104">
        <f t="shared" si="9"/>
        <v>0</v>
      </c>
      <c r="C260" s="101"/>
      <c r="D260" s="100">
        <v>5.0599999999999999E-2</v>
      </c>
      <c r="E260" s="102">
        <f t="shared" si="10"/>
        <v>0</v>
      </c>
      <c r="F260" s="103"/>
      <c r="G260" s="100">
        <v>5.0599999999999999E-2</v>
      </c>
      <c r="H260" s="104">
        <f t="shared" si="11"/>
        <v>3.3945319237026022E-11</v>
      </c>
    </row>
    <row r="261" spans="1:8">
      <c r="A261" s="100">
        <v>5.0799999999999998E-2</v>
      </c>
      <c r="B261" s="104">
        <f t="shared" si="9"/>
        <v>0</v>
      </c>
      <c r="C261" s="101"/>
      <c r="D261" s="100">
        <v>5.0799999999999998E-2</v>
      </c>
      <c r="E261" s="102">
        <f t="shared" si="10"/>
        <v>0</v>
      </c>
      <c r="F261" s="103"/>
      <c r="G261" s="100">
        <v>5.0799999999999998E-2</v>
      </c>
      <c r="H261" s="104">
        <f t="shared" si="11"/>
        <v>2.2555996984307473E-11</v>
      </c>
    </row>
    <row r="262" spans="1:8">
      <c r="A262" s="100">
        <v>5.0999999999999997E-2</v>
      </c>
      <c r="B262" s="104">
        <f t="shared" si="9"/>
        <v>0</v>
      </c>
      <c r="C262" s="101"/>
      <c r="D262" s="100">
        <v>5.0999999999999997E-2</v>
      </c>
      <c r="E262" s="102">
        <f t="shared" si="10"/>
        <v>0</v>
      </c>
      <c r="F262" s="103"/>
      <c r="G262" s="100">
        <v>5.0999999999999997E-2</v>
      </c>
      <c r="H262" s="104">
        <f t="shared" si="11"/>
        <v>1.4950593114297688E-11</v>
      </c>
    </row>
    <row r="263" spans="1:8">
      <c r="A263" s="100">
        <v>5.1200000000000002E-2</v>
      </c>
      <c r="B263" s="104">
        <f t="shared" ref="B263:B306" si="12">IF(AND(A263&gt;=$B$2,A263&lt;=$B$3),$B$4*SIN(PI()/($B$3-$B$2)*(A263-$B$2)),0)</f>
        <v>0</v>
      </c>
      <c r="C263" s="101"/>
      <c r="D263" s="100">
        <v>5.1200000000000002E-2</v>
      </c>
      <c r="E263" s="102">
        <f t="shared" ref="E263:E306" si="13">IF(AND(A263&gt;=$B$2,A263&lt;=$B$3),$B$4*(1-COS(2*PI()/($B$3-$B$2)*(A263-$B$2)))/2,0)</f>
        <v>0</v>
      </c>
      <c r="F263" s="103"/>
      <c r="G263" s="100">
        <v>5.1200000000000002E-2</v>
      </c>
      <c r="H263" s="104">
        <f t="shared" si="11"/>
        <v>9.8848271684571641E-12</v>
      </c>
    </row>
    <row r="264" spans="1:8">
      <c r="A264" s="100">
        <v>5.1400000000000001E-2</v>
      </c>
      <c r="B264" s="104">
        <f t="shared" si="12"/>
        <v>0</v>
      </c>
      <c r="C264" s="101"/>
      <c r="D264" s="100">
        <v>5.1400000000000001E-2</v>
      </c>
      <c r="E264" s="102">
        <f t="shared" si="13"/>
        <v>0</v>
      </c>
      <c r="F264" s="103"/>
      <c r="G264" s="100">
        <v>5.1400000000000001E-2</v>
      </c>
      <c r="H264" s="104">
        <f t="shared" ref="H264:H306" si="14">$H$4*_xlfn.NORM.DIST(A264,$H$2,$H$3,FALSE)/_xlfn.NORM.DIST($H$2,$H$2,$H$3,FALSE)</f>
        <v>6.5191954575731824E-12</v>
      </c>
    </row>
    <row r="265" spans="1:8">
      <c r="A265" s="100">
        <v>5.16E-2</v>
      </c>
      <c r="B265" s="104">
        <f t="shared" si="12"/>
        <v>0</v>
      </c>
      <c r="C265" s="101"/>
      <c r="D265" s="100">
        <v>5.16E-2</v>
      </c>
      <c r="E265" s="102">
        <f t="shared" si="13"/>
        <v>0</v>
      </c>
      <c r="F265" s="103"/>
      <c r="G265" s="100">
        <v>5.16E-2</v>
      </c>
      <c r="H265" s="104">
        <f t="shared" si="14"/>
        <v>4.2887742617691788E-12</v>
      </c>
    </row>
    <row r="266" spans="1:8">
      <c r="A266" s="100">
        <v>5.1799999999999999E-2</v>
      </c>
      <c r="B266" s="104">
        <f t="shared" si="12"/>
        <v>0</v>
      </c>
      <c r="C266" s="101"/>
      <c r="D266" s="100">
        <v>5.1799999999999999E-2</v>
      </c>
      <c r="E266" s="102">
        <f t="shared" si="13"/>
        <v>0</v>
      </c>
      <c r="F266" s="103"/>
      <c r="G266" s="100">
        <v>5.1799999999999999E-2</v>
      </c>
      <c r="H266" s="104">
        <f t="shared" si="14"/>
        <v>2.8144052833254069E-12</v>
      </c>
    </row>
    <row r="267" spans="1:8">
      <c r="A267" s="100">
        <v>5.1999999999999998E-2</v>
      </c>
      <c r="B267" s="104">
        <f t="shared" si="12"/>
        <v>0</v>
      </c>
      <c r="C267" s="101"/>
      <c r="D267" s="100">
        <v>5.1999999999999998E-2</v>
      </c>
      <c r="E267" s="102">
        <f t="shared" si="13"/>
        <v>0</v>
      </c>
      <c r="F267" s="103"/>
      <c r="G267" s="100">
        <v>5.1999999999999998E-2</v>
      </c>
      <c r="H267" s="104">
        <f t="shared" si="14"/>
        <v>1.8422745418477839E-12</v>
      </c>
    </row>
    <row r="268" spans="1:8">
      <c r="A268" s="100">
        <v>5.2200000000000003E-2</v>
      </c>
      <c r="B268" s="104">
        <f t="shared" si="12"/>
        <v>0</v>
      </c>
      <c r="C268" s="101"/>
      <c r="D268" s="100">
        <v>5.2200000000000003E-2</v>
      </c>
      <c r="E268" s="102">
        <f t="shared" si="13"/>
        <v>0</v>
      </c>
      <c r="F268" s="103"/>
      <c r="G268" s="100">
        <v>5.2200000000000003E-2</v>
      </c>
      <c r="H268" s="104">
        <f t="shared" si="14"/>
        <v>1.20291884264863E-12</v>
      </c>
    </row>
    <row r="269" spans="1:8">
      <c r="A269" s="100">
        <v>5.2400000000000002E-2</v>
      </c>
      <c r="B269" s="104">
        <f t="shared" si="12"/>
        <v>0</v>
      </c>
      <c r="C269" s="101"/>
      <c r="D269" s="100">
        <v>5.2400000000000002E-2</v>
      </c>
      <c r="E269" s="102">
        <f t="shared" si="13"/>
        <v>0</v>
      </c>
      <c r="F269" s="103"/>
      <c r="G269" s="100">
        <v>5.2400000000000002E-2</v>
      </c>
      <c r="H269" s="104">
        <f t="shared" si="14"/>
        <v>7.8348839600666262E-13</v>
      </c>
    </row>
    <row r="270" spans="1:8">
      <c r="A270" s="100">
        <v>5.2600000000000001E-2</v>
      </c>
      <c r="B270" s="104">
        <f t="shared" si="12"/>
        <v>0</v>
      </c>
      <c r="C270" s="101"/>
      <c r="D270" s="100">
        <v>5.2600000000000001E-2</v>
      </c>
      <c r="E270" s="102">
        <f t="shared" si="13"/>
        <v>0</v>
      </c>
      <c r="F270" s="103"/>
      <c r="G270" s="100">
        <v>5.2600000000000001E-2</v>
      </c>
      <c r="H270" s="104">
        <f t="shared" si="14"/>
        <v>5.090296423144546E-13</v>
      </c>
    </row>
    <row r="271" spans="1:8">
      <c r="A271" s="100">
        <v>5.28E-2</v>
      </c>
      <c r="B271" s="104">
        <f t="shared" si="12"/>
        <v>0</v>
      </c>
      <c r="C271" s="101"/>
      <c r="D271" s="100">
        <v>5.28E-2</v>
      </c>
      <c r="E271" s="102">
        <f t="shared" si="13"/>
        <v>0</v>
      </c>
      <c r="F271" s="103"/>
      <c r="G271" s="100">
        <v>5.28E-2</v>
      </c>
      <c r="H271" s="104">
        <f t="shared" si="14"/>
        <v>3.298890056040964E-13</v>
      </c>
    </row>
    <row r="272" spans="1:8">
      <c r="A272" s="100">
        <v>5.2999999999999999E-2</v>
      </c>
      <c r="B272" s="104">
        <f t="shared" si="12"/>
        <v>0</v>
      </c>
      <c r="C272" s="101"/>
      <c r="D272" s="100">
        <v>5.2999999999999999E-2</v>
      </c>
      <c r="E272" s="102">
        <f t="shared" si="13"/>
        <v>0</v>
      </c>
      <c r="F272" s="103"/>
      <c r="G272" s="100">
        <v>5.2999999999999999E-2</v>
      </c>
      <c r="H272" s="104">
        <f t="shared" si="14"/>
        <v>2.1325875726061585E-13</v>
      </c>
    </row>
    <row r="273" spans="1:8">
      <c r="A273" s="100">
        <v>5.3199999999999997E-2</v>
      </c>
      <c r="B273" s="104">
        <f t="shared" si="12"/>
        <v>0</v>
      </c>
      <c r="C273" s="101"/>
      <c r="D273" s="100">
        <v>5.3199999999999997E-2</v>
      </c>
      <c r="E273" s="102">
        <f t="shared" si="13"/>
        <v>0</v>
      </c>
      <c r="F273" s="103"/>
      <c r="G273" s="100">
        <v>5.3199999999999997E-2</v>
      </c>
      <c r="H273" s="104">
        <f t="shared" si="14"/>
        <v>1.3751819714585841E-13</v>
      </c>
    </row>
    <row r="274" spans="1:8">
      <c r="A274" s="100">
        <v>5.3400000000000003E-2</v>
      </c>
      <c r="B274" s="104">
        <f t="shared" si="12"/>
        <v>0</v>
      </c>
      <c r="C274" s="101"/>
      <c r="D274" s="100">
        <v>5.3400000000000003E-2</v>
      </c>
      <c r="E274" s="102">
        <f t="shared" si="13"/>
        <v>0</v>
      </c>
      <c r="F274" s="103"/>
      <c r="G274" s="100">
        <v>5.3400000000000003E-2</v>
      </c>
      <c r="H274" s="104">
        <f t="shared" si="14"/>
        <v>8.8456088278154217E-14</v>
      </c>
    </row>
    <row r="275" spans="1:8">
      <c r="A275" s="100">
        <v>5.3600000000000002E-2</v>
      </c>
      <c r="B275" s="104">
        <f t="shared" si="12"/>
        <v>0</v>
      </c>
      <c r="C275" s="101"/>
      <c r="D275" s="100">
        <v>5.3600000000000002E-2</v>
      </c>
      <c r="E275" s="102">
        <f t="shared" si="13"/>
        <v>0</v>
      </c>
      <c r="F275" s="103"/>
      <c r="G275" s="100">
        <v>5.3600000000000002E-2</v>
      </c>
      <c r="H275" s="104">
        <f t="shared" si="14"/>
        <v>5.6755709045876817E-14</v>
      </c>
    </row>
    <row r="276" spans="1:8">
      <c r="A276" s="100">
        <v>5.3800000000000001E-2</v>
      </c>
      <c r="B276" s="104">
        <f t="shared" si="12"/>
        <v>0</v>
      </c>
      <c r="C276" s="101"/>
      <c r="D276" s="100">
        <v>5.3800000000000001E-2</v>
      </c>
      <c r="E276" s="102">
        <f t="shared" si="13"/>
        <v>0</v>
      </c>
      <c r="F276" s="103"/>
      <c r="G276" s="100">
        <v>5.3800000000000001E-2</v>
      </c>
      <c r="H276" s="104">
        <f t="shared" si="14"/>
        <v>3.6325001517393325E-14</v>
      </c>
    </row>
    <row r="277" spans="1:8">
      <c r="A277" s="100">
        <v>5.3999999999999999E-2</v>
      </c>
      <c r="B277" s="104">
        <f t="shared" si="12"/>
        <v>0</v>
      </c>
      <c r="C277" s="101"/>
      <c r="D277" s="100">
        <v>5.3999999999999999E-2</v>
      </c>
      <c r="E277" s="102">
        <f t="shared" si="13"/>
        <v>0</v>
      </c>
      <c r="F277" s="103"/>
      <c r="G277" s="100">
        <v>5.3999999999999999E-2</v>
      </c>
      <c r="H277" s="104">
        <f t="shared" si="14"/>
        <v>2.3190813982394829E-14</v>
      </c>
    </row>
    <row r="278" spans="1:8">
      <c r="A278" s="100">
        <v>5.4199999999999998E-2</v>
      </c>
      <c r="B278" s="104">
        <f t="shared" si="12"/>
        <v>0</v>
      </c>
      <c r="C278" s="101"/>
      <c r="D278" s="100">
        <v>5.4199999999999998E-2</v>
      </c>
      <c r="E278" s="102">
        <f t="shared" si="13"/>
        <v>0</v>
      </c>
      <c r="F278" s="103"/>
      <c r="G278" s="100">
        <v>5.4199999999999998E-2</v>
      </c>
      <c r="H278" s="104">
        <f t="shared" si="14"/>
        <v>1.476864350700348E-14</v>
      </c>
    </row>
    <row r="279" spans="1:8">
      <c r="A279" s="100">
        <v>5.4399999999999997E-2</v>
      </c>
      <c r="B279" s="104">
        <f t="shared" si="12"/>
        <v>0</v>
      </c>
      <c r="C279" s="101"/>
      <c r="D279" s="100">
        <v>5.4399999999999997E-2</v>
      </c>
      <c r="E279" s="102">
        <f t="shared" si="13"/>
        <v>0</v>
      </c>
      <c r="F279" s="103"/>
      <c r="G279" s="100">
        <v>5.4399999999999997E-2</v>
      </c>
      <c r="H279" s="104">
        <f t="shared" si="14"/>
        <v>9.3816556055115048E-15</v>
      </c>
    </row>
    <row r="280" spans="1:8">
      <c r="A280" s="100">
        <v>5.4600000000000003E-2</v>
      </c>
      <c r="B280" s="104">
        <f t="shared" si="12"/>
        <v>0</v>
      </c>
      <c r="C280" s="101"/>
      <c r="D280" s="100">
        <v>5.4600000000000003E-2</v>
      </c>
      <c r="E280" s="102">
        <f t="shared" si="13"/>
        <v>0</v>
      </c>
      <c r="F280" s="103"/>
      <c r="G280" s="100">
        <v>5.4600000000000003E-2</v>
      </c>
      <c r="H280" s="104">
        <f t="shared" si="14"/>
        <v>5.9447367676857797E-15</v>
      </c>
    </row>
    <row r="281" spans="1:8">
      <c r="A281" s="100">
        <v>5.4800000000000001E-2</v>
      </c>
      <c r="B281" s="104">
        <f t="shared" si="12"/>
        <v>0</v>
      </c>
      <c r="C281" s="101"/>
      <c r="D281" s="100">
        <v>5.4800000000000001E-2</v>
      </c>
      <c r="E281" s="102">
        <f t="shared" si="13"/>
        <v>0</v>
      </c>
      <c r="F281" s="103"/>
      <c r="G281" s="100">
        <v>5.4800000000000001E-2</v>
      </c>
      <c r="H281" s="104">
        <f t="shared" si="14"/>
        <v>3.7575090502654895E-15</v>
      </c>
    </row>
    <row r="282" spans="1:8">
      <c r="A282" s="100">
        <v>5.5E-2</v>
      </c>
      <c r="B282" s="104">
        <f t="shared" si="12"/>
        <v>0</v>
      </c>
      <c r="C282" s="101"/>
      <c r="D282" s="100">
        <v>5.5E-2</v>
      </c>
      <c r="E282" s="102">
        <f t="shared" si="13"/>
        <v>0</v>
      </c>
      <c r="F282" s="103"/>
      <c r="G282" s="100">
        <v>5.5E-2</v>
      </c>
      <c r="H282" s="104">
        <f t="shared" si="14"/>
        <v>2.3690907961580047E-15</v>
      </c>
    </row>
    <row r="283" spans="1:8">
      <c r="A283" s="100">
        <v>5.5199999999999999E-2</v>
      </c>
      <c r="B283" s="104">
        <f t="shared" si="12"/>
        <v>0</v>
      </c>
      <c r="C283" s="101"/>
      <c r="D283" s="100">
        <v>5.5199999999999999E-2</v>
      </c>
      <c r="E283" s="102">
        <f t="shared" si="13"/>
        <v>0</v>
      </c>
      <c r="F283" s="103"/>
      <c r="G283" s="100">
        <v>5.5199999999999999E-2</v>
      </c>
      <c r="H283" s="104">
        <f t="shared" si="14"/>
        <v>1.4899703958889076E-15</v>
      </c>
    </row>
    <row r="284" spans="1:8">
      <c r="A284" s="100">
        <v>5.5399999999999998E-2</v>
      </c>
      <c r="B284" s="104">
        <f t="shared" si="12"/>
        <v>0</v>
      </c>
      <c r="C284" s="101"/>
      <c r="D284" s="100">
        <v>5.5399999999999998E-2</v>
      </c>
      <c r="E284" s="102">
        <f t="shared" si="13"/>
        <v>0</v>
      </c>
      <c r="F284" s="103"/>
      <c r="G284" s="100">
        <v>5.5399999999999998E-2</v>
      </c>
      <c r="H284" s="104">
        <f t="shared" si="14"/>
        <v>9.3473356383136455E-16</v>
      </c>
    </row>
    <row r="285" spans="1:8">
      <c r="A285" s="100">
        <v>5.5599999999999997E-2</v>
      </c>
      <c r="B285" s="104">
        <f t="shared" si="12"/>
        <v>0</v>
      </c>
      <c r="C285" s="101"/>
      <c r="D285" s="100">
        <v>5.5599999999999997E-2</v>
      </c>
      <c r="E285" s="102">
        <f t="shared" si="13"/>
        <v>0</v>
      </c>
      <c r="F285" s="103"/>
      <c r="G285" s="100">
        <v>5.5599999999999997E-2</v>
      </c>
      <c r="H285" s="104">
        <f t="shared" si="14"/>
        <v>5.8494131748638875E-16</v>
      </c>
    </row>
    <row r="286" spans="1:8">
      <c r="A286" s="100">
        <v>5.5800000000000002E-2</v>
      </c>
      <c r="B286" s="104">
        <f t="shared" si="12"/>
        <v>0</v>
      </c>
      <c r="C286" s="101"/>
      <c r="D286" s="100">
        <v>5.5800000000000002E-2</v>
      </c>
      <c r="E286" s="102">
        <f t="shared" si="13"/>
        <v>0</v>
      </c>
      <c r="F286" s="103"/>
      <c r="G286" s="100">
        <v>5.5800000000000002E-2</v>
      </c>
      <c r="H286" s="104">
        <f t="shared" si="14"/>
        <v>3.6513294867640543E-16</v>
      </c>
    </row>
    <row r="287" spans="1:8">
      <c r="A287" s="100">
        <v>5.6000000000000001E-2</v>
      </c>
      <c r="B287" s="104">
        <f t="shared" si="12"/>
        <v>0</v>
      </c>
      <c r="C287" s="101"/>
      <c r="D287" s="100">
        <v>5.6000000000000001E-2</v>
      </c>
      <c r="E287" s="102">
        <f t="shared" si="13"/>
        <v>0</v>
      </c>
      <c r="F287" s="103"/>
      <c r="G287" s="100">
        <v>5.6000000000000001E-2</v>
      </c>
      <c r="H287" s="104">
        <f t="shared" si="14"/>
        <v>2.2735474028330911E-16</v>
      </c>
    </row>
    <row r="288" spans="1:8">
      <c r="A288" s="100">
        <v>5.62E-2</v>
      </c>
      <c r="B288" s="104">
        <f t="shared" si="12"/>
        <v>0</v>
      </c>
      <c r="C288" s="101"/>
      <c r="D288" s="100">
        <v>5.62E-2</v>
      </c>
      <c r="E288" s="102">
        <f t="shared" si="13"/>
        <v>0</v>
      </c>
      <c r="F288" s="103"/>
      <c r="G288" s="100">
        <v>5.62E-2</v>
      </c>
      <c r="H288" s="104">
        <f t="shared" si="14"/>
        <v>1.412118902680725E-16</v>
      </c>
    </row>
    <row r="289" spans="1:8">
      <c r="A289" s="100">
        <v>5.6399999999999999E-2</v>
      </c>
      <c r="B289" s="104">
        <f t="shared" si="12"/>
        <v>0</v>
      </c>
      <c r="C289" s="101"/>
      <c r="D289" s="100">
        <v>5.6399999999999999E-2</v>
      </c>
      <c r="E289" s="102">
        <f t="shared" si="13"/>
        <v>0</v>
      </c>
      <c r="F289" s="103"/>
      <c r="G289" s="100">
        <v>5.6399999999999999E-2</v>
      </c>
      <c r="H289" s="104">
        <f t="shared" si="14"/>
        <v>8.7488865182705794E-17</v>
      </c>
    </row>
    <row r="290" spans="1:8">
      <c r="A290" s="100">
        <v>5.6599999999999998E-2</v>
      </c>
      <c r="B290" s="104">
        <f t="shared" si="12"/>
        <v>0</v>
      </c>
      <c r="C290" s="101"/>
      <c r="D290" s="100">
        <v>5.6599999999999998E-2</v>
      </c>
      <c r="E290" s="102">
        <f t="shared" si="13"/>
        <v>0</v>
      </c>
      <c r="F290" s="103"/>
      <c r="G290" s="100">
        <v>5.6599999999999998E-2</v>
      </c>
      <c r="H290" s="104">
        <f t="shared" si="14"/>
        <v>5.4069028198743444E-17</v>
      </c>
    </row>
    <row r="291" spans="1:8">
      <c r="A291" s="100">
        <v>5.6800000000000003E-2</v>
      </c>
      <c r="B291" s="104">
        <f t="shared" si="12"/>
        <v>0</v>
      </c>
      <c r="C291" s="101"/>
      <c r="D291" s="100">
        <v>5.6800000000000003E-2</v>
      </c>
      <c r="E291" s="102">
        <f t="shared" si="13"/>
        <v>0</v>
      </c>
      <c r="F291" s="103"/>
      <c r="G291" s="100">
        <v>5.6800000000000003E-2</v>
      </c>
      <c r="H291" s="104">
        <f t="shared" si="14"/>
        <v>3.3331787798871339E-17</v>
      </c>
    </row>
    <row r="292" spans="1:8">
      <c r="A292" s="100">
        <v>5.7000000000000002E-2</v>
      </c>
      <c r="B292" s="104">
        <f t="shared" si="12"/>
        <v>0</v>
      </c>
      <c r="C292" s="101"/>
      <c r="D292" s="100">
        <v>5.7000000000000002E-2</v>
      </c>
      <c r="E292" s="102">
        <f t="shared" si="13"/>
        <v>0</v>
      </c>
      <c r="F292" s="103"/>
      <c r="G292" s="100">
        <v>5.7000000000000002E-2</v>
      </c>
      <c r="H292" s="104">
        <f t="shared" si="14"/>
        <v>2.0496651476877453E-17</v>
      </c>
    </row>
    <row r="293" spans="1:8">
      <c r="A293" s="100">
        <v>5.7200000000000001E-2</v>
      </c>
      <c r="B293" s="104">
        <f t="shared" si="12"/>
        <v>0</v>
      </c>
      <c r="C293" s="101"/>
      <c r="D293" s="100">
        <v>5.7200000000000001E-2</v>
      </c>
      <c r="E293" s="102">
        <f t="shared" si="13"/>
        <v>0</v>
      </c>
      <c r="F293" s="103"/>
      <c r="G293" s="100">
        <v>5.7200000000000001E-2</v>
      </c>
      <c r="H293" s="104">
        <f t="shared" si="14"/>
        <v>1.257249548832407E-17</v>
      </c>
    </row>
    <row r="294" spans="1:8">
      <c r="A294" s="100">
        <v>5.74E-2</v>
      </c>
      <c r="B294" s="104">
        <f t="shared" si="12"/>
        <v>0</v>
      </c>
      <c r="C294" s="101"/>
      <c r="D294" s="100">
        <v>5.74E-2</v>
      </c>
      <c r="E294" s="102">
        <f t="shared" si="13"/>
        <v>0</v>
      </c>
      <c r="F294" s="103"/>
      <c r="G294" s="100">
        <v>5.74E-2</v>
      </c>
      <c r="H294" s="104">
        <f t="shared" si="14"/>
        <v>7.6926207885610607E-18</v>
      </c>
    </row>
    <row r="295" spans="1:8">
      <c r="A295" s="100">
        <v>5.7599999999999998E-2</v>
      </c>
      <c r="B295" s="104">
        <f t="shared" si="12"/>
        <v>0</v>
      </c>
      <c r="C295" s="101"/>
      <c r="D295" s="100">
        <v>5.7599999999999998E-2</v>
      </c>
      <c r="E295" s="102">
        <f t="shared" si="13"/>
        <v>0</v>
      </c>
      <c r="F295" s="103"/>
      <c r="G295" s="100">
        <v>5.7599999999999998E-2</v>
      </c>
      <c r="H295" s="104">
        <f t="shared" si="14"/>
        <v>4.6950629958244014E-18</v>
      </c>
    </row>
    <row r="296" spans="1:8">
      <c r="A296" s="100">
        <v>5.7799999999999997E-2</v>
      </c>
      <c r="B296" s="104">
        <f t="shared" si="12"/>
        <v>0</v>
      </c>
      <c r="C296" s="101"/>
      <c r="D296" s="100">
        <v>5.7799999999999997E-2</v>
      </c>
      <c r="E296" s="102">
        <f t="shared" si="13"/>
        <v>0</v>
      </c>
      <c r="F296" s="103"/>
      <c r="G296" s="100">
        <v>5.7799999999999997E-2</v>
      </c>
      <c r="H296" s="104">
        <f t="shared" si="14"/>
        <v>2.8583985779009127E-18</v>
      </c>
    </row>
    <row r="297" spans="1:8">
      <c r="A297" s="100">
        <v>5.8000000000000003E-2</v>
      </c>
      <c r="B297" s="104">
        <f t="shared" si="12"/>
        <v>0</v>
      </c>
      <c r="C297" s="101"/>
      <c r="D297" s="100">
        <v>5.8000000000000003E-2</v>
      </c>
      <c r="E297" s="102">
        <f t="shared" si="13"/>
        <v>0</v>
      </c>
      <c r="F297" s="103"/>
      <c r="G297" s="100">
        <v>5.8000000000000003E-2</v>
      </c>
      <c r="H297" s="104">
        <f t="shared" si="14"/>
        <v>1.7358748631675012E-18</v>
      </c>
    </row>
    <row r="298" spans="1:8">
      <c r="A298" s="100">
        <v>5.8200000000000002E-2</v>
      </c>
      <c r="B298" s="104">
        <f t="shared" si="12"/>
        <v>0</v>
      </c>
      <c r="C298" s="101"/>
      <c r="D298" s="100">
        <v>5.8200000000000002E-2</v>
      </c>
      <c r="E298" s="102">
        <f t="shared" si="13"/>
        <v>0</v>
      </c>
      <c r="F298" s="103"/>
      <c r="G298" s="100">
        <v>5.8200000000000002E-2</v>
      </c>
      <c r="H298" s="104">
        <f t="shared" si="14"/>
        <v>1.0515460714834556E-18</v>
      </c>
    </row>
    <row r="299" spans="1:8">
      <c r="A299" s="100">
        <v>5.8400000000000001E-2</v>
      </c>
      <c r="B299" s="104">
        <f t="shared" si="12"/>
        <v>0</v>
      </c>
      <c r="C299" s="101"/>
      <c r="D299" s="100">
        <v>5.8400000000000001E-2</v>
      </c>
      <c r="E299" s="102">
        <f t="shared" si="13"/>
        <v>0</v>
      </c>
      <c r="F299" s="103"/>
      <c r="G299" s="100">
        <v>5.8400000000000001E-2</v>
      </c>
      <c r="H299" s="104">
        <f t="shared" si="14"/>
        <v>6.3540768035361653E-19</v>
      </c>
    </row>
    <row r="300" spans="1:8">
      <c r="A300" s="100">
        <v>5.8599999999999999E-2</v>
      </c>
      <c r="B300" s="104">
        <f t="shared" si="12"/>
        <v>0</v>
      </c>
      <c r="C300" s="101"/>
      <c r="D300" s="100">
        <v>5.8599999999999999E-2</v>
      </c>
      <c r="E300" s="102">
        <f t="shared" si="13"/>
        <v>0</v>
      </c>
      <c r="F300" s="103"/>
      <c r="G300" s="100">
        <v>5.8599999999999999E-2</v>
      </c>
      <c r="H300" s="104">
        <f t="shared" si="14"/>
        <v>3.8299303712815186E-19</v>
      </c>
    </row>
    <row r="301" spans="1:8">
      <c r="A301" s="100">
        <v>5.8799999999999998E-2</v>
      </c>
      <c r="B301" s="104">
        <f t="shared" si="12"/>
        <v>0</v>
      </c>
      <c r="C301" s="101"/>
      <c r="D301" s="100">
        <v>5.8799999999999998E-2</v>
      </c>
      <c r="E301" s="102">
        <f t="shared" si="13"/>
        <v>0</v>
      </c>
      <c r="F301" s="103"/>
      <c r="G301" s="100">
        <v>5.8799999999999998E-2</v>
      </c>
      <c r="H301" s="104">
        <f t="shared" si="14"/>
        <v>2.3027328729437849E-19</v>
      </c>
    </row>
    <row r="302" spans="1:8">
      <c r="A302" s="100">
        <v>5.8999999999999997E-2</v>
      </c>
      <c r="B302" s="104">
        <f t="shared" si="12"/>
        <v>0</v>
      </c>
      <c r="C302" s="101"/>
      <c r="D302" s="100">
        <v>5.8999999999999997E-2</v>
      </c>
      <c r="E302" s="102">
        <f t="shared" si="13"/>
        <v>0</v>
      </c>
      <c r="F302" s="103"/>
      <c r="G302" s="100">
        <v>5.8999999999999997E-2</v>
      </c>
      <c r="H302" s="104">
        <f t="shared" si="14"/>
        <v>1.3810535130993202E-19</v>
      </c>
    </row>
    <row r="303" spans="1:8">
      <c r="A303" s="100">
        <v>5.9200000000000003E-2</v>
      </c>
      <c r="B303" s="104">
        <f t="shared" si="12"/>
        <v>0</v>
      </c>
      <c r="C303" s="101"/>
      <c r="D303" s="100">
        <v>5.9200000000000003E-2</v>
      </c>
      <c r="E303" s="102">
        <f t="shared" si="13"/>
        <v>0</v>
      </c>
      <c r="F303" s="103"/>
      <c r="G303" s="100">
        <v>5.9200000000000003E-2</v>
      </c>
      <c r="H303" s="104">
        <f t="shared" si="14"/>
        <v>8.2621241558632322E-20</v>
      </c>
    </row>
    <row r="304" spans="1:8">
      <c r="A304" s="100">
        <v>5.9400000000000001E-2</v>
      </c>
      <c r="B304" s="104">
        <f t="shared" si="12"/>
        <v>0</v>
      </c>
      <c r="C304" s="101"/>
      <c r="D304" s="100">
        <v>5.9400000000000001E-2</v>
      </c>
      <c r="E304" s="102">
        <f t="shared" si="13"/>
        <v>0</v>
      </c>
      <c r="F304" s="103"/>
      <c r="G304" s="100">
        <v>5.9400000000000001E-2</v>
      </c>
      <c r="H304" s="104">
        <f t="shared" si="14"/>
        <v>4.9304571709491342E-20</v>
      </c>
    </row>
    <row r="305" spans="1:8">
      <c r="A305" s="100">
        <v>5.96E-2</v>
      </c>
      <c r="B305" s="104">
        <f t="shared" si="12"/>
        <v>0</v>
      </c>
      <c r="C305" s="101"/>
      <c r="D305" s="100">
        <v>5.96E-2</v>
      </c>
      <c r="E305" s="102">
        <f t="shared" si="13"/>
        <v>0</v>
      </c>
      <c r="F305" s="103"/>
      <c r="G305" s="100">
        <v>5.96E-2</v>
      </c>
      <c r="H305" s="104">
        <f t="shared" si="14"/>
        <v>2.9349244626399889E-20</v>
      </c>
    </row>
    <row r="306" spans="1:8">
      <c r="A306" s="100">
        <v>5.9799999999999999E-2</v>
      </c>
      <c r="B306" s="104">
        <f t="shared" si="12"/>
        <v>0</v>
      </c>
      <c r="C306" s="101"/>
      <c r="D306" s="100">
        <v>5.9799999999999999E-2</v>
      </c>
      <c r="E306" s="102">
        <f t="shared" si="13"/>
        <v>0</v>
      </c>
      <c r="F306" s="103"/>
      <c r="G306" s="100">
        <v>5.9799999999999999E-2</v>
      </c>
      <c r="H306" s="104">
        <f t="shared" si="14"/>
        <v>1.7426931712692149E-20</v>
      </c>
    </row>
    <row r="307" spans="1:8">
      <c r="C307" s="7"/>
      <c r="D307" s="7"/>
    </row>
    <row r="308" spans="1:8">
      <c r="C308" s="7"/>
      <c r="D308" s="7"/>
    </row>
    <row r="309" spans="1:8">
      <c r="C309" s="7"/>
      <c r="D309" s="7"/>
    </row>
    <row r="310" spans="1:8">
      <c r="C310" s="7"/>
      <c r="D310" s="7"/>
    </row>
    <row r="311" spans="1:8">
      <c r="C311" s="7"/>
      <c r="D311" s="7"/>
    </row>
    <row r="312" spans="1:8">
      <c r="C312" s="7"/>
      <c r="D312" s="7"/>
    </row>
  </sheetData>
  <mergeCells count="3">
    <mergeCell ref="G1:H1"/>
    <mergeCell ref="A1:B1"/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VW</vt:lpstr>
      <vt:lpstr>Default Inputs</vt:lpstr>
      <vt:lpstr>Dynamic_Modulus_Calc</vt:lpstr>
      <vt:lpstr>AGPL License V3</vt:lpstr>
      <vt:lpstr>SyntheticLoad</vt:lpstr>
      <vt:lpstr>VW!Print_Area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BoYoung</dc:creator>
  <cp:lastModifiedBy>hlee</cp:lastModifiedBy>
  <cp:lastPrinted>2016-09-07T13:13:31Z</cp:lastPrinted>
  <dcterms:created xsi:type="dcterms:W3CDTF">2012-04-03T00:20:21Z</dcterms:created>
  <dcterms:modified xsi:type="dcterms:W3CDTF">2021-10-12T14:53:29Z</dcterms:modified>
</cp:coreProperties>
</file>